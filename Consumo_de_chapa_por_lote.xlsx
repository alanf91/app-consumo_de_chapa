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alanf\Downloads\"/>
    </mc:Choice>
  </mc:AlternateContent>
  <xr:revisionPtr revIDLastSave="0" documentId="13_ncr:1_{6F9FC8C7-F7C4-48BD-8C7B-37A58F868F77}" xr6:coauthVersionLast="46" xr6:coauthVersionMax="46" xr10:uidLastSave="{00000000-0000-0000-0000-000000000000}"/>
  <bookViews>
    <workbookView xWindow="-110" yWindow="-110" windowWidth="25820" windowHeight="13900" activeTab="1" xr2:uid="{00000000-000D-0000-FFFF-FFFF00000000}"/>
  </bookViews>
  <sheets>
    <sheet name="DADOS" sheetId="1" r:id="rId1"/>
    <sheet name="CALCULO_LOTE" sheetId="2" r:id="rId2"/>
    <sheet name="BASE_PRODUTOS" sheetId="3" r:id="rId3"/>
    <sheet name="LISTAS" sheetId="4" r:id="rId4"/>
  </sheets>
  <definedNames>
    <definedName name="_xlnm._FilterDatabase" localSheetId="2" hidden="1">BASE_PRODUTOS!$A$1:$P$94</definedName>
    <definedName name="_xlnm._FilterDatabase" localSheetId="1" hidden="1">CALCULO_LOTE!$A$9:$F$59</definedName>
    <definedName name="_xlnm._FilterDatabase" localSheetId="0" hidden="1">DADOS!$A$1:$F$1507</definedName>
    <definedName name="_xlnm._FilterDatabase" localSheetId="3" hidden="1">LISTAS!$A$1:$E$92</definedName>
    <definedName name="ListaProdutos">LISTAS!$A$2:$A$92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87" i="3" l="1"/>
  <c r="K188" i="3"/>
  <c r="K189" i="3"/>
  <c r="K190" i="3"/>
  <c r="K191" i="3"/>
  <c r="K192" i="3"/>
  <c r="K193" i="3"/>
  <c r="K186" i="3"/>
  <c r="K182" i="3" l="1"/>
  <c r="K183" i="3"/>
  <c r="K184" i="3"/>
  <c r="K185" i="3"/>
  <c r="K178" i="3"/>
  <c r="K179" i="3"/>
  <c r="K180" i="3"/>
  <c r="K181" i="3"/>
  <c r="K177" i="3"/>
  <c r="K176" i="3"/>
  <c r="K175" i="3"/>
  <c r="K174" i="3"/>
  <c r="K167" i="3"/>
  <c r="K168" i="3"/>
  <c r="K169" i="3"/>
  <c r="K170" i="3"/>
  <c r="K171" i="3"/>
  <c r="K172" i="3"/>
  <c r="K173" i="3"/>
  <c r="K166" i="3"/>
  <c r="K165" i="3"/>
  <c r="K164" i="3"/>
  <c r="K163" i="3"/>
  <c r="K162" i="3"/>
  <c r="K154" i="3"/>
  <c r="K155" i="3"/>
  <c r="K156" i="3"/>
  <c r="K157" i="3"/>
  <c r="K158" i="3"/>
  <c r="K159" i="3"/>
  <c r="K160" i="3"/>
  <c r="K161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39" i="3"/>
  <c r="K38" i="3"/>
  <c r="K37" i="3"/>
  <c r="K36" i="3"/>
  <c r="K35" i="3"/>
  <c r="K34" i="3"/>
  <c r="K33" i="3"/>
  <c r="K32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2" i="3"/>
  <c r="L102" i="3"/>
  <c r="M102" i="3" s="1"/>
  <c r="L101" i="3"/>
  <c r="M101" i="3" s="1"/>
  <c r="L100" i="3"/>
  <c r="M100" i="3" s="1"/>
  <c r="L99" i="3"/>
  <c r="M99" i="3" s="1"/>
  <c r="L98" i="3"/>
  <c r="M98" i="3" s="1"/>
  <c r="L97" i="3"/>
  <c r="M97" i="3" s="1"/>
  <c r="L96" i="3"/>
  <c r="M96" i="3" s="1"/>
  <c r="L95" i="3"/>
  <c r="L94" i="3"/>
  <c r="L93" i="3"/>
  <c r="M93" i="3" s="1"/>
  <c r="L92" i="3"/>
  <c r="M92" i="3" s="1"/>
  <c r="L91" i="3"/>
  <c r="M91" i="3" s="1"/>
  <c r="L90" i="3"/>
  <c r="M90" i="3" s="1"/>
  <c r="L89" i="3"/>
  <c r="M89" i="3" s="1"/>
  <c r="L88" i="3"/>
  <c r="M88" i="3" s="1"/>
  <c r="L87" i="3"/>
  <c r="M87" i="3" s="1"/>
  <c r="L86" i="3"/>
  <c r="M86" i="3" s="1"/>
  <c r="L85" i="3"/>
  <c r="L84" i="3"/>
  <c r="M84" i="3" s="1"/>
  <c r="L83" i="3"/>
  <c r="M83" i="3" s="1"/>
  <c r="L82" i="3"/>
  <c r="M82" i="3" s="1"/>
  <c r="L81" i="3"/>
  <c r="M81" i="3" s="1"/>
  <c r="L80" i="3"/>
  <c r="M80" i="3" s="1"/>
  <c r="L79" i="3"/>
  <c r="M79" i="3" s="1"/>
  <c r="L78" i="3"/>
  <c r="M78" i="3" s="1"/>
  <c r="L77" i="3"/>
  <c r="M77" i="3" s="1"/>
  <c r="L76" i="3"/>
  <c r="L75" i="3"/>
  <c r="L74" i="3"/>
  <c r="L73" i="3"/>
  <c r="M73" i="3" s="1"/>
  <c r="L72" i="3"/>
  <c r="M72" i="3" s="1"/>
  <c r="L71" i="3"/>
  <c r="L70" i="3"/>
  <c r="L69" i="3"/>
  <c r="M69" i="3" s="1"/>
  <c r="L68" i="3"/>
  <c r="M68" i="3" s="1"/>
  <c r="L67" i="3"/>
  <c r="L66" i="3"/>
  <c r="L65" i="3"/>
  <c r="L64" i="3"/>
  <c r="L63" i="3"/>
  <c r="M63" i="3" s="1"/>
  <c r="L62" i="3"/>
  <c r="M62" i="3" s="1"/>
  <c r="L61" i="3"/>
  <c r="M61" i="3" s="1"/>
  <c r="L60" i="3"/>
  <c r="M60" i="3" s="1"/>
  <c r="L59" i="3"/>
  <c r="L58" i="3"/>
  <c r="L57" i="3"/>
  <c r="G57" i="2" s="1"/>
  <c r="I57" i="2" s="1"/>
  <c r="L56" i="3"/>
  <c r="M56" i="3" s="1"/>
  <c r="L55" i="3"/>
  <c r="M55" i="3" s="1"/>
  <c r="L54" i="3"/>
  <c r="M54" i="3" s="1"/>
  <c r="L53" i="3"/>
  <c r="M53" i="3" s="1"/>
  <c r="L52" i="3"/>
  <c r="M52" i="3" s="1"/>
  <c r="L51" i="3"/>
  <c r="M51" i="3" s="1"/>
  <c r="L50" i="3"/>
  <c r="M50" i="3" s="1"/>
  <c r="L49" i="3"/>
  <c r="M49" i="3" s="1"/>
  <c r="L48" i="3"/>
  <c r="L47" i="3"/>
  <c r="M47" i="3" s="1"/>
  <c r="L46" i="3"/>
  <c r="L45" i="3"/>
  <c r="M45" i="3" s="1"/>
  <c r="L44" i="3"/>
  <c r="M44" i="3" s="1"/>
  <c r="L43" i="3"/>
  <c r="M43" i="3" s="1"/>
  <c r="L42" i="3"/>
  <c r="M42" i="3" s="1"/>
  <c r="L41" i="3"/>
  <c r="L40" i="3"/>
  <c r="M40" i="3" s="1"/>
  <c r="L31" i="3"/>
  <c r="L30" i="3"/>
  <c r="L29" i="3"/>
  <c r="M29" i="3" s="1"/>
  <c r="L28" i="3"/>
  <c r="M28" i="3" s="1"/>
  <c r="L27" i="3"/>
  <c r="G27" i="2" s="1"/>
  <c r="L26" i="3"/>
  <c r="M26" i="3" s="1"/>
  <c r="L25" i="3"/>
  <c r="M25" i="3" s="1"/>
  <c r="L24" i="3"/>
  <c r="M24" i="3" s="1"/>
  <c r="L23" i="3"/>
  <c r="M23" i="3" s="1"/>
  <c r="L22" i="3"/>
  <c r="M22" i="3" s="1"/>
  <c r="L21" i="3"/>
  <c r="L20" i="3"/>
  <c r="M20" i="3" s="1"/>
  <c r="L19" i="3"/>
  <c r="M19" i="3" s="1"/>
  <c r="L18" i="3"/>
  <c r="M18" i="3" s="1"/>
  <c r="L17" i="3"/>
  <c r="G17" i="2" s="1"/>
  <c r="O17" i="2" s="1"/>
  <c r="L16" i="3"/>
  <c r="M16" i="3" s="1"/>
  <c r="L15" i="3"/>
  <c r="M15" i="3" s="1"/>
  <c r="L14" i="3"/>
  <c r="L13" i="3"/>
  <c r="M13" i="3" s="1"/>
  <c r="L12" i="3"/>
  <c r="M12" i="3" s="1"/>
  <c r="L11" i="3"/>
  <c r="M11" i="3" s="1"/>
  <c r="L10" i="3"/>
  <c r="M10" i="3" s="1"/>
  <c r="L9" i="3"/>
  <c r="M9" i="3" s="1"/>
  <c r="X15" i="2" s="1"/>
  <c r="L8" i="3"/>
  <c r="M8" i="3" s="1"/>
  <c r="L7" i="3"/>
  <c r="M7" i="3" s="1"/>
  <c r="L6" i="3"/>
  <c r="M6" i="3" s="1"/>
  <c r="L5" i="3"/>
  <c r="M5" i="3" s="1"/>
  <c r="L4" i="3"/>
  <c r="M4" i="3" s="1"/>
  <c r="L3" i="3"/>
  <c r="M3" i="3" s="1"/>
  <c r="L2" i="3"/>
  <c r="M2" i="3" s="1"/>
  <c r="G1059" i="2"/>
  <c r="G1058" i="2"/>
  <c r="G1057" i="2"/>
  <c r="T1057" i="2" s="1"/>
  <c r="G1056" i="2"/>
  <c r="G1055" i="2"/>
  <c r="G1054" i="2"/>
  <c r="G1053" i="2"/>
  <c r="G1052" i="2"/>
  <c r="G1051" i="2"/>
  <c r="R1051" i="2" s="1"/>
  <c r="G1050" i="2"/>
  <c r="G1049" i="2"/>
  <c r="O1049" i="2" s="1"/>
  <c r="G1048" i="2"/>
  <c r="S1048" i="2" s="1"/>
  <c r="G1047" i="2"/>
  <c r="O1047" i="2" s="1"/>
  <c r="G1046" i="2"/>
  <c r="P1046" i="2" s="1"/>
  <c r="G1045" i="2"/>
  <c r="N1045" i="2" s="1"/>
  <c r="G1044" i="2"/>
  <c r="G1043" i="2"/>
  <c r="G1042" i="2"/>
  <c r="G1041" i="2"/>
  <c r="G1040" i="2"/>
  <c r="G1039" i="2"/>
  <c r="G1038" i="2"/>
  <c r="G1037" i="2"/>
  <c r="R1037" i="2" s="1"/>
  <c r="G1036" i="2"/>
  <c r="T1036" i="2" s="1"/>
  <c r="G1035" i="2"/>
  <c r="T1035" i="2" s="1"/>
  <c r="G1034" i="2"/>
  <c r="G1033" i="2"/>
  <c r="O1033" i="2" s="1"/>
  <c r="G1032" i="2"/>
  <c r="L1032" i="2" s="1"/>
  <c r="G1031" i="2"/>
  <c r="Q1031" i="2" s="1"/>
  <c r="G1030" i="2"/>
  <c r="Q1030" i="2" s="1"/>
  <c r="G1029" i="2"/>
  <c r="G1028" i="2"/>
  <c r="I1028" i="2" s="1"/>
  <c r="G1027" i="2"/>
  <c r="J1027" i="2" s="1"/>
  <c r="G1026" i="2"/>
  <c r="J1026" i="2" s="1"/>
  <c r="G1025" i="2"/>
  <c r="G1024" i="2"/>
  <c r="M1024" i="2" s="1"/>
  <c r="G1023" i="2"/>
  <c r="R1023" i="2" s="1"/>
  <c r="G1022" i="2"/>
  <c r="G1021" i="2"/>
  <c r="G1020" i="2"/>
  <c r="K1020" i="2" s="1"/>
  <c r="G1019" i="2"/>
  <c r="J1019" i="2" s="1"/>
  <c r="G1018" i="2"/>
  <c r="K1018" i="2" s="1"/>
  <c r="G1017" i="2"/>
  <c r="R1017" i="2" s="1"/>
  <c r="G1016" i="2"/>
  <c r="J1016" i="2" s="1"/>
  <c r="G1015" i="2"/>
  <c r="G1014" i="2"/>
  <c r="G1013" i="2"/>
  <c r="N1013" i="2" s="1"/>
  <c r="G1012" i="2"/>
  <c r="T1012" i="2" s="1"/>
  <c r="G1011" i="2"/>
  <c r="Q1011" i="2" s="1"/>
  <c r="G1010" i="2"/>
  <c r="G1009" i="2"/>
  <c r="G1008" i="2"/>
  <c r="N1008" i="2" s="1"/>
  <c r="G1007" i="2"/>
  <c r="R1007" i="2" s="1"/>
  <c r="G1006" i="2"/>
  <c r="P1006" i="2" s="1"/>
  <c r="G1005" i="2"/>
  <c r="G1004" i="2"/>
  <c r="G1003" i="2"/>
  <c r="G1002" i="2"/>
  <c r="G1001" i="2"/>
  <c r="G1000" i="2"/>
  <c r="G999" i="2"/>
  <c r="G998" i="2"/>
  <c r="N998" i="2" s="1"/>
  <c r="G997" i="2"/>
  <c r="L997" i="2" s="1"/>
  <c r="G996" i="2"/>
  <c r="H996" i="2" s="1"/>
  <c r="G995" i="2"/>
  <c r="I995" i="2" s="1"/>
  <c r="G994" i="2"/>
  <c r="N994" i="2" s="1"/>
  <c r="G993" i="2"/>
  <c r="G992" i="2"/>
  <c r="Q992" i="2" s="1"/>
  <c r="G991" i="2"/>
  <c r="G990" i="2"/>
  <c r="H990" i="2" s="1"/>
  <c r="G989" i="2"/>
  <c r="P989" i="2" s="1"/>
  <c r="G988" i="2"/>
  <c r="Q988" i="2" s="1"/>
  <c r="G987" i="2"/>
  <c r="G986" i="2"/>
  <c r="I986" i="2" s="1"/>
  <c r="G985" i="2"/>
  <c r="Q985" i="2" s="1"/>
  <c r="G984" i="2"/>
  <c r="G983" i="2"/>
  <c r="Q983" i="2" s="1"/>
  <c r="G982" i="2"/>
  <c r="G981" i="2"/>
  <c r="S981" i="2" s="1"/>
  <c r="G980" i="2"/>
  <c r="G979" i="2"/>
  <c r="H979" i="2" s="1"/>
  <c r="G978" i="2"/>
  <c r="L978" i="2" s="1"/>
  <c r="G977" i="2"/>
  <c r="H977" i="2" s="1"/>
  <c r="G976" i="2"/>
  <c r="O976" i="2" s="1"/>
  <c r="G975" i="2"/>
  <c r="M975" i="2" s="1"/>
  <c r="G974" i="2"/>
  <c r="T974" i="2" s="1"/>
  <c r="G973" i="2"/>
  <c r="J973" i="2" s="1"/>
  <c r="G972" i="2"/>
  <c r="G971" i="2"/>
  <c r="G970" i="2"/>
  <c r="P970" i="2" s="1"/>
  <c r="G969" i="2"/>
  <c r="G968" i="2"/>
  <c r="G967" i="2"/>
  <c r="M967" i="2" s="1"/>
  <c r="G966" i="2"/>
  <c r="K966" i="2" s="1"/>
  <c r="G965" i="2"/>
  <c r="L965" i="2" s="1"/>
  <c r="G964" i="2"/>
  <c r="Q964" i="2" s="1"/>
  <c r="G963" i="2"/>
  <c r="G962" i="2"/>
  <c r="N962" i="2" s="1"/>
  <c r="G961" i="2"/>
  <c r="S961" i="2" s="1"/>
  <c r="G960" i="2"/>
  <c r="J960" i="2" s="1"/>
  <c r="G959" i="2"/>
  <c r="J959" i="2" s="1"/>
  <c r="G958" i="2"/>
  <c r="R958" i="2" s="1"/>
  <c r="G957" i="2"/>
  <c r="G956" i="2"/>
  <c r="G955" i="2"/>
  <c r="G954" i="2"/>
  <c r="G953" i="2"/>
  <c r="T953" i="2" s="1"/>
  <c r="G952" i="2"/>
  <c r="J952" i="2" s="1"/>
  <c r="G951" i="2"/>
  <c r="G950" i="2"/>
  <c r="R950" i="2" s="1"/>
  <c r="G949" i="2"/>
  <c r="K949" i="2" s="1"/>
  <c r="G948" i="2"/>
  <c r="S948" i="2" s="1"/>
  <c r="G947" i="2"/>
  <c r="G946" i="2"/>
  <c r="J946" i="2" s="1"/>
  <c r="G945" i="2"/>
  <c r="M945" i="2" s="1"/>
  <c r="G944" i="2"/>
  <c r="G943" i="2"/>
  <c r="T943" i="2" s="1"/>
  <c r="G942" i="2"/>
  <c r="G941" i="2"/>
  <c r="G940" i="2"/>
  <c r="O940" i="2" s="1"/>
  <c r="G939" i="2"/>
  <c r="G938" i="2"/>
  <c r="J938" i="2" s="1"/>
  <c r="G937" i="2"/>
  <c r="H937" i="2" s="1"/>
  <c r="G936" i="2"/>
  <c r="Q936" i="2" s="1"/>
  <c r="G935" i="2"/>
  <c r="G934" i="2"/>
  <c r="T934" i="2" s="1"/>
  <c r="G933" i="2"/>
  <c r="G932" i="2"/>
  <c r="S932" i="2" s="1"/>
  <c r="G931" i="2"/>
  <c r="L931" i="2" s="1"/>
  <c r="G930" i="2"/>
  <c r="H930" i="2" s="1"/>
  <c r="G929" i="2"/>
  <c r="Q929" i="2" s="1"/>
  <c r="G928" i="2"/>
  <c r="G927" i="2"/>
  <c r="G926" i="2"/>
  <c r="G925" i="2"/>
  <c r="T925" i="2" s="1"/>
  <c r="G924" i="2"/>
  <c r="P924" i="2" s="1"/>
  <c r="G923" i="2"/>
  <c r="R923" i="2" s="1"/>
  <c r="G922" i="2"/>
  <c r="M922" i="2" s="1"/>
  <c r="G921" i="2"/>
  <c r="N921" i="2" s="1"/>
  <c r="G920" i="2"/>
  <c r="H920" i="2" s="1"/>
  <c r="G919" i="2"/>
  <c r="L919" i="2" s="1"/>
  <c r="G918" i="2"/>
  <c r="N918" i="2" s="1"/>
  <c r="G917" i="2"/>
  <c r="G916" i="2"/>
  <c r="G915" i="2"/>
  <c r="I915" i="2" s="1"/>
  <c r="G914" i="2"/>
  <c r="T914" i="2" s="1"/>
  <c r="G913" i="2"/>
  <c r="T913" i="2" s="1"/>
  <c r="G912" i="2"/>
  <c r="J912" i="2" s="1"/>
  <c r="G911" i="2"/>
  <c r="Q911" i="2" s="1"/>
  <c r="G910" i="2"/>
  <c r="I910" i="2" s="1"/>
  <c r="G909" i="2"/>
  <c r="G908" i="2"/>
  <c r="K908" i="2" s="1"/>
  <c r="G907" i="2"/>
  <c r="G906" i="2"/>
  <c r="Q906" i="2" s="1"/>
  <c r="G905" i="2"/>
  <c r="N905" i="2" s="1"/>
  <c r="G904" i="2"/>
  <c r="G903" i="2"/>
  <c r="J903" i="2" s="1"/>
  <c r="G902" i="2"/>
  <c r="K902" i="2" s="1"/>
  <c r="G901" i="2"/>
  <c r="G900" i="2"/>
  <c r="R900" i="2" s="1"/>
  <c r="G899" i="2"/>
  <c r="G898" i="2"/>
  <c r="I898" i="2" s="1"/>
  <c r="G897" i="2"/>
  <c r="T897" i="2" s="1"/>
  <c r="G896" i="2"/>
  <c r="G895" i="2"/>
  <c r="G894" i="2"/>
  <c r="G893" i="2"/>
  <c r="G892" i="2"/>
  <c r="G891" i="2"/>
  <c r="T891" i="2" s="1"/>
  <c r="G890" i="2"/>
  <c r="N890" i="2" s="1"/>
  <c r="G889" i="2"/>
  <c r="M889" i="2" s="1"/>
  <c r="G888" i="2"/>
  <c r="L888" i="2" s="1"/>
  <c r="G887" i="2"/>
  <c r="G886" i="2"/>
  <c r="G885" i="2"/>
  <c r="G884" i="2"/>
  <c r="G883" i="2"/>
  <c r="S883" i="2" s="1"/>
  <c r="G882" i="2"/>
  <c r="G881" i="2"/>
  <c r="G880" i="2"/>
  <c r="G879" i="2"/>
  <c r="L879" i="2" s="1"/>
  <c r="G878" i="2"/>
  <c r="G877" i="2"/>
  <c r="G876" i="2"/>
  <c r="G875" i="2"/>
  <c r="O875" i="2" s="1"/>
  <c r="G874" i="2"/>
  <c r="G873" i="2"/>
  <c r="S873" i="2" s="1"/>
  <c r="G872" i="2"/>
  <c r="Q872" i="2" s="1"/>
  <c r="G871" i="2"/>
  <c r="G870" i="2"/>
  <c r="P870" i="2" s="1"/>
  <c r="G869" i="2"/>
  <c r="J869" i="2" s="1"/>
  <c r="G868" i="2"/>
  <c r="Q868" i="2" s="1"/>
  <c r="G867" i="2"/>
  <c r="R867" i="2" s="1"/>
  <c r="G866" i="2"/>
  <c r="G865" i="2"/>
  <c r="I865" i="2" s="1"/>
  <c r="G864" i="2"/>
  <c r="T864" i="2" s="1"/>
  <c r="G863" i="2"/>
  <c r="G862" i="2"/>
  <c r="R862" i="2" s="1"/>
  <c r="G861" i="2"/>
  <c r="G860" i="2"/>
  <c r="G859" i="2"/>
  <c r="G858" i="2"/>
  <c r="Q858" i="2" s="1"/>
  <c r="G857" i="2"/>
  <c r="M857" i="2" s="1"/>
  <c r="G856" i="2"/>
  <c r="G855" i="2"/>
  <c r="G854" i="2"/>
  <c r="P854" i="2" s="1"/>
  <c r="G853" i="2"/>
  <c r="O853" i="2" s="1"/>
  <c r="G852" i="2"/>
  <c r="I852" i="2" s="1"/>
  <c r="G851" i="2"/>
  <c r="I851" i="2" s="1"/>
  <c r="G850" i="2"/>
  <c r="S850" i="2" s="1"/>
  <c r="G849" i="2"/>
  <c r="H849" i="2" s="1"/>
  <c r="G848" i="2"/>
  <c r="J848" i="2" s="1"/>
  <c r="G847" i="2"/>
  <c r="G846" i="2"/>
  <c r="P846" i="2" s="1"/>
  <c r="G845" i="2"/>
  <c r="T845" i="2" s="1"/>
  <c r="G844" i="2"/>
  <c r="S844" i="2" s="1"/>
  <c r="G843" i="2"/>
  <c r="G842" i="2"/>
  <c r="O842" i="2" s="1"/>
  <c r="G841" i="2"/>
  <c r="G840" i="2"/>
  <c r="P840" i="2" s="1"/>
  <c r="G839" i="2"/>
  <c r="G838" i="2"/>
  <c r="G837" i="2"/>
  <c r="M837" i="2" s="1"/>
  <c r="G836" i="2"/>
  <c r="P836" i="2" s="1"/>
  <c r="G835" i="2"/>
  <c r="G834" i="2"/>
  <c r="I834" i="2" s="1"/>
  <c r="G833" i="2"/>
  <c r="S833" i="2" s="1"/>
  <c r="G832" i="2"/>
  <c r="P832" i="2" s="1"/>
  <c r="G831" i="2"/>
  <c r="G830" i="2"/>
  <c r="O830" i="2" s="1"/>
  <c r="G829" i="2"/>
  <c r="H829" i="2" s="1"/>
  <c r="G828" i="2"/>
  <c r="R828" i="2" s="1"/>
  <c r="G827" i="2"/>
  <c r="Q827" i="2" s="1"/>
  <c r="G826" i="2"/>
  <c r="G825" i="2"/>
  <c r="I825" i="2" s="1"/>
  <c r="G824" i="2"/>
  <c r="G823" i="2"/>
  <c r="N823" i="2" s="1"/>
  <c r="G822" i="2"/>
  <c r="H822" i="2" s="1"/>
  <c r="G821" i="2"/>
  <c r="L821" i="2" s="1"/>
  <c r="G820" i="2"/>
  <c r="J820" i="2" s="1"/>
  <c r="G819" i="2"/>
  <c r="L819" i="2" s="1"/>
  <c r="G818" i="2"/>
  <c r="G817" i="2"/>
  <c r="M817" i="2" s="1"/>
  <c r="G816" i="2"/>
  <c r="M816" i="2" s="1"/>
  <c r="G815" i="2"/>
  <c r="M815" i="2" s="1"/>
  <c r="G814" i="2"/>
  <c r="N814" i="2" s="1"/>
  <c r="G813" i="2"/>
  <c r="R813" i="2" s="1"/>
  <c r="G812" i="2"/>
  <c r="G811" i="2"/>
  <c r="H811" i="2" s="1"/>
  <c r="G810" i="2"/>
  <c r="L810" i="2" s="1"/>
  <c r="G809" i="2"/>
  <c r="G808" i="2"/>
  <c r="Q808" i="2" s="1"/>
  <c r="G807" i="2"/>
  <c r="R807" i="2" s="1"/>
  <c r="G806" i="2"/>
  <c r="M806" i="2" s="1"/>
  <c r="G805" i="2"/>
  <c r="G804" i="2"/>
  <c r="M804" i="2" s="1"/>
  <c r="G803" i="2"/>
  <c r="R803" i="2" s="1"/>
  <c r="G802" i="2"/>
  <c r="G801" i="2"/>
  <c r="I801" i="2" s="1"/>
  <c r="G800" i="2"/>
  <c r="J800" i="2" s="1"/>
  <c r="G799" i="2"/>
  <c r="G798" i="2"/>
  <c r="M798" i="2" s="1"/>
  <c r="G797" i="2"/>
  <c r="G796" i="2"/>
  <c r="P796" i="2" s="1"/>
  <c r="G795" i="2"/>
  <c r="G794" i="2"/>
  <c r="G793" i="2"/>
  <c r="K793" i="2" s="1"/>
  <c r="G792" i="2"/>
  <c r="J792" i="2" s="1"/>
  <c r="G791" i="2"/>
  <c r="P791" i="2" s="1"/>
  <c r="G790" i="2"/>
  <c r="O790" i="2" s="1"/>
  <c r="G789" i="2"/>
  <c r="G788" i="2"/>
  <c r="I788" i="2" s="1"/>
  <c r="G787" i="2"/>
  <c r="T787" i="2" s="1"/>
  <c r="G786" i="2"/>
  <c r="N786" i="2" s="1"/>
  <c r="G785" i="2"/>
  <c r="G784" i="2"/>
  <c r="H784" i="2" s="1"/>
  <c r="G783" i="2"/>
  <c r="S783" i="2" s="1"/>
  <c r="G782" i="2"/>
  <c r="G781" i="2"/>
  <c r="G780" i="2"/>
  <c r="G779" i="2"/>
  <c r="H779" i="2" s="1"/>
  <c r="G778" i="2"/>
  <c r="G777" i="2"/>
  <c r="N777" i="2" s="1"/>
  <c r="G776" i="2"/>
  <c r="G775" i="2"/>
  <c r="S775" i="2" s="1"/>
  <c r="G774" i="2"/>
  <c r="T774" i="2" s="1"/>
  <c r="G773" i="2"/>
  <c r="S773" i="2" s="1"/>
  <c r="G772" i="2"/>
  <c r="G771" i="2"/>
  <c r="G770" i="2"/>
  <c r="G769" i="2"/>
  <c r="H769" i="2" s="1"/>
  <c r="G768" i="2"/>
  <c r="L768" i="2" s="1"/>
  <c r="G767" i="2"/>
  <c r="L767" i="2" s="1"/>
  <c r="G766" i="2"/>
  <c r="Q766" i="2" s="1"/>
  <c r="G765" i="2"/>
  <c r="G764" i="2"/>
  <c r="L764" i="2" s="1"/>
  <c r="G763" i="2"/>
  <c r="M763" i="2" s="1"/>
  <c r="G762" i="2"/>
  <c r="I762" i="2" s="1"/>
  <c r="G761" i="2"/>
  <c r="G760" i="2"/>
  <c r="I760" i="2" s="1"/>
  <c r="G759" i="2"/>
  <c r="M759" i="2" s="1"/>
  <c r="G758" i="2"/>
  <c r="R758" i="2" s="1"/>
  <c r="G757" i="2"/>
  <c r="G756" i="2"/>
  <c r="G755" i="2"/>
  <c r="G754" i="2"/>
  <c r="G753" i="2"/>
  <c r="K753" i="2" s="1"/>
  <c r="G752" i="2"/>
  <c r="G751" i="2"/>
  <c r="R751" i="2" s="1"/>
  <c r="G750" i="2"/>
  <c r="G749" i="2"/>
  <c r="I749" i="2" s="1"/>
  <c r="G748" i="2"/>
  <c r="L748" i="2" s="1"/>
  <c r="G747" i="2"/>
  <c r="G746" i="2"/>
  <c r="T746" i="2" s="1"/>
  <c r="G745" i="2"/>
  <c r="Q745" i="2" s="1"/>
  <c r="G744" i="2"/>
  <c r="G743" i="2"/>
  <c r="N743" i="2" s="1"/>
  <c r="G742" i="2"/>
  <c r="G741" i="2"/>
  <c r="Q741" i="2" s="1"/>
  <c r="G740" i="2"/>
  <c r="O740" i="2" s="1"/>
  <c r="G739" i="2"/>
  <c r="G738" i="2"/>
  <c r="I738" i="2" s="1"/>
  <c r="G737" i="2"/>
  <c r="K737" i="2" s="1"/>
  <c r="G736" i="2"/>
  <c r="T736" i="2" s="1"/>
  <c r="G735" i="2"/>
  <c r="M735" i="2" s="1"/>
  <c r="G734" i="2"/>
  <c r="L734" i="2" s="1"/>
  <c r="G733" i="2"/>
  <c r="I733" i="2" s="1"/>
  <c r="G732" i="2"/>
  <c r="J732" i="2" s="1"/>
  <c r="G731" i="2"/>
  <c r="I731" i="2" s="1"/>
  <c r="G730" i="2"/>
  <c r="K730" i="2" s="1"/>
  <c r="G729" i="2"/>
  <c r="M729" i="2" s="1"/>
  <c r="G728" i="2"/>
  <c r="M728" i="2" s="1"/>
  <c r="G727" i="2"/>
  <c r="G726" i="2"/>
  <c r="G725" i="2"/>
  <c r="G724" i="2"/>
  <c r="J724" i="2" s="1"/>
  <c r="G723" i="2"/>
  <c r="G722" i="2"/>
  <c r="G721" i="2"/>
  <c r="Q721" i="2" s="1"/>
  <c r="G720" i="2"/>
  <c r="G719" i="2"/>
  <c r="I719" i="2" s="1"/>
  <c r="G718" i="2"/>
  <c r="G717" i="2"/>
  <c r="G716" i="2"/>
  <c r="H716" i="2" s="1"/>
  <c r="G715" i="2"/>
  <c r="I715" i="2" s="1"/>
  <c r="G714" i="2"/>
  <c r="Q714" i="2" s="1"/>
  <c r="G713" i="2"/>
  <c r="G712" i="2"/>
  <c r="G711" i="2"/>
  <c r="G710" i="2"/>
  <c r="N710" i="2" s="1"/>
  <c r="G709" i="2"/>
  <c r="L709" i="2" s="1"/>
  <c r="G708" i="2"/>
  <c r="G707" i="2"/>
  <c r="G706" i="2"/>
  <c r="N706" i="2" s="1"/>
  <c r="G705" i="2"/>
  <c r="G704" i="2"/>
  <c r="I704" i="2" s="1"/>
  <c r="G703" i="2"/>
  <c r="G702" i="2"/>
  <c r="G701" i="2"/>
  <c r="S701" i="2" s="1"/>
  <c r="G700" i="2"/>
  <c r="S700" i="2" s="1"/>
  <c r="G699" i="2"/>
  <c r="R699" i="2" s="1"/>
  <c r="G698" i="2"/>
  <c r="R698" i="2" s="1"/>
  <c r="G697" i="2"/>
  <c r="G696" i="2"/>
  <c r="G695" i="2"/>
  <c r="O695" i="2" s="1"/>
  <c r="G694" i="2"/>
  <c r="H694" i="2" s="1"/>
  <c r="G693" i="2"/>
  <c r="I693" i="2" s="1"/>
  <c r="G692" i="2"/>
  <c r="G691" i="2"/>
  <c r="I691" i="2" s="1"/>
  <c r="G690" i="2"/>
  <c r="O690" i="2" s="1"/>
  <c r="G689" i="2"/>
  <c r="G688" i="2"/>
  <c r="L688" i="2" s="1"/>
  <c r="G687" i="2"/>
  <c r="G686" i="2"/>
  <c r="M686" i="2" s="1"/>
  <c r="G685" i="2"/>
  <c r="M685" i="2" s="1"/>
  <c r="G684" i="2"/>
  <c r="I684" i="2" s="1"/>
  <c r="G683" i="2"/>
  <c r="O683" i="2" s="1"/>
  <c r="G682" i="2"/>
  <c r="R682" i="2" s="1"/>
  <c r="G681" i="2"/>
  <c r="G680" i="2"/>
  <c r="O680" i="2" s="1"/>
  <c r="G679" i="2"/>
  <c r="K679" i="2" s="1"/>
  <c r="G678" i="2"/>
  <c r="G677" i="2"/>
  <c r="N677" i="2" s="1"/>
  <c r="G676" i="2"/>
  <c r="N676" i="2" s="1"/>
  <c r="G675" i="2"/>
  <c r="O675" i="2" s="1"/>
  <c r="G674" i="2"/>
  <c r="R674" i="2" s="1"/>
  <c r="G673" i="2"/>
  <c r="L673" i="2" s="1"/>
  <c r="G672" i="2"/>
  <c r="G671" i="2"/>
  <c r="T671" i="2" s="1"/>
  <c r="G670" i="2"/>
  <c r="R670" i="2" s="1"/>
  <c r="G669" i="2"/>
  <c r="G668" i="2"/>
  <c r="K668" i="2" s="1"/>
  <c r="G667" i="2"/>
  <c r="G666" i="2"/>
  <c r="T666" i="2" s="1"/>
  <c r="G665" i="2"/>
  <c r="G664" i="2"/>
  <c r="I664" i="2" s="1"/>
  <c r="G663" i="2"/>
  <c r="J663" i="2" s="1"/>
  <c r="G662" i="2"/>
  <c r="G661" i="2"/>
  <c r="G660" i="2"/>
  <c r="G659" i="2"/>
  <c r="H659" i="2" s="1"/>
  <c r="G658" i="2"/>
  <c r="G657" i="2"/>
  <c r="G656" i="2"/>
  <c r="P656" i="2" s="1"/>
  <c r="G655" i="2"/>
  <c r="G654" i="2"/>
  <c r="R654" i="2" s="1"/>
  <c r="G653" i="2"/>
  <c r="G652" i="2"/>
  <c r="G651" i="2"/>
  <c r="G650" i="2"/>
  <c r="G649" i="2"/>
  <c r="S649" i="2" s="1"/>
  <c r="G648" i="2"/>
  <c r="S648" i="2" s="1"/>
  <c r="G647" i="2"/>
  <c r="G646" i="2"/>
  <c r="G645" i="2"/>
  <c r="Q645" i="2" s="1"/>
  <c r="G644" i="2"/>
  <c r="G643" i="2"/>
  <c r="G642" i="2"/>
  <c r="R642" i="2" s="1"/>
  <c r="G641" i="2"/>
  <c r="L641" i="2" s="1"/>
  <c r="G640" i="2"/>
  <c r="H640" i="2" s="1"/>
  <c r="G639" i="2"/>
  <c r="K639" i="2" s="1"/>
  <c r="G638" i="2"/>
  <c r="N638" i="2" s="1"/>
  <c r="G637" i="2"/>
  <c r="H637" i="2" s="1"/>
  <c r="G636" i="2"/>
  <c r="G635" i="2"/>
  <c r="G634" i="2"/>
  <c r="G633" i="2"/>
  <c r="T633" i="2" s="1"/>
  <c r="G632" i="2"/>
  <c r="T632" i="2" s="1"/>
  <c r="G631" i="2"/>
  <c r="G630" i="2"/>
  <c r="L630" i="2" s="1"/>
  <c r="G629" i="2"/>
  <c r="T629" i="2" s="1"/>
  <c r="G628" i="2"/>
  <c r="G627" i="2"/>
  <c r="G626" i="2"/>
  <c r="L626" i="2" s="1"/>
  <c r="G625" i="2"/>
  <c r="Q625" i="2" s="1"/>
  <c r="G624" i="2"/>
  <c r="G623" i="2"/>
  <c r="G622" i="2"/>
  <c r="G621" i="2"/>
  <c r="G620" i="2"/>
  <c r="P620" i="2" s="1"/>
  <c r="G619" i="2"/>
  <c r="G618" i="2"/>
  <c r="I618" i="2" s="1"/>
  <c r="G617" i="2"/>
  <c r="G616" i="2"/>
  <c r="M616" i="2" s="1"/>
  <c r="G615" i="2"/>
  <c r="G614" i="2"/>
  <c r="G613" i="2"/>
  <c r="M613" i="2" s="1"/>
  <c r="G612" i="2"/>
  <c r="O612" i="2" s="1"/>
  <c r="G611" i="2"/>
  <c r="G610" i="2"/>
  <c r="G609" i="2"/>
  <c r="G608" i="2"/>
  <c r="I608" i="2" s="1"/>
  <c r="G607" i="2"/>
  <c r="G606" i="2"/>
  <c r="G605" i="2"/>
  <c r="G604" i="2"/>
  <c r="G603" i="2"/>
  <c r="H603" i="2" s="1"/>
  <c r="G602" i="2"/>
  <c r="J602" i="2" s="1"/>
  <c r="G601" i="2"/>
  <c r="P601" i="2" s="1"/>
  <c r="G600" i="2"/>
  <c r="G599" i="2"/>
  <c r="J599" i="2" s="1"/>
  <c r="G598" i="2"/>
  <c r="G597" i="2"/>
  <c r="H597" i="2" s="1"/>
  <c r="G596" i="2"/>
  <c r="I596" i="2" s="1"/>
  <c r="G595" i="2"/>
  <c r="T595" i="2" s="1"/>
  <c r="G594" i="2"/>
  <c r="G593" i="2"/>
  <c r="G592" i="2"/>
  <c r="R592" i="2" s="1"/>
  <c r="G591" i="2"/>
  <c r="Q591" i="2" s="1"/>
  <c r="G590" i="2"/>
  <c r="O590" i="2" s="1"/>
  <c r="G589" i="2"/>
  <c r="Q589" i="2" s="1"/>
  <c r="G588" i="2"/>
  <c r="J588" i="2" s="1"/>
  <c r="G587" i="2"/>
  <c r="G586" i="2"/>
  <c r="G585" i="2"/>
  <c r="G584" i="2"/>
  <c r="G583" i="2"/>
  <c r="G582" i="2"/>
  <c r="G581" i="2"/>
  <c r="N581" i="2" s="1"/>
  <c r="G580" i="2"/>
  <c r="H580" i="2" s="1"/>
  <c r="G579" i="2"/>
  <c r="G578" i="2"/>
  <c r="G577" i="2"/>
  <c r="G576" i="2"/>
  <c r="Q576" i="2" s="1"/>
  <c r="G575" i="2"/>
  <c r="P575" i="2" s="1"/>
  <c r="G574" i="2"/>
  <c r="O574" i="2" s="1"/>
  <c r="G573" i="2"/>
  <c r="N573" i="2" s="1"/>
  <c r="G572" i="2"/>
  <c r="H572" i="2" s="1"/>
  <c r="G571" i="2"/>
  <c r="H571" i="2" s="1"/>
  <c r="G570" i="2"/>
  <c r="G569" i="2"/>
  <c r="G568" i="2"/>
  <c r="G567" i="2"/>
  <c r="G566" i="2"/>
  <c r="T566" i="2" s="1"/>
  <c r="G565" i="2"/>
  <c r="T565" i="2" s="1"/>
  <c r="G564" i="2"/>
  <c r="L564" i="2" s="1"/>
  <c r="G563" i="2"/>
  <c r="Q563" i="2" s="1"/>
  <c r="G562" i="2"/>
  <c r="G561" i="2"/>
  <c r="L561" i="2" s="1"/>
  <c r="G560" i="2"/>
  <c r="K560" i="2" s="1"/>
  <c r="G559" i="2"/>
  <c r="G558" i="2"/>
  <c r="G557" i="2"/>
  <c r="L557" i="2" s="1"/>
  <c r="G556" i="2"/>
  <c r="G555" i="2"/>
  <c r="Q555" i="2" s="1"/>
  <c r="G554" i="2"/>
  <c r="I554" i="2" s="1"/>
  <c r="G553" i="2"/>
  <c r="G552" i="2"/>
  <c r="K552" i="2" s="1"/>
  <c r="G551" i="2"/>
  <c r="H551" i="2" s="1"/>
  <c r="G550" i="2"/>
  <c r="S550" i="2" s="1"/>
  <c r="G549" i="2"/>
  <c r="G548" i="2"/>
  <c r="O548" i="2" s="1"/>
  <c r="G547" i="2"/>
  <c r="T547" i="2" s="1"/>
  <c r="G546" i="2"/>
  <c r="G545" i="2"/>
  <c r="G544" i="2"/>
  <c r="T544" i="2" s="1"/>
  <c r="G543" i="2"/>
  <c r="T543" i="2" s="1"/>
  <c r="G542" i="2"/>
  <c r="G541" i="2"/>
  <c r="G540" i="2"/>
  <c r="G539" i="2"/>
  <c r="Q539" i="2" s="1"/>
  <c r="G538" i="2"/>
  <c r="G537" i="2"/>
  <c r="M537" i="2" s="1"/>
  <c r="G536" i="2"/>
  <c r="Q536" i="2" s="1"/>
  <c r="G535" i="2"/>
  <c r="G534" i="2"/>
  <c r="I534" i="2" s="1"/>
  <c r="G533" i="2"/>
  <c r="G532" i="2"/>
  <c r="N532" i="2" s="1"/>
  <c r="G531" i="2"/>
  <c r="G530" i="2"/>
  <c r="G529" i="2"/>
  <c r="M529" i="2" s="1"/>
  <c r="G528" i="2"/>
  <c r="G527" i="2"/>
  <c r="K527" i="2" s="1"/>
  <c r="G526" i="2"/>
  <c r="M526" i="2" s="1"/>
  <c r="G525" i="2"/>
  <c r="K525" i="2" s="1"/>
  <c r="G524" i="2"/>
  <c r="G523" i="2"/>
  <c r="P523" i="2" s="1"/>
  <c r="G522" i="2"/>
  <c r="G521" i="2"/>
  <c r="N521" i="2" s="1"/>
  <c r="G520" i="2"/>
  <c r="G519" i="2"/>
  <c r="O519" i="2" s="1"/>
  <c r="G518" i="2"/>
  <c r="M518" i="2" s="1"/>
  <c r="G517" i="2"/>
  <c r="G516" i="2"/>
  <c r="S516" i="2" s="1"/>
  <c r="G515" i="2"/>
  <c r="O515" i="2" s="1"/>
  <c r="G514" i="2"/>
  <c r="M514" i="2" s="1"/>
  <c r="G513" i="2"/>
  <c r="G512" i="2"/>
  <c r="Q512" i="2" s="1"/>
  <c r="G511" i="2"/>
  <c r="P511" i="2" s="1"/>
  <c r="G510" i="2"/>
  <c r="G509" i="2"/>
  <c r="G508" i="2"/>
  <c r="R508" i="2" s="1"/>
  <c r="G507" i="2"/>
  <c r="J507" i="2" s="1"/>
  <c r="G506" i="2"/>
  <c r="G505" i="2"/>
  <c r="G504" i="2"/>
  <c r="J504" i="2" s="1"/>
  <c r="G503" i="2"/>
  <c r="T503" i="2" s="1"/>
  <c r="G502" i="2"/>
  <c r="G501" i="2"/>
  <c r="Q501" i="2" s="1"/>
  <c r="G500" i="2"/>
  <c r="T500" i="2" s="1"/>
  <c r="G499" i="2"/>
  <c r="K499" i="2" s="1"/>
  <c r="G498" i="2"/>
  <c r="S498" i="2" s="1"/>
  <c r="G497" i="2"/>
  <c r="R497" i="2" s="1"/>
  <c r="G496" i="2"/>
  <c r="K496" i="2" s="1"/>
  <c r="G495" i="2"/>
  <c r="N495" i="2" s="1"/>
  <c r="G494" i="2"/>
  <c r="G493" i="2"/>
  <c r="T493" i="2" s="1"/>
  <c r="G492" i="2"/>
  <c r="T492" i="2" s="1"/>
  <c r="G491" i="2"/>
  <c r="P491" i="2" s="1"/>
  <c r="G490" i="2"/>
  <c r="G489" i="2"/>
  <c r="G488" i="2"/>
  <c r="G487" i="2"/>
  <c r="S487" i="2" s="1"/>
  <c r="G486" i="2"/>
  <c r="T486" i="2" s="1"/>
  <c r="G485" i="2"/>
  <c r="S485" i="2" s="1"/>
  <c r="G484" i="2"/>
  <c r="L484" i="2" s="1"/>
  <c r="G483" i="2"/>
  <c r="P483" i="2" s="1"/>
  <c r="G482" i="2"/>
  <c r="G481" i="2"/>
  <c r="G480" i="2"/>
  <c r="R480" i="2" s="1"/>
  <c r="G479" i="2"/>
  <c r="N479" i="2" s="1"/>
  <c r="G478" i="2"/>
  <c r="N478" i="2" s="1"/>
  <c r="G477" i="2"/>
  <c r="T477" i="2" s="1"/>
  <c r="G476" i="2"/>
  <c r="G475" i="2"/>
  <c r="Q475" i="2" s="1"/>
  <c r="G474" i="2"/>
  <c r="M474" i="2" s="1"/>
  <c r="G473" i="2"/>
  <c r="K473" i="2" s="1"/>
  <c r="G472" i="2"/>
  <c r="G471" i="2"/>
  <c r="G470" i="2"/>
  <c r="R470" i="2" s="1"/>
  <c r="G469" i="2"/>
  <c r="G468" i="2"/>
  <c r="G467" i="2"/>
  <c r="G466" i="2"/>
  <c r="Q466" i="2" s="1"/>
  <c r="G465" i="2"/>
  <c r="L465" i="2" s="1"/>
  <c r="G464" i="2"/>
  <c r="Q464" i="2" s="1"/>
  <c r="G463" i="2"/>
  <c r="G462" i="2"/>
  <c r="G461" i="2"/>
  <c r="O461" i="2" s="1"/>
  <c r="G460" i="2"/>
  <c r="P460" i="2" s="1"/>
  <c r="G459" i="2"/>
  <c r="T459" i="2" s="1"/>
  <c r="G458" i="2"/>
  <c r="G457" i="2"/>
  <c r="P457" i="2" s="1"/>
  <c r="G456" i="2"/>
  <c r="O456" i="2" s="1"/>
  <c r="G455" i="2"/>
  <c r="K455" i="2" s="1"/>
  <c r="G454" i="2"/>
  <c r="S454" i="2" s="1"/>
  <c r="G453" i="2"/>
  <c r="N453" i="2" s="1"/>
  <c r="G452" i="2"/>
  <c r="H452" i="2" s="1"/>
  <c r="G451" i="2"/>
  <c r="G450" i="2"/>
  <c r="G449" i="2"/>
  <c r="G448" i="2"/>
  <c r="H448" i="2" s="1"/>
  <c r="G447" i="2"/>
  <c r="G446" i="2"/>
  <c r="H446" i="2" s="1"/>
  <c r="G445" i="2"/>
  <c r="G444" i="2"/>
  <c r="J444" i="2" s="1"/>
  <c r="G443" i="2"/>
  <c r="M443" i="2" s="1"/>
  <c r="G442" i="2"/>
  <c r="G441" i="2"/>
  <c r="S441" i="2" s="1"/>
  <c r="G440" i="2"/>
  <c r="G439" i="2"/>
  <c r="G438" i="2"/>
  <c r="L438" i="2" s="1"/>
  <c r="G437" i="2"/>
  <c r="O437" i="2" s="1"/>
  <c r="G436" i="2"/>
  <c r="S436" i="2" s="1"/>
  <c r="G435" i="2"/>
  <c r="R435" i="2" s="1"/>
  <c r="G434" i="2"/>
  <c r="H434" i="2" s="1"/>
  <c r="G433" i="2"/>
  <c r="G432" i="2"/>
  <c r="N432" i="2" s="1"/>
  <c r="G431" i="2"/>
  <c r="G430" i="2"/>
  <c r="I430" i="2" s="1"/>
  <c r="G429" i="2"/>
  <c r="P429" i="2" s="1"/>
  <c r="G428" i="2"/>
  <c r="N428" i="2" s="1"/>
  <c r="G427" i="2"/>
  <c r="O427" i="2" s="1"/>
  <c r="G426" i="2"/>
  <c r="G425" i="2"/>
  <c r="O425" i="2" s="1"/>
  <c r="G424" i="2"/>
  <c r="S424" i="2" s="1"/>
  <c r="G423" i="2"/>
  <c r="G422" i="2"/>
  <c r="G421" i="2"/>
  <c r="G420" i="2"/>
  <c r="G419" i="2"/>
  <c r="T419" i="2" s="1"/>
  <c r="G418" i="2"/>
  <c r="G417" i="2"/>
  <c r="P417" i="2" s="1"/>
  <c r="G416" i="2"/>
  <c r="R416" i="2" s="1"/>
  <c r="G415" i="2"/>
  <c r="N415" i="2" s="1"/>
  <c r="G414" i="2"/>
  <c r="G413" i="2"/>
  <c r="T413" i="2" s="1"/>
  <c r="G412" i="2"/>
  <c r="G411" i="2"/>
  <c r="I411" i="2" s="1"/>
  <c r="G410" i="2"/>
  <c r="G409" i="2"/>
  <c r="P409" i="2" s="1"/>
  <c r="G408" i="2"/>
  <c r="N408" i="2" s="1"/>
  <c r="G407" i="2"/>
  <c r="S407" i="2" s="1"/>
  <c r="G406" i="2"/>
  <c r="R406" i="2" s="1"/>
  <c r="G405" i="2"/>
  <c r="O405" i="2" s="1"/>
  <c r="G404" i="2"/>
  <c r="T404" i="2" s="1"/>
  <c r="G403" i="2"/>
  <c r="S403" i="2" s="1"/>
  <c r="G402" i="2"/>
  <c r="G401" i="2"/>
  <c r="G400" i="2"/>
  <c r="M400" i="2" s="1"/>
  <c r="G399" i="2"/>
  <c r="R399" i="2" s="1"/>
  <c r="G398" i="2"/>
  <c r="G397" i="2"/>
  <c r="G396" i="2"/>
  <c r="T396" i="2" s="1"/>
  <c r="G395" i="2"/>
  <c r="N395" i="2" s="1"/>
  <c r="G394" i="2"/>
  <c r="G393" i="2"/>
  <c r="O393" i="2" s="1"/>
  <c r="G392" i="2"/>
  <c r="T392" i="2" s="1"/>
  <c r="G391" i="2"/>
  <c r="N391" i="2" s="1"/>
  <c r="G390" i="2"/>
  <c r="O390" i="2" s="1"/>
  <c r="G389" i="2"/>
  <c r="N389" i="2" s="1"/>
  <c r="G388" i="2"/>
  <c r="G387" i="2"/>
  <c r="S387" i="2" s="1"/>
  <c r="G386" i="2"/>
  <c r="T386" i="2" s="1"/>
  <c r="G385" i="2"/>
  <c r="R385" i="2" s="1"/>
  <c r="G384" i="2"/>
  <c r="G383" i="2"/>
  <c r="Q383" i="2" s="1"/>
  <c r="G382" i="2"/>
  <c r="G381" i="2"/>
  <c r="G380" i="2"/>
  <c r="P380" i="2" s="1"/>
  <c r="G379" i="2"/>
  <c r="G378" i="2"/>
  <c r="O378" i="2" s="1"/>
  <c r="G377" i="2"/>
  <c r="T377" i="2" s="1"/>
  <c r="G376" i="2"/>
  <c r="G375" i="2"/>
  <c r="K375" i="2" s="1"/>
  <c r="G374" i="2"/>
  <c r="G373" i="2"/>
  <c r="G372" i="2"/>
  <c r="G371" i="2"/>
  <c r="N371" i="2" s="1"/>
  <c r="G370" i="2"/>
  <c r="G369" i="2"/>
  <c r="O369" i="2" s="1"/>
  <c r="G368" i="2"/>
  <c r="L368" i="2" s="1"/>
  <c r="G367" i="2"/>
  <c r="Q367" i="2" s="1"/>
  <c r="G366" i="2"/>
  <c r="K366" i="2" s="1"/>
  <c r="G365" i="2"/>
  <c r="G364" i="2"/>
  <c r="G363" i="2"/>
  <c r="G362" i="2"/>
  <c r="Q362" i="2" s="1"/>
  <c r="G361" i="2"/>
  <c r="L361" i="2" s="1"/>
  <c r="G360" i="2"/>
  <c r="G359" i="2"/>
  <c r="G358" i="2"/>
  <c r="K358" i="2" s="1"/>
  <c r="G357" i="2"/>
  <c r="R357" i="2" s="1"/>
  <c r="G356" i="2"/>
  <c r="L356" i="2" s="1"/>
  <c r="G355" i="2"/>
  <c r="N355" i="2" s="1"/>
  <c r="G354" i="2"/>
  <c r="R354" i="2" s="1"/>
  <c r="G353" i="2"/>
  <c r="I353" i="2" s="1"/>
  <c r="G352" i="2"/>
  <c r="R352" i="2" s="1"/>
  <c r="G351" i="2"/>
  <c r="H351" i="2" s="1"/>
  <c r="G350" i="2"/>
  <c r="K350" i="2" s="1"/>
  <c r="G349" i="2"/>
  <c r="G348" i="2"/>
  <c r="O348" i="2" s="1"/>
  <c r="G347" i="2"/>
  <c r="G346" i="2"/>
  <c r="G345" i="2"/>
  <c r="S345" i="2" s="1"/>
  <c r="G344" i="2"/>
  <c r="O344" i="2" s="1"/>
  <c r="G343" i="2"/>
  <c r="S343" i="2" s="1"/>
  <c r="G342" i="2"/>
  <c r="I342" i="2" s="1"/>
  <c r="G341" i="2"/>
  <c r="S341" i="2" s="1"/>
  <c r="G340" i="2"/>
  <c r="P340" i="2" s="1"/>
  <c r="G339" i="2"/>
  <c r="G338" i="2"/>
  <c r="G337" i="2"/>
  <c r="H337" i="2" s="1"/>
  <c r="G336" i="2"/>
  <c r="G335" i="2"/>
  <c r="L335" i="2" s="1"/>
  <c r="G334" i="2"/>
  <c r="G333" i="2"/>
  <c r="I333" i="2" s="1"/>
  <c r="G332" i="2"/>
  <c r="S332" i="2" s="1"/>
  <c r="G331" i="2"/>
  <c r="G330" i="2"/>
  <c r="P330" i="2" s="1"/>
  <c r="G329" i="2"/>
  <c r="G328" i="2"/>
  <c r="L328" i="2" s="1"/>
  <c r="G327" i="2"/>
  <c r="S327" i="2" s="1"/>
  <c r="G326" i="2"/>
  <c r="I326" i="2" s="1"/>
  <c r="G325" i="2"/>
  <c r="L325" i="2" s="1"/>
  <c r="G324" i="2"/>
  <c r="Q324" i="2" s="1"/>
  <c r="G323" i="2"/>
  <c r="R323" i="2" s="1"/>
  <c r="G322" i="2"/>
  <c r="G321" i="2"/>
  <c r="G320" i="2"/>
  <c r="G319" i="2"/>
  <c r="H319" i="2" s="1"/>
  <c r="G318" i="2"/>
  <c r="G317" i="2"/>
  <c r="G316" i="2"/>
  <c r="G315" i="2"/>
  <c r="G314" i="2"/>
  <c r="Q314" i="2" s="1"/>
  <c r="G313" i="2"/>
  <c r="M313" i="2" s="1"/>
  <c r="G312" i="2"/>
  <c r="P312" i="2" s="1"/>
  <c r="G311" i="2"/>
  <c r="N311" i="2" s="1"/>
  <c r="G310" i="2"/>
  <c r="P310" i="2" s="1"/>
  <c r="G309" i="2"/>
  <c r="I309" i="2" s="1"/>
  <c r="G308" i="2"/>
  <c r="G307" i="2"/>
  <c r="I307" i="2" s="1"/>
  <c r="G306" i="2"/>
  <c r="P306" i="2" s="1"/>
  <c r="G305" i="2"/>
  <c r="H305" i="2" s="1"/>
  <c r="G304" i="2"/>
  <c r="T304" i="2" s="1"/>
  <c r="G303" i="2"/>
  <c r="T303" i="2" s="1"/>
  <c r="G302" i="2"/>
  <c r="G301" i="2"/>
  <c r="G300" i="2"/>
  <c r="T300" i="2" s="1"/>
  <c r="G299" i="2"/>
  <c r="G298" i="2"/>
  <c r="G297" i="2"/>
  <c r="G296" i="2"/>
  <c r="G295" i="2"/>
  <c r="G294" i="2"/>
  <c r="G293" i="2"/>
  <c r="G292" i="2"/>
  <c r="J292" i="2" s="1"/>
  <c r="G291" i="2"/>
  <c r="G290" i="2"/>
  <c r="G289" i="2"/>
  <c r="G288" i="2"/>
  <c r="S288" i="2" s="1"/>
  <c r="G287" i="2"/>
  <c r="R287" i="2" s="1"/>
  <c r="G286" i="2"/>
  <c r="G285" i="2"/>
  <c r="G284" i="2"/>
  <c r="G283" i="2"/>
  <c r="G282" i="2"/>
  <c r="T282" i="2" s="1"/>
  <c r="G281" i="2"/>
  <c r="Q281" i="2" s="1"/>
  <c r="G280" i="2"/>
  <c r="G279" i="2"/>
  <c r="N279" i="2" s="1"/>
  <c r="G278" i="2"/>
  <c r="J278" i="2" s="1"/>
  <c r="G277" i="2"/>
  <c r="P277" i="2" s="1"/>
  <c r="G276" i="2"/>
  <c r="G275" i="2"/>
  <c r="P275" i="2" s="1"/>
  <c r="G274" i="2"/>
  <c r="S274" i="2" s="1"/>
  <c r="G273" i="2"/>
  <c r="G272" i="2"/>
  <c r="T272" i="2" s="1"/>
  <c r="G271" i="2"/>
  <c r="G270" i="2"/>
  <c r="P270" i="2" s="1"/>
  <c r="G269" i="2"/>
  <c r="J269" i="2" s="1"/>
  <c r="G268" i="2"/>
  <c r="G267" i="2"/>
  <c r="P267" i="2" s="1"/>
  <c r="G266" i="2"/>
  <c r="S266" i="2" s="1"/>
  <c r="G265" i="2"/>
  <c r="I265" i="2" s="1"/>
  <c r="G264" i="2"/>
  <c r="Q264" i="2" s="1"/>
  <c r="G263" i="2"/>
  <c r="Q263" i="2" s="1"/>
  <c r="G262" i="2"/>
  <c r="G261" i="2"/>
  <c r="J261" i="2" s="1"/>
  <c r="G260" i="2"/>
  <c r="G259" i="2"/>
  <c r="S259" i="2" s="1"/>
  <c r="G258" i="2"/>
  <c r="L258" i="2" s="1"/>
  <c r="G257" i="2"/>
  <c r="Q257" i="2" s="1"/>
  <c r="G256" i="2"/>
  <c r="N256" i="2" s="1"/>
  <c r="G255" i="2"/>
  <c r="R255" i="2" s="1"/>
  <c r="G254" i="2"/>
  <c r="R254" i="2" s="1"/>
  <c r="G253" i="2"/>
  <c r="O253" i="2" s="1"/>
  <c r="G252" i="2"/>
  <c r="M252" i="2" s="1"/>
  <c r="G251" i="2"/>
  <c r="Q251" i="2" s="1"/>
  <c r="G250" i="2"/>
  <c r="G249" i="2"/>
  <c r="G248" i="2"/>
  <c r="Q248" i="2" s="1"/>
  <c r="G247" i="2"/>
  <c r="K247" i="2" s="1"/>
  <c r="G246" i="2"/>
  <c r="G245" i="2"/>
  <c r="G244" i="2"/>
  <c r="R244" i="2" s="1"/>
  <c r="G243" i="2"/>
  <c r="S243" i="2" s="1"/>
  <c r="G242" i="2"/>
  <c r="M242" i="2" s="1"/>
  <c r="G241" i="2"/>
  <c r="G240" i="2"/>
  <c r="I240" i="2" s="1"/>
  <c r="G239" i="2"/>
  <c r="G238" i="2"/>
  <c r="Q238" i="2" s="1"/>
  <c r="G237" i="2"/>
  <c r="G236" i="2"/>
  <c r="G235" i="2"/>
  <c r="Q235" i="2" s="1"/>
  <c r="G234" i="2"/>
  <c r="G233" i="2"/>
  <c r="R233" i="2" s="1"/>
  <c r="G232" i="2"/>
  <c r="H232" i="2" s="1"/>
  <c r="G231" i="2"/>
  <c r="I231" i="2" s="1"/>
  <c r="G230" i="2"/>
  <c r="M230" i="2" s="1"/>
  <c r="G229" i="2"/>
  <c r="G228" i="2"/>
  <c r="L228" i="2" s="1"/>
  <c r="G227" i="2"/>
  <c r="G226" i="2"/>
  <c r="G225" i="2"/>
  <c r="J225" i="2" s="1"/>
  <c r="G224" i="2"/>
  <c r="R224" i="2" s="1"/>
  <c r="G223" i="2"/>
  <c r="J223" i="2" s="1"/>
  <c r="G222" i="2"/>
  <c r="T222" i="2" s="1"/>
  <c r="G221" i="2"/>
  <c r="P221" i="2" s="1"/>
  <c r="G220" i="2"/>
  <c r="S220" i="2" s="1"/>
  <c r="G219" i="2"/>
  <c r="G218" i="2"/>
  <c r="S218" i="2" s="1"/>
  <c r="G217" i="2"/>
  <c r="M217" i="2" s="1"/>
  <c r="G216" i="2"/>
  <c r="H216" i="2" s="1"/>
  <c r="G215" i="2"/>
  <c r="H215" i="2" s="1"/>
  <c r="G214" i="2"/>
  <c r="S214" i="2" s="1"/>
  <c r="G213" i="2"/>
  <c r="T213" i="2" s="1"/>
  <c r="G212" i="2"/>
  <c r="G211" i="2"/>
  <c r="G210" i="2"/>
  <c r="M210" i="2" s="1"/>
  <c r="G209" i="2"/>
  <c r="H209" i="2" s="1"/>
  <c r="G208" i="2"/>
  <c r="L208" i="2" s="1"/>
  <c r="G207" i="2"/>
  <c r="M207" i="2" s="1"/>
  <c r="G206" i="2"/>
  <c r="T206" i="2" s="1"/>
  <c r="G205" i="2"/>
  <c r="K205" i="2" s="1"/>
  <c r="G204" i="2"/>
  <c r="G203" i="2"/>
  <c r="N203" i="2" s="1"/>
  <c r="G202" i="2"/>
  <c r="M202" i="2" s="1"/>
  <c r="G201" i="2"/>
  <c r="G200" i="2"/>
  <c r="Q200" i="2" s="1"/>
  <c r="G199" i="2"/>
  <c r="G198" i="2"/>
  <c r="G197" i="2"/>
  <c r="G196" i="2"/>
  <c r="G195" i="2"/>
  <c r="O195" i="2" s="1"/>
  <c r="G194" i="2"/>
  <c r="J194" i="2" s="1"/>
  <c r="G193" i="2"/>
  <c r="K193" i="2" s="1"/>
  <c r="G192" i="2"/>
  <c r="K192" i="2" s="1"/>
  <c r="G191" i="2"/>
  <c r="L191" i="2" s="1"/>
  <c r="G190" i="2"/>
  <c r="L190" i="2" s="1"/>
  <c r="G189" i="2"/>
  <c r="G188" i="2"/>
  <c r="G187" i="2"/>
  <c r="G186" i="2"/>
  <c r="K186" i="2" s="1"/>
  <c r="G185" i="2"/>
  <c r="P185" i="2" s="1"/>
  <c r="G184" i="2"/>
  <c r="N184" i="2" s="1"/>
  <c r="G183" i="2"/>
  <c r="I183" i="2" s="1"/>
  <c r="G182" i="2"/>
  <c r="P182" i="2" s="1"/>
  <c r="G181" i="2"/>
  <c r="Q181" i="2" s="1"/>
  <c r="G180" i="2"/>
  <c r="G179" i="2"/>
  <c r="O179" i="2" s="1"/>
  <c r="G178" i="2"/>
  <c r="N178" i="2" s="1"/>
  <c r="G177" i="2"/>
  <c r="T177" i="2" s="1"/>
  <c r="G176" i="2"/>
  <c r="G175" i="2"/>
  <c r="I175" i="2" s="1"/>
  <c r="G174" i="2"/>
  <c r="T174" i="2" s="1"/>
  <c r="G173" i="2"/>
  <c r="L173" i="2" s="1"/>
  <c r="G172" i="2"/>
  <c r="T172" i="2" s="1"/>
  <c r="G171" i="2"/>
  <c r="G170" i="2"/>
  <c r="J170" i="2" s="1"/>
  <c r="G169" i="2"/>
  <c r="S169" i="2" s="1"/>
  <c r="G168" i="2"/>
  <c r="G167" i="2"/>
  <c r="G166" i="2"/>
  <c r="J166" i="2" s="1"/>
  <c r="G165" i="2"/>
  <c r="T165" i="2" s="1"/>
  <c r="G164" i="2"/>
  <c r="G163" i="2"/>
  <c r="R163" i="2" s="1"/>
  <c r="G162" i="2"/>
  <c r="N162" i="2" s="1"/>
  <c r="G161" i="2"/>
  <c r="P161" i="2" s="1"/>
  <c r="G160" i="2"/>
  <c r="O160" i="2" s="1"/>
  <c r="G159" i="2"/>
  <c r="H159" i="2" s="1"/>
  <c r="G158" i="2"/>
  <c r="N158" i="2" s="1"/>
  <c r="G157" i="2"/>
  <c r="S157" i="2" s="1"/>
  <c r="G156" i="2"/>
  <c r="G155" i="2"/>
  <c r="G154" i="2"/>
  <c r="G153" i="2"/>
  <c r="G152" i="2"/>
  <c r="N152" i="2" s="1"/>
  <c r="G151" i="2"/>
  <c r="L151" i="2" s="1"/>
  <c r="G150" i="2"/>
  <c r="S150" i="2" s="1"/>
  <c r="G149" i="2"/>
  <c r="N149" i="2" s="1"/>
  <c r="G148" i="2"/>
  <c r="P148" i="2" s="1"/>
  <c r="G147" i="2"/>
  <c r="G146" i="2"/>
  <c r="G145" i="2"/>
  <c r="K145" i="2" s="1"/>
  <c r="G144" i="2"/>
  <c r="M144" i="2" s="1"/>
  <c r="G143" i="2"/>
  <c r="G142" i="2"/>
  <c r="L142" i="2" s="1"/>
  <c r="G141" i="2"/>
  <c r="Q141" i="2" s="1"/>
  <c r="G140" i="2"/>
  <c r="O140" i="2" s="1"/>
  <c r="G139" i="2"/>
  <c r="J139" i="2" s="1"/>
  <c r="G138" i="2"/>
  <c r="R138" i="2" s="1"/>
  <c r="G137" i="2"/>
  <c r="G136" i="2"/>
  <c r="G135" i="2"/>
  <c r="I135" i="2" s="1"/>
  <c r="G134" i="2"/>
  <c r="H134" i="2" s="1"/>
  <c r="G133" i="2"/>
  <c r="G132" i="2"/>
  <c r="O132" i="2" s="1"/>
  <c r="G131" i="2"/>
  <c r="H131" i="2" s="1"/>
  <c r="G130" i="2"/>
  <c r="L130" i="2" s="1"/>
  <c r="G129" i="2"/>
  <c r="T129" i="2" s="1"/>
  <c r="G128" i="2"/>
  <c r="J128" i="2" s="1"/>
  <c r="G127" i="2"/>
  <c r="Q127" i="2" s="1"/>
  <c r="G126" i="2"/>
  <c r="G125" i="2"/>
  <c r="N125" i="2" s="1"/>
  <c r="G124" i="2"/>
  <c r="G123" i="2"/>
  <c r="L123" i="2" s="1"/>
  <c r="G122" i="2"/>
  <c r="S122" i="2" s="1"/>
  <c r="G121" i="2"/>
  <c r="Q121" i="2" s="1"/>
  <c r="G120" i="2"/>
  <c r="J120" i="2" s="1"/>
  <c r="G119" i="2"/>
  <c r="S119" i="2" s="1"/>
  <c r="G118" i="2"/>
  <c r="T118" i="2" s="1"/>
  <c r="G117" i="2"/>
  <c r="S117" i="2" s="1"/>
  <c r="G116" i="2"/>
  <c r="S116" i="2" s="1"/>
  <c r="G115" i="2"/>
  <c r="H115" i="2" s="1"/>
  <c r="G114" i="2"/>
  <c r="G113" i="2"/>
  <c r="L113" i="2" s="1"/>
  <c r="G112" i="2"/>
  <c r="S112" i="2" s="1"/>
  <c r="G111" i="2"/>
  <c r="J111" i="2" s="1"/>
  <c r="G110" i="2"/>
  <c r="S110" i="2" s="1"/>
  <c r="G109" i="2"/>
  <c r="G108" i="2"/>
  <c r="S108" i="2" s="1"/>
  <c r="G107" i="2"/>
  <c r="L107" i="2" s="1"/>
  <c r="G106" i="2"/>
  <c r="N106" i="2" s="1"/>
  <c r="G105" i="2"/>
  <c r="N105" i="2" s="1"/>
  <c r="G104" i="2"/>
  <c r="G103" i="2"/>
  <c r="P103" i="2" s="1"/>
  <c r="G101" i="2"/>
  <c r="L101" i="2" s="1"/>
  <c r="G100" i="2"/>
  <c r="T100" i="2" s="1"/>
  <c r="G97" i="2"/>
  <c r="R97" i="2" s="1"/>
  <c r="G86" i="2"/>
  <c r="E59" i="2"/>
  <c r="F59" i="2" s="1"/>
  <c r="D59" i="2"/>
  <c r="E58" i="2"/>
  <c r="F58" i="2" s="1"/>
  <c r="D58" i="2"/>
  <c r="E57" i="2"/>
  <c r="F57" i="2" s="1"/>
  <c r="D57" i="2"/>
  <c r="E56" i="2"/>
  <c r="F56" i="2" s="1"/>
  <c r="D56" i="2"/>
  <c r="E55" i="2"/>
  <c r="F55" i="2" s="1"/>
  <c r="D55" i="2"/>
  <c r="E54" i="2"/>
  <c r="F54" i="2" s="1"/>
  <c r="D54" i="2"/>
  <c r="E53" i="2"/>
  <c r="F53" i="2" s="1"/>
  <c r="D53" i="2"/>
  <c r="E52" i="2"/>
  <c r="F52" i="2" s="1"/>
  <c r="D52" i="2"/>
  <c r="E51" i="2"/>
  <c r="F51" i="2" s="1"/>
  <c r="D51" i="2"/>
  <c r="E50" i="2"/>
  <c r="F50" i="2" s="1"/>
  <c r="D50" i="2"/>
  <c r="E49" i="2"/>
  <c r="F49" i="2" s="1"/>
  <c r="D49" i="2"/>
  <c r="E48" i="2"/>
  <c r="F48" i="2" s="1"/>
  <c r="D48" i="2"/>
  <c r="E47" i="2"/>
  <c r="F47" i="2" s="1"/>
  <c r="D47" i="2"/>
  <c r="E46" i="2"/>
  <c r="F46" i="2" s="1"/>
  <c r="D46" i="2"/>
  <c r="E45" i="2"/>
  <c r="F45" i="2" s="1"/>
  <c r="D45" i="2"/>
  <c r="E44" i="2"/>
  <c r="F44" i="2" s="1"/>
  <c r="D44" i="2"/>
  <c r="E43" i="2"/>
  <c r="F43" i="2" s="1"/>
  <c r="D43" i="2"/>
  <c r="E42" i="2"/>
  <c r="F42" i="2" s="1"/>
  <c r="D42" i="2"/>
  <c r="E41" i="2"/>
  <c r="F41" i="2" s="1"/>
  <c r="D41" i="2"/>
  <c r="E40" i="2"/>
  <c r="F40" i="2" s="1"/>
  <c r="D40" i="2"/>
  <c r="E39" i="2"/>
  <c r="F39" i="2" s="1"/>
  <c r="D39" i="2"/>
  <c r="E38" i="2"/>
  <c r="F38" i="2" s="1"/>
  <c r="D38" i="2"/>
  <c r="E37" i="2"/>
  <c r="F37" i="2" s="1"/>
  <c r="D37" i="2"/>
  <c r="E36" i="2"/>
  <c r="F36" i="2" s="1"/>
  <c r="D36" i="2"/>
  <c r="E35" i="2"/>
  <c r="F35" i="2" s="1"/>
  <c r="D35" i="2"/>
  <c r="E34" i="2"/>
  <c r="F34" i="2" s="1"/>
  <c r="D34" i="2"/>
  <c r="E33" i="2"/>
  <c r="F33" i="2" s="1"/>
  <c r="D33" i="2"/>
  <c r="E32" i="2"/>
  <c r="F32" i="2" s="1"/>
  <c r="D32" i="2"/>
  <c r="E31" i="2"/>
  <c r="F31" i="2" s="1"/>
  <c r="D31" i="2"/>
  <c r="E30" i="2"/>
  <c r="F30" i="2" s="1"/>
  <c r="D30" i="2"/>
  <c r="E29" i="2"/>
  <c r="F29" i="2" s="1"/>
  <c r="D29" i="2"/>
  <c r="E28" i="2"/>
  <c r="F28" i="2" s="1"/>
  <c r="D28" i="2"/>
  <c r="E27" i="2"/>
  <c r="F27" i="2" s="1"/>
  <c r="D27" i="2"/>
  <c r="E26" i="2"/>
  <c r="F26" i="2" s="1"/>
  <c r="D26" i="2"/>
  <c r="E25" i="2"/>
  <c r="F25" i="2" s="1"/>
  <c r="D25" i="2"/>
  <c r="E24" i="2"/>
  <c r="F24" i="2" s="1"/>
  <c r="D24" i="2"/>
  <c r="E23" i="2"/>
  <c r="F23" i="2" s="1"/>
  <c r="D23" i="2"/>
  <c r="E22" i="2"/>
  <c r="F22" i="2" s="1"/>
  <c r="D22" i="2"/>
  <c r="AC21" i="2"/>
  <c r="V21" i="2"/>
  <c r="X21" i="2" s="1"/>
  <c r="E21" i="2"/>
  <c r="F21" i="2" s="1"/>
  <c r="D21" i="2"/>
  <c r="AC20" i="2"/>
  <c r="E20" i="2"/>
  <c r="F20" i="2" s="1"/>
  <c r="D20" i="2"/>
  <c r="AC19" i="2"/>
  <c r="W19" i="2"/>
  <c r="E19" i="2"/>
  <c r="F19" i="2" s="1"/>
  <c r="D19" i="2"/>
  <c r="AC18" i="2"/>
  <c r="Y18" i="2"/>
  <c r="AD18" i="2" s="1"/>
  <c r="X18" i="2"/>
  <c r="W18" i="2"/>
  <c r="E18" i="2"/>
  <c r="F18" i="2" s="1"/>
  <c r="D18" i="2"/>
  <c r="AC17" i="2"/>
  <c r="W17" i="2"/>
  <c r="E17" i="2"/>
  <c r="F17" i="2" s="1"/>
  <c r="D17" i="2"/>
  <c r="AC16" i="2"/>
  <c r="W16" i="2"/>
  <c r="E16" i="2"/>
  <c r="F16" i="2" s="1"/>
  <c r="D16" i="2"/>
  <c r="AC15" i="2"/>
  <c r="W15" i="2"/>
  <c r="E15" i="2"/>
  <c r="F15" i="2" s="1"/>
  <c r="D15" i="2"/>
  <c r="AC14" i="2"/>
  <c r="W14" i="2"/>
  <c r="E14" i="2"/>
  <c r="F14" i="2" s="1"/>
  <c r="D14" i="2"/>
  <c r="AC13" i="2"/>
  <c r="W13" i="2"/>
  <c r="E13" i="2"/>
  <c r="F13" i="2" s="1"/>
  <c r="D13" i="2"/>
  <c r="AC12" i="2"/>
  <c r="W12" i="2"/>
  <c r="E12" i="2"/>
  <c r="F12" i="2" s="1"/>
  <c r="D12" i="2"/>
  <c r="AC11" i="2"/>
  <c r="W11" i="2"/>
  <c r="E11" i="2"/>
  <c r="F11" i="2" s="1"/>
  <c r="D11" i="2"/>
  <c r="AC10" i="2"/>
  <c r="Y10" i="2"/>
  <c r="AD10" i="2" s="1"/>
  <c r="X10" i="2"/>
  <c r="W10" i="2"/>
  <c r="E10" i="2"/>
  <c r="F10" i="2" s="1"/>
  <c r="D10" i="2"/>
  <c r="B7" i="2"/>
  <c r="B3" i="2"/>
  <c r="G98" i="2" l="1"/>
  <c r="L98" i="2" s="1"/>
  <c r="G102" i="2"/>
  <c r="G28" i="2"/>
  <c r="K28" i="2" s="1"/>
  <c r="G99" i="2"/>
  <c r="I99" i="2" s="1"/>
  <c r="G39" i="2"/>
  <c r="M39" i="2" s="1"/>
  <c r="G58" i="2"/>
  <c r="T58" i="2" s="1"/>
  <c r="N2" i="3"/>
  <c r="G56" i="2"/>
  <c r="J56" i="2" s="1"/>
  <c r="N26" i="3"/>
  <c r="N52" i="3"/>
  <c r="N72" i="3"/>
  <c r="N92" i="3"/>
  <c r="N7" i="3"/>
  <c r="G81" i="2"/>
  <c r="R81" i="2" s="1"/>
  <c r="G42" i="2"/>
  <c r="S42" i="2" s="1"/>
  <c r="G48" i="2"/>
  <c r="M48" i="2" s="1"/>
  <c r="G18" i="2"/>
  <c r="M18" i="2" s="1"/>
  <c r="G19" i="2"/>
  <c r="S19" i="2" s="1"/>
  <c r="G44" i="2"/>
  <c r="M44" i="2" s="1"/>
  <c r="G87" i="2"/>
  <c r="H87" i="2" s="1"/>
  <c r="G64" i="2"/>
  <c r="I64" i="2" s="1"/>
  <c r="N90" i="3"/>
  <c r="N5" i="3"/>
  <c r="N25" i="3"/>
  <c r="N51" i="3"/>
  <c r="N91" i="3"/>
  <c r="N8" i="3"/>
  <c r="N28" i="3"/>
  <c r="N54" i="3"/>
  <c r="G88" i="2"/>
  <c r="R88" i="2" s="1"/>
  <c r="N12" i="3"/>
  <c r="N78" i="3"/>
  <c r="N98" i="3"/>
  <c r="G23" i="2"/>
  <c r="L23" i="2" s="1"/>
  <c r="N40" i="3"/>
  <c r="N80" i="3"/>
  <c r="N100" i="3"/>
  <c r="N13" i="3"/>
  <c r="G84" i="2"/>
  <c r="L84" i="2" s="1"/>
  <c r="N15" i="3"/>
  <c r="N61" i="3"/>
  <c r="N81" i="3"/>
  <c r="N101" i="3"/>
  <c r="N99" i="3"/>
  <c r="G10" i="2"/>
  <c r="T10" i="2" s="1"/>
  <c r="G85" i="2"/>
  <c r="P85" i="2" s="1"/>
  <c r="N16" i="3"/>
  <c r="N42" i="3"/>
  <c r="N62" i="3"/>
  <c r="N82" i="3"/>
  <c r="N102" i="3"/>
  <c r="Y19" i="2" s="1"/>
  <c r="AD19" i="2" s="1"/>
  <c r="G63" i="2"/>
  <c r="J63" i="2" s="1"/>
  <c r="G83" i="2"/>
  <c r="K83" i="2" s="1"/>
  <c r="N83" i="3"/>
  <c r="G62" i="2"/>
  <c r="M62" i="2" s="1"/>
  <c r="G96" i="2"/>
  <c r="K96" i="2" s="1"/>
  <c r="G11" i="2"/>
  <c r="K11" i="2" s="1"/>
  <c r="G94" i="2"/>
  <c r="N94" i="2" s="1"/>
  <c r="G95" i="2"/>
  <c r="R95" i="2" s="1"/>
  <c r="X19" i="2"/>
  <c r="G66" i="2"/>
  <c r="L66" i="2" s="1"/>
  <c r="G26" i="2"/>
  <c r="J26" i="2" s="1"/>
  <c r="G67" i="2"/>
  <c r="O67" i="2" s="1"/>
  <c r="G76" i="2"/>
  <c r="J76" i="2" s="1"/>
  <c r="G73" i="2"/>
  <c r="P73" i="2" s="1"/>
  <c r="G36" i="2"/>
  <c r="J36" i="2" s="1"/>
  <c r="G74" i="2"/>
  <c r="T74" i="2" s="1"/>
  <c r="G55" i="2"/>
  <c r="O55" i="2" s="1"/>
  <c r="G93" i="2"/>
  <c r="H93" i="2" s="1"/>
  <c r="G16" i="2"/>
  <c r="P16" i="2" s="1"/>
  <c r="G75" i="2"/>
  <c r="L75" i="2" s="1"/>
  <c r="G37" i="2"/>
  <c r="T37" i="2" s="1"/>
  <c r="G77" i="2"/>
  <c r="K77" i="2" s="1"/>
  <c r="G78" i="2"/>
  <c r="M78" i="2" s="1"/>
  <c r="G13" i="2"/>
  <c r="N13" i="2" s="1"/>
  <c r="G47" i="2"/>
  <c r="L47" i="2" s="1"/>
  <c r="G82" i="2"/>
  <c r="O82" i="2" s="1"/>
  <c r="N45" i="3"/>
  <c r="N20" i="3"/>
  <c r="N86" i="3"/>
  <c r="N47" i="3"/>
  <c r="N87" i="3"/>
  <c r="N22" i="3"/>
  <c r="N68" i="3"/>
  <c r="N88" i="3"/>
  <c r="N3" i="3"/>
  <c r="N23" i="3"/>
  <c r="N49" i="3"/>
  <c r="N69" i="3"/>
  <c r="N53" i="3"/>
  <c r="N73" i="3"/>
  <c r="N93" i="3"/>
  <c r="N29" i="3"/>
  <c r="N44" i="3"/>
  <c r="N10" i="3"/>
  <c r="N56" i="3"/>
  <c r="N96" i="3"/>
  <c r="N11" i="3"/>
  <c r="N77" i="3"/>
  <c r="N97" i="3"/>
  <c r="O925" i="2"/>
  <c r="T698" i="2"/>
  <c r="M973" i="2"/>
  <c r="R625" i="2"/>
  <c r="R934" i="2"/>
  <c r="J626" i="2"/>
  <c r="N492" i="2"/>
  <c r="T973" i="2"/>
  <c r="S1032" i="2"/>
  <c r="Y21" i="2"/>
  <c r="AD21" i="2" s="1"/>
  <c r="P355" i="2"/>
  <c r="J632" i="2"/>
  <c r="K478" i="2"/>
  <c r="Q733" i="2"/>
  <c r="L900" i="2"/>
  <c r="G54" i="2"/>
  <c r="R54" i="2" s="1"/>
  <c r="H632" i="2"/>
  <c r="L706" i="2"/>
  <c r="K632" i="2"/>
  <c r="O632" i="2"/>
  <c r="T808" i="2"/>
  <c r="Q925" i="2"/>
  <c r="G24" i="2"/>
  <c r="M24" i="2" s="1"/>
  <c r="M504" i="2"/>
  <c r="L698" i="2"/>
  <c r="N274" i="2"/>
  <c r="Q274" i="2"/>
  <c r="P274" i="2"/>
  <c r="S393" i="2"/>
  <c r="R997" i="2"/>
  <c r="R274" i="2"/>
  <c r="L632" i="2"/>
  <c r="N875" i="2"/>
  <c r="N632" i="2"/>
  <c r="R800" i="2"/>
  <c r="L985" i="2"/>
  <c r="K898" i="2"/>
  <c r="K589" i="2"/>
  <c r="L898" i="2"/>
  <c r="N898" i="2"/>
  <c r="M589" i="2"/>
  <c r="L589" i="2"/>
  <c r="N589" i="2"/>
  <c r="O589" i="2"/>
  <c r="S990" i="2"/>
  <c r="T990" i="2"/>
  <c r="S698" i="2"/>
  <c r="S519" i="2"/>
  <c r="K591" i="2"/>
  <c r="Q682" i="2"/>
  <c r="K1030" i="2"/>
  <c r="T850" i="2"/>
  <c r="R589" i="2"/>
  <c r="S581" i="2"/>
  <c r="N925" i="2"/>
  <c r="O1032" i="2"/>
  <c r="Q1032" i="2"/>
  <c r="O311" i="2"/>
  <c r="Q997" i="2"/>
  <c r="I304" i="2"/>
  <c r="K432" i="2"/>
  <c r="K682" i="2"/>
  <c r="M925" i="2"/>
  <c r="Q990" i="2"/>
  <c r="I961" i="2"/>
  <c r="N292" i="2"/>
  <c r="M326" i="2"/>
  <c r="J454" i="2"/>
  <c r="T473" i="2"/>
  <c r="M525" i="2"/>
  <c r="T668" i="2"/>
  <c r="R719" i="2"/>
  <c r="P773" i="2"/>
  <c r="R870" i="2"/>
  <c r="Q898" i="2"/>
  <c r="G12" i="2"/>
  <c r="J12" i="2" s="1"/>
  <c r="Q292" i="2"/>
  <c r="P492" i="2"/>
  <c r="Q525" i="2"/>
  <c r="O686" i="2"/>
  <c r="Q840" i="2"/>
  <c r="S946" i="2"/>
  <c r="T979" i="2"/>
  <c r="G49" i="2"/>
  <c r="S49" i="2" s="1"/>
  <c r="R292" i="2"/>
  <c r="Q327" i="2"/>
  <c r="R840" i="2"/>
  <c r="N326" i="2"/>
  <c r="G25" i="2"/>
  <c r="H25" i="2" s="1"/>
  <c r="L362" i="2"/>
  <c r="S492" i="2"/>
  <c r="R525" i="2"/>
  <c r="S525" i="2"/>
  <c r="J1013" i="2"/>
  <c r="I563" i="2"/>
  <c r="M581" i="2"/>
  <c r="L858" i="2"/>
  <c r="S900" i="2"/>
  <c r="O918" i="2"/>
  <c r="J267" i="2"/>
  <c r="Q581" i="2"/>
  <c r="K424" i="2"/>
  <c r="I613" i="2"/>
  <c r="J796" i="2"/>
  <c r="M70" i="3"/>
  <c r="N70" i="3" s="1"/>
  <c r="G92" i="2"/>
  <c r="J92" i="2" s="1"/>
  <c r="N613" i="2"/>
  <c r="I891" i="2"/>
  <c r="I434" i="2"/>
  <c r="I292" i="2"/>
  <c r="N132" i="2"/>
  <c r="R891" i="2"/>
  <c r="H746" i="2"/>
  <c r="I922" i="2"/>
  <c r="Q613" i="2"/>
  <c r="I783" i="2"/>
  <c r="M813" i="2"/>
  <c r="N879" i="2"/>
  <c r="P922" i="2"/>
  <c r="S1019" i="2"/>
  <c r="M27" i="3"/>
  <c r="N27" i="3" s="1"/>
  <c r="M576" i="2"/>
  <c r="O525" i="2"/>
  <c r="G50" i="2"/>
  <c r="H50" i="2" s="1"/>
  <c r="K813" i="2"/>
  <c r="P613" i="2"/>
  <c r="L813" i="2"/>
  <c r="H287" i="2"/>
  <c r="K333" i="2"/>
  <c r="G45" i="2"/>
  <c r="H45" i="2" s="1"/>
  <c r="J287" i="2"/>
  <c r="R613" i="2"/>
  <c r="S642" i="2"/>
  <c r="M800" i="2"/>
  <c r="O813" i="2"/>
  <c r="O879" i="2"/>
  <c r="R922" i="2"/>
  <c r="M668" i="2"/>
  <c r="P292" i="2"/>
  <c r="K132" i="2"/>
  <c r="H862" i="2"/>
  <c r="T985" i="2"/>
  <c r="M17" i="3"/>
  <c r="N17" i="3" s="1"/>
  <c r="T613" i="2"/>
  <c r="P879" i="2"/>
  <c r="K837" i="2"/>
  <c r="O613" i="2"/>
  <c r="K287" i="2"/>
  <c r="G22" i="2"/>
  <c r="O22" i="2" s="1"/>
  <c r="G29" i="2"/>
  <c r="N29" i="2" s="1"/>
  <c r="O274" i="2"/>
  <c r="M355" i="2"/>
  <c r="H534" i="2"/>
  <c r="H601" i="2"/>
  <c r="S800" i="2"/>
  <c r="Q879" i="2"/>
  <c r="Q973" i="2"/>
  <c r="L371" i="2"/>
  <c r="H261" i="2"/>
  <c r="M459" i="2"/>
  <c r="R715" i="2"/>
  <c r="M57" i="3"/>
  <c r="N57" i="3" s="1"/>
  <c r="G51" i="2"/>
  <c r="P51" i="2" s="1"/>
  <c r="M76" i="3"/>
  <c r="N76" i="3" s="1"/>
  <c r="G70" i="2"/>
  <c r="I70" i="2" s="1"/>
  <c r="M85" i="3"/>
  <c r="N85" i="3" s="1"/>
  <c r="G79" i="2"/>
  <c r="R79" i="2" s="1"/>
  <c r="Q388" i="2"/>
  <c r="S388" i="2"/>
  <c r="L459" i="2"/>
  <c r="M66" i="3"/>
  <c r="N66" i="3" s="1"/>
  <c r="G60" i="2"/>
  <c r="Q60" i="2" s="1"/>
  <c r="N302" i="2"/>
  <c r="O302" i="2"/>
  <c r="R781" i="2"/>
  <c r="J781" i="2"/>
  <c r="Q781" i="2"/>
  <c r="L781" i="2"/>
  <c r="H167" i="2"/>
  <c r="T167" i="2"/>
  <c r="Q167" i="2"/>
  <c r="R167" i="2"/>
  <c r="P167" i="2"/>
  <c r="O167" i="2"/>
  <c r="N167" i="2"/>
  <c r="M167" i="2"/>
  <c r="M715" i="2"/>
  <c r="M31" i="3"/>
  <c r="N31" i="3" s="1"/>
  <c r="G31" i="2"/>
  <c r="L31" i="2" s="1"/>
  <c r="R621" i="2"/>
  <c r="J621" i="2"/>
  <c r="L621" i="2"/>
  <c r="P150" i="2"/>
  <c r="M188" i="2"/>
  <c r="N188" i="2"/>
  <c r="P407" i="2"/>
  <c r="G32" i="2"/>
  <c r="T32" i="2" s="1"/>
  <c r="M67" i="3"/>
  <c r="N67" i="3" s="1"/>
  <c r="G61" i="2"/>
  <c r="T61" i="2" s="1"/>
  <c r="M95" i="3"/>
  <c r="N95" i="3" s="1"/>
  <c r="G89" i="2"/>
  <c r="S89" i="2" s="1"/>
  <c r="Q150" i="2"/>
  <c r="K700" i="2"/>
  <c r="T830" i="2"/>
  <c r="Q920" i="2"/>
  <c r="J920" i="2"/>
  <c r="T920" i="2"/>
  <c r="M14" i="3"/>
  <c r="N14" i="3" s="1"/>
  <c r="G14" i="2"/>
  <c r="T14" i="2" s="1"/>
  <c r="M48" i="3"/>
  <c r="N48" i="3" s="1"/>
  <c r="M58" i="3"/>
  <c r="N58" i="3" s="1"/>
  <c r="G52" i="2"/>
  <c r="O52" i="2" s="1"/>
  <c r="P388" i="2"/>
  <c r="N514" i="2"/>
  <c r="M688" i="2"/>
  <c r="O754" i="2"/>
  <c r="H754" i="2"/>
  <c r="L458" i="2"/>
  <c r="Q458" i="2"/>
  <c r="M75" i="3"/>
  <c r="N75" i="3" s="1"/>
  <c r="G69" i="2"/>
  <c r="R69" i="2" s="1"/>
  <c r="P688" i="2"/>
  <c r="I754" i="2"/>
  <c r="M771" i="2"/>
  <c r="S771" i="2"/>
  <c r="N771" i="2"/>
  <c r="J801" i="2"/>
  <c r="L212" i="2"/>
  <c r="M212" i="2"/>
  <c r="M395" i="2"/>
  <c r="S595" i="2"/>
  <c r="Q688" i="2"/>
  <c r="J754" i="2"/>
  <c r="M801" i="2"/>
  <c r="K971" i="2"/>
  <c r="Q971" i="2"/>
  <c r="R971" i="2"/>
  <c r="P212" i="2"/>
  <c r="P971" i="2"/>
  <c r="M30" i="3"/>
  <c r="N30" i="3" s="1"/>
  <c r="G30" i="2"/>
  <c r="P30" i="2" s="1"/>
  <c r="I192" i="2"/>
  <c r="T192" i="2"/>
  <c r="R192" i="2"/>
  <c r="M192" i="2"/>
  <c r="L192" i="2"/>
  <c r="T395" i="2"/>
  <c r="R395" i="2"/>
  <c r="P395" i="2"/>
  <c r="Q395" i="2"/>
  <c r="O395" i="2"/>
  <c r="I756" i="2"/>
  <c r="T756" i="2"/>
  <c r="M65" i="3"/>
  <c r="N65" i="3" s="1"/>
  <c r="G59" i="2"/>
  <c r="I59" i="2" s="1"/>
  <c r="M21" i="3"/>
  <c r="N21" i="3" s="1"/>
  <c r="G21" i="2"/>
  <c r="M21" i="2" s="1"/>
  <c r="S346" i="2"/>
  <c r="T346" i="2"/>
  <c r="M346" i="2"/>
  <c r="J346" i="2"/>
  <c r="M880" i="2"/>
  <c r="L880" i="2"/>
  <c r="Q880" i="2"/>
  <c r="O880" i="2"/>
  <c r="L214" i="2"/>
  <c r="H793" i="2"/>
  <c r="N793" i="2"/>
  <c r="T793" i="2"/>
  <c r="Q793" i="2"/>
  <c r="P793" i="2"/>
  <c r="O793" i="2"/>
  <c r="O870" i="2"/>
  <c r="J870" i="2"/>
  <c r="I880" i="2"/>
  <c r="P27" i="2"/>
  <c r="T27" i="2"/>
  <c r="N713" i="2"/>
  <c r="J713" i="2"/>
  <c r="I992" i="2"/>
  <c r="T232" i="2"/>
  <c r="S232" i="2"/>
  <c r="J232" i="2"/>
  <c r="O232" i="2"/>
  <c r="G41" i="2"/>
  <c r="N41" i="2" s="1"/>
  <c r="S124" i="2"/>
  <c r="T124" i="2"/>
  <c r="M384" i="2"/>
  <c r="R384" i="2"/>
  <c r="J418" i="2"/>
  <c r="P418" i="2"/>
  <c r="L793" i="2"/>
  <c r="Q870" i="2"/>
  <c r="Q422" i="2"/>
  <c r="R422" i="2"/>
  <c r="P422" i="2"/>
  <c r="K422" i="2"/>
  <c r="L422" i="2"/>
  <c r="L204" i="2"/>
  <c r="T204" i="2"/>
  <c r="Q204" i="2"/>
  <c r="J204" i="2"/>
  <c r="I204" i="2"/>
  <c r="T214" i="2"/>
  <c r="R727" i="2"/>
  <c r="Q727" i="2"/>
  <c r="K459" i="2"/>
  <c r="Q329" i="2"/>
  <c r="R329" i="2"/>
  <c r="S870" i="2"/>
  <c r="I1023" i="2"/>
  <c r="K302" i="2"/>
  <c r="O314" i="2"/>
  <c r="T314" i="2"/>
  <c r="O199" i="2"/>
  <c r="I199" i="2"/>
  <c r="O489" i="2"/>
  <c r="P489" i="2"/>
  <c r="L473" i="2"/>
  <c r="M557" i="2"/>
  <c r="N728" i="2"/>
  <c r="I858" i="2"/>
  <c r="S858" i="2"/>
  <c r="H435" i="2"/>
  <c r="N543" i="2"/>
  <c r="S560" i="2"/>
  <c r="O832" i="2"/>
  <c r="N983" i="2"/>
  <c r="J645" i="2"/>
  <c r="M690" i="2"/>
  <c r="L959" i="2"/>
  <c r="R983" i="2"/>
  <c r="X17" i="2"/>
  <c r="J138" i="2"/>
  <c r="H361" i="2"/>
  <c r="N435" i="2"/>
  <c r="K574" i="2"/>
  <c r="P632" i="2"/>
  <c r="Q803" i="2"/>
  <c r="K929" i="2"/>
  <c r="J994" i="2"/>
  <c r="Q138" i="2"/>
  <c r="S303" i="2"/>
  <c r="M361" i="2"/>
  <c r="O452" i="2"/>
  <c r="H477" i="2"/>
  <c r="I504" i="2"/>
  <c r="Q632" i="2"/>
  <c r="S690" i="2"/>
  <c r="N733" i="2"/>
  <c r="O758" i="2"/>
  <c r="H1012" i="2"/>
  <c r="T1026" i="2"/>
  <c r="I1057" i="2"/>
  <c r="G38" i="2"/>
  <c r="O38" i="2" s="1"/>
  <c r="G90" i="2"/>
  <c r="K90" i="2" s="1"/>
  <c r="T138" i="2"/>
  <c r="T266" i="2"/>
  <c r="O277" i="2"/>
  <c r="H292" i="2"/>
  <c r="Q361" i="2"/>
  <c r="M390" i="2"/>
  <c r="R477" i="2"/>
  <c r="L504" i="2"/>
  <c r="P519" i="2"/>
  <c r="S575" i="2"/>
  <c r="M719" i="2"/>
  <c r="O733" i="2"/>
  <c r="H973" i="2"/>
  <c r="K1012" i="2"/>
  <c r="L1057" i="2"/>
  <c r="P733" i="2"/>
  <c r="O1057" i="2"/>
  <c r="P1057" i="2"/>
  <c r="J129" i="2"/>
  <c r="L235" i="2"/>
  <c r="L333" i="2"/>
  <c r="H392" i="2"/>
  <c r="I415" i="2"/>
  <c r="L454" i="2"/>
  <c r="L466" i="2"/>
  <c r="N564" i="2"/>
  <c r="R668" i="2"/>
  <c r="S733" i="2"/>
  <c r="I774" i="2"/>
  <c r="I821" i="2"/>
  <c r="H837" i="2"/>
  <c r="S1057" i="2"/>
  <c r="L193" i="2"/>
  <c r="P193" i="2"/>
  <c r="Q182" i="2"/>
  <c r="K306" i="2"/>
  <c r="Q564" i="2"/>
  <c r="K774" i="2"/>
  <c r="R267" i="2"/>
  <c r="O392" i="2"/>
  <c r="O466" i="2"/>
  <c r="M493" i="2"/>
  <c r="M974" i="2"/>
  <c r="T253" i="2"/>
  <c r="I140" i="2"/>
  <c r="P129" i="2"/>
  <c r="R129" i="2"/>
  <c r="O194" i="2"/>
  <c r="N380" i="2"/>
  <c r="T564" i="2"/>
  <c r="N626" i="2"/>
  <c r="J637" i="2"/>
  <c r="L684" i="2"/>
  <c r="S923" i="2"/>
  <c r="S415" i="2"/>
  <c r="S684" i="2"/>
  <c r="R898" i="2"/>
  <c r="M1016" i="2"/>
  <c r="L1031" i="2"/>
  <c r="M1045" i="2"/>
  <c r="M158" i="2"/>
  <c r="J210" i="2"/>
  <c r="Q270" i="2"/>
  <c r="Q353" i="2"/>
  <c r="R457" i="2"/>
  <c r="I536" i="2"/>
  <c r="M565" i="2"/>
  <c r="K580" i="2"/>
  <c r="P602" i="2"/>
  <c r="N735" i="2"/>
  <c r="Q774" i="2"/>
  <c r="J879" i="2"/>
  <c r="S898" i="2"/>
  <c r="S936" i="2"/>
  <c r="T950" i="2"/>
  <c r="Q965" i="2"/>
  <c r="O1031" i="2"/>
  <c r="G71" i="2"/>
  <c r="K71" i="2" s="1"/>
  <c r="Q392" i="2"/>
  <c r="R507" i="2"/>
  <c r="L637" i="2"/>
  <c r="K735" i="2"/>
  <c r="P774" i="2"/>
  <c r="I879" i="2"/>
  <c r="I965" i="2"/>
  <c r="G15" i="2"/>
  <c r="K15" i="2" s="1"/>
  <c r="H170" i="2"/>
  <c r="G46" i="2"/>
  <c r="Q46" i="2" s="1"/>
  <c r="P170" i="2"/>
  <c r="J366" i="2"/>
  <c r="L393" i="2"/>
  <c r="I404" i="2"/>
  <c r="P416" i="2"/>
  <c r="K443" i="2"/>
  <c r="S457" i="2"/>
  <c r="O495" i="2"/>
  <c r="J525" i="2"/>
  <c r="L536" i="2"/>
  <c r="S602" i="2"/>
  <c r="S638" i="2"/>
  <c r="Q735" i="2"/>
  <c r="R774" i="2"/>
  <c r="Q853" i="2"/>
  <c r="L868" i="2"/>
  <c r="K879" i="2"/>
  <c r="J925" i="2"/>
  <c r="I976" i="2"/>
  <c r="J990" i="2"/>
  <c r="P1031" i="2"/>
  <c r="J415" i="2"/>
  <c r="R425" i="2"/>
  <c r="P392" i="2"/>
  <c r="M415" i="2"/>
  <c r="N774" i="2"/>
  <c r="R837" i="2"/>
  <c r="G33" i="2"/>
  <c r="M33" i="2" s="1"/>
  <c r="S129" i="2"/>
  <c r="G34" i="2"/>
  <c r="T34" i="2" s="1"/>
  <c r="R170" i="2"/>
  <c r="R393" i="2"/>
  <c r="J404" i="2"/>
  <c r="L443" i="2"/>
  <c r="T457" i="2"/>
  <c r="T470" i="2"/>
  <c r="R536" i="2"/>
  <c r="T554" i="2"/>
  <c r="Q566" i="2"/>
  <c r="J581" i="2"/>
  <c r="I591" i="2"/>
  <c r="T602" i="2"/>
  <c r="N686" i="2"/>
  <c r="K698" i="2"/>
  <c r="T790" i="2"/>
  <c r="M879" i="2"/>
  <c r="N889" i="2"/>
  <c r="L925" i="2"/>
  <c r="L990" i="2"/>
  <c r="M94" i="3"/>
  <c r="N94" i="3" s="1"/>
  <c r="J130" i="2"/>
  <c r="J140" i="2"/>
  <c r="S140" i="2"/>
  <c r="S174" i="2"/>
  <c r="L183" i="2"/>
  <c r="I243" i="2"/>
  <c r="M312" i="2"/>
  <c r="T362" i="2"/>
  <c r="P362" i="2"/>
  <c r="J362" i="2"/>
  <c r="K857" i="2"/>
  <c r="S1041" i="2"/>
  <c r="R1041" i="2"/>
  <c r="G53" i="2"/>
  <c r="M53" i="2" s="1"/>
  <c r="M59" i="3"/>
  <c r="N59" i="3" s="1"/>
  <c r="R243" i="2"/>
  <c r="N312" i="2"/>
  <c r="S857" i="2"/>
  <c r="O890" i="2"/>
  <c r="P890" i="2"/>
  <c r="O916" i="2"/>
  <c r="R916" i="2"/>
  <c r="Q176" i="2"/>
  <c r="I176" i="2"/>
  <c r="S194" i="2"/>
  <c r="M268" i="2"/>
  <c r="P268" i="2"/>
  <c r="H555" i="2"/>
  <c r="S760" i="2"/>
  <c r="K760" i="2"/>
  <c r="J760" i="2"/>
  <c r="M41" i="3"/>
  <c r="N41" i="3" s="1"/>
  <c r="G35" i="2"/>
  <c r="J35" i="2" s="1"/>
  <c r="G72" i="2"/>
  <c r="L72" i="2" s="1"/>
  <c r="O268" i="2"/>
  <c r="O364" i="2"/>
  <c r="Q364" i="2"/>
  <c r="K398" i="2"/>
  <c r="S398" i="2"/>
  <c r="Q398" i="2"/>
  <c r="H398" i="2"/>
  <c r="N795" i="2"/>
  <c r="T795" i="2"/>
  <c r="L795" i="2"/>
  <c r="L955" i="2"/>
  <c r="O955" i="2"/>
  <c r="M955" i="2"/>
  <c r="K955" i="2"/>
  <c r="O744" i="2"/>
  <c r="R744" i="2"/>
  <c r="P485" i="2"/>
  <c r="M121" i="2"/>
  <c r="K141" i="2"/>
  <c r="J176" i="2"/>
  <c r="M186" i="2"/>
  <c r="G43" i="2"/>
  <c r="O43" i="2" s="1"/>
  <c r="O196" i="2"/>
  <c r="M196" i="2"/>
  <c r="K490" i="2"/>
  <c r="O490" i="2"/>
  <c r="S528" i="2"/>
  <c r="Q528" i="2"/>
  <c r="O655" i="2"/>
  <c r="I655" i="2"/>
  <c r="H655" i="2"/>
  <c r="J751" i="2"/>
  <c r="P807" i="2"/>
  <c r="I955" i="2"/>
  <c r="R106" i="2"/>
  <c r="S177" i="2"/>
  <c r="K196" i="2"/>
  <c r="K210" i="2"/>
  <c r="R210" i="2"/>
  <c r="S210" i="2"/>
  <c r="T210" i="2"/>
  <c r="P210" i="2"/>
  <c r="H210" i="2"/>
  <c r="K222" i="2"/>
  <c r="T233" i="2"/>
  <c r="Q306" i="2"/>
  <c r="N306" i="2"/>
  <c r="I328" i="2"/>
  <c r="O528" i="2"/>
  <c r="K786" i="2"/>
  <c r="S807" i="2"/>
  <c r="S312" i="2"/>
  <c r="R312" i="2"/>
  <c r="T312" i="2"/>
  <c r="Q312" i="2"/>
  <c r="O312" i="2"/>
  <c r="K312" i="2"/>
  <c r="I312" i="2"/>
  <c r="T828" i="2"/>
  <c r="O278" i="2"/>
  <c r="P278" i="2"/>
  <c r="S278" i="2"/>
  <c r="L278" i="2"/>
  <c r="K278" i="2"/>
  <c r="H278" i="2"/>
  <c r="Q106" i="2"/>
  <c r="P247" i="2"/>
  <c r="J247" i="2"/>
  <c r="T268" i="2"/>
  <c r="T57" i="2"/>
  <c r="K57" i="2"/>
  <c r="R57" i="2"/>
  <c r="J57" i="2"/>
  <c r="P196" i="2"/>
  <c r="N222" i="2"/>
  <c r="M328" i="2"/>
  <c r="Q478" i="2"/>
  <c r="O478" i="2"/>
  <c r="I583" i="2"/>
  <c r="N583" i="2"/>
  <c r="M583" i="2"/>
  <c r="T657" i="2"/>
  <c r="Q657" i="2"/>
  <c r="P657" i="2"/>
  <c r="S674" i="2"/>
  <c r="M674" i="2"/>
  <c r="I674" i="2"/>
  <c r="M71" i="3"/>
  <c r="N71" i="3" s="1"/>
  <c r="G65" i="2"/>
  <c r="P65" i="2" s="1"/>
  <c r="N6" i="3"/>
  <c r="K219" i="2"/>
  <c r="P219" i="2"/>
  <c r="L219" i="2"/>
  <c r="T219" i="2"/>
  <c r="P316" i="2"/>
  <c r="L316" i="2"/>
  <c r="Q849" i="2"/>
  <c r="J849" i="2"/>
  <c r="Q928" i="2"/>
  <c r="T928" i="2"/>
  <c r="O928" i="2"/>
  <c r="J928" i="2"/>
  <c r="K944" i="2"/>
  <c r="J944" i="2"/>
  <c r="R1025" i="2"/>
  <c r="M1025" i="2"/>
  <c r="J1025" i="2"/>
  <c r="I1025" i="2"/>
  <c r="H180" i="2"/>
  <c r="S180" i="2"/>
  <c r="Q180" i="2"/>
  <c r="R180" i="2"/>
  <c r="J180" i="2"/>
  <c r="K180" i="2"/>
  <c r="O180" i="2"/>
  <c r="N180" i="2"/>
  <c r="K294" i="2"/>
  <c r="L294" i="2"/>
  <c r="K440" i="2"/>
  <c r="O440" i="2"/>
  <c r="R505" i="2"/>
  <c r="Q505" i="2"/>
  <c r="N505" i="2"/>
  <c r="L505" i="2"/>
  <c r="K505" i="2"/>
  <c r="T520" i="2"/>
  <c r="M520" i="2"/>
  <c r="K520" i="2"/>
  <c r="S585" i="2"/>
  <c r="Q585" i="2"/>
  <c r="N585" i="2"/>
  <c r="M585" i="2"/>
  <c r="J585" i="2"/>
  <c r="R609" i="2"/>
  <c r="H609" i="2"/>
  <c r="L789" i="2"/>
  <c r="O789" i="2"/>
  <c r="N789" i="2"/>
  <c r="R265" i="2"/>
  <c r="S265" i="2"/>
  <c r="L312" i="2"/>
  <c r="L345" i="2"/>
  <c r="I440" i="2"/>
  <c r="P479" i="2"/>
  <c r="M479" i="2"/>
  <c r="K479" i="2"/>
  <c r="J479" i="2"/>
  <c r="S520" i="2"/>
  <c r="R906" i="2"/>
  <c r="P183" i="2"/>
  <c r="S183" i="2"/>
  <c r="O183" i="2"/>
  <c r="M183" i="2"/>
  <c r="R183" i="2"/>
  <c r="N183" i="2"/>
  <c r="Q183" i="2"/>
  <c r="H183" i="2"/>
  <c r="K130" i="2"/>
  <c r="M130" i="2"/>
  <c r="K224" i="2"/>
  <c r="Q907" i="2"/>
  <c r="O907" i="2"/>
  <c r="M907" i="2"/>
  <c r="T1010" i="2"/>
  <c r="Q1010" i="2"/>
  <c r="P1010" i="2"/>
  <c r="O1010" i="2"/>
  <c r="N1010" i="2"/>
  <c r="M1010" i="2"/>
  <c r="S1022" i="2"/>
  <c r="M1022" i="2"/>
  <c r="L1022" i="2"/>
  <c r="N552" i="2"/>
  <c r="S552" i="2"/>
  <c r="T552" i="2"/>
  <c r="R552" i="2"/>
  <c r="Q552" i="2"/>
  <c r="P552" i="2"/>
  <c r="O552" i="2"/>
  <c r="J552" i="2"/>
  <c r="I552" i="2"/>
  <c r="H552" i="2"/>
  <c r="J312" i="2"/>
  <c r="P357" i="2"/>
  <c r="L182" i="2"/>
  <c r="K182" i="2"/>
  <c r="S237" i="2"/>
  <c r="L237" i="2"/>
  <c r="K237" i="2"/>
  <c r="S252" i="2"/>
  <c r="T297" i="2"/>
  <c r="R297" i="2"/>
  <c r="K297" i="2"/>
  <c r="O319" i="2"/>
  <c r="N345" i="2"/>
  <c r="Q357" i="2"/>
  <c r="Q369" i="2"/>
  <c r="M644" i="2"/>
  <c r="K644" i="2"/>
  <c r="H644" i="2"/>
  <c r="M838" i="2"/>
  <c r="Q838" i="2"/>
  <c r="K838" i="2"/>
  <c r="H1010" i="2"/>
  <c r="M64" i="3"/>
  <c r="N64" i="3" s="1"/>
  <c r="T130" i="2"/>
  <c r="T180" i="2"/>
  <c r="P235" i="2"/>
  <c r="P263" i="2"/>
  <c r="J263" i="2"/>
  <c r="H182" i="2"/>
  <c r="S253" i="2"/>
  <c r="Q253" i="2"/>
  <c r="M297" i="2"/>
  <c r="Q370" i="2"/>
  <c r="S370" i="2"/>
  <c r="S430" i="2"/>
  <c r="T624" i="2"/>
  <c r="L624" i="2"/>
  <c r="I624" i="2"/>
  <c r="L644" i="2"/>
  <c r="I741" i="2"/>
  <c r="J838" i="2"/>
  <c r="I1010" i="2"/>
  <c r="M46" i="3"/>
  <c r="N46" i="3" s="1"/>
  <c r="G40" i="2"/>
  <c r="N40" i="2" s="1"/>
  <c r="R802" i="2"/>
  <c r="I802" i="2"/>
  <c r="T121" i="2"/>
  <c r="N121" i="2"/>
  <c r="M224" i="2"/>
  <c r="H224" i="2"/>
  <c r="M345" i="2"/>
  <c r="Q533" i="2"/>
  <c r="M533" i="2"/>
  <c r="H150" i="2"/>
  <c r="T150" i="2"/>
  <c r="N150" i="2"/>
  <c r="I160" i="2"/>
  <c r="R263" i="2"/>
  <c r="I182" i="2"/>
  <c r="I550" i="2"/>
  <c r="G68" i="2"/>
  <c r="Q68" i="2" s="1"/>
  <c r="M74" i="3"/>
  <c r="N74" i="3" s="1"/>
  <c r="H312" i="2"/>
  <c r="O887" i="2"/>
  <c r="L887" i="2"/>
  <c r="S254" i="2"/>
  <c r="Q254" i="2"/>
  <c r="S636" i="2"/>
  <c r="Q636" i="2"/>
  <c r="S151" i="2"/>
  <c r="P151" i="2"/>
  <c r="Q151" i="2"/>
  <c r="O151" i="2"/>
  <c r="K254" i="2"/>
  <c r="H410" i="2"/>
  <c r="P410" i="2"/>
  <c r="N410" i="2"/>
  <c r="Q513" i="2"/>
  <c r="O513" i="2"/>
  <c r="M513" i="2"/>
  <c r="P636" i="2"/>
  <c r="S130" i="2"/>
  <c r="K190" i="2"/>
  <c r="R330" i="2"/>
  <c r="G80" i="2"/>
  <c r="R80" i="2" s="1"/>
  <c r="L332" i="2"/>
  <c r="R332" i="2"/>
  <c r="M332" i="2"/>
  <c r="Q332" i="2"/>
  <c r="P332" i="2"/>
  <c r="J332" i="2"/>
  <c r="O332" i="2"/>
  <c r="I332" i="2"/>
  <c r="H332" i="2"/>
  <c r="G20" i="2"/>
  <c r="H20" i="2" s="1"/>
  <c r="H138" i="2"/>
  <c r="I150" i="2"/>
  <c r="K160" i="2"/>
  <c r="H253" i="2"/>
  <c r="T263" i="2"/>
  <c r="Q359" i="2"/>
  <c r="L359" i="2"/>
  <c r="S359" i="2"/>
  <c r="K359" i="2"/>
  <c r="R359" i="2"/>
  <c r="J359" i="2"/>
  <c r="H359" i="2"/>
  <c r="T370" i="2"/>
  <c r="T430" i="2"/>
  <c r="Q624" i="2"/>
  <c r="S1054" i="2"/>
  <c r="T1054" i="2"/>
  <c r="P1054" i="2"/>
  <c r="N1054" i="2"/>
  <c r="M1054" i="2"/>
  <c r="L1054" i="2"/>
  <c r="I138" i="2"/>
  <c r="J150" i="2"/>
  <c r="J182" i="2"/>
  <c r="J214" i="2"/>
  <c r="K253" i="2"/>
  <c r="M550" i="2"/>
  <c r="I780" i="2"/>
  <c r="H780" i="2"/>
  <c r="H1024" i="2"/>
  <c r="H1054" i="2"/>
  <c r="J424" i="2"/>
  <c r="N452" i="2"/>
  <c r="N458" i="2"/>
  <c r="S470" i="2"/>
  <c r="K493" i="2"/>
  <c r="L565" i="2"/>
  <c r="R575" i="2"/>
  <c r="L668" i="2"/>
  <c r="K684" i="2"/>
  <c r="J700" i="2"/>
  <c r="H713" i="2"/>
  <c r="L808" i="2"/>
  <c r="K858" i="2"/>
  <c r="H922" i="2"/>
  <c r="H965" i="2"/>
  <c r="I985" i="2"/>
  <c r="H1032" i="2"/>
  <c r="S167" i="2"/>
  <c r="J304" i="2"/>
  <c r="L346" i="2"/>
  <c r="K392" i="2"/>
  <c r="S395" i="2"/>
  <c r="R407" i="2"/>
  <c r="Q416" i="2"/>
  <c r="M424" i="2"/>
  <c r="M432" i="2"/>
  <c r="T452" i="2"/>
  <c r="N565" i="2"/>
  <c r="T575" i="2"/>
  <c r="S589" i="2"/>
  <c r="I632" i="2"/>
  <c r="K637" i="2"/>
  <c r="P668" i="2"/>
  <c r="M684" i="2"/>
  <c r="O713" i="2"/>
  <c r="L743" i="2"/>
  <c r="K781" i="2"/>
  <c r="J788" i="2"/>
  <c r="S793" i="2"/>
  <c r="K801" i="2"/>
  <c r="J850" i="2"/>
  <c r="M858" i="2"/>
  <c r="Q891" i="2"/>
  <c r="T898" i="2"/>
  <c r="H918" i="2"/>
  <c r="J922" i="2"/>
  <c r="R925" i="2"/>
  <c r="K936" i="2"/>
  <c r="J965" i="2"/>
  <c r="K973" i="2"/>
  <c r="S985" i="2"/>
  <c r="L992" i="2"/>
  <c r="T1019" i="2"/>
  <c r="P1032" i="2"/>
  <c r="T424" i="2"/>
  <c r="S565" i="2"/>
  <c r="P684" i="2"/>
  <c r="M743" i="2"/>
  <c r="L788" i="2"/>
  <c r="R850" i="2"/>
  <c r="I918" i="2"/>
  <c r="L922" i="2"/>
  <c r="O936" i="2"/>
  <c r="O965" i="2"/>
  <c r="K495" i="2"/>
  <c r="I543" i="2"/>
  <c r="K576" i="2"/>
  <c r="H645" i="2"/>
  <c r="S668" i="2"/>
  <c r="R684" i="2"/>
  <c r="O781" i="2"/>
  <c r="Q788" i="2"/>
  <c r="Q801" i="2"/>
  <c r="H821" i="2"/>
  <c r="I832" i="2"/>
  <c r="R858" i="2"/>
  <c r="L918" i="2"/>
  <c r="N922" i="2"/>
  <c r="P965" i="2"/>
  <c r="N973" i="2"/>
  <c r="Q979" i="2"/>
  <c r="K1026" i="2"/>
  <c r="R1032" i="2"/>
  <c r="K1045" i="2"/>
  <c r="M287" i="2"/>
  <c r="S418" i="2"/>
  <c r="K454" i="2"/>
  <c r="P473" i="2"/>
  <c r="S514" i="2"/>
  <c r="R576" i="2"/>
  <c r="J591" i="2"/>
  <c r="M626" i="2"/>
  <c r="M632" i="2"/>
  <c r="M645" i="2"/>
  <c r="T684" i="2"/>
  <c r="Q715" i="2"/>
  <c r="S735" i="2"/>
  <c r="T754" i="2"/>
  <c r="O774" i="2"/>
  <c r="P821" i="2"/>
  <c r="Q832" i="2"/>
  <c r="M870" i="2"/>
  <c r="O900" i="2"/>
  <c r="P918" i="2"/>
  <c r="Q922" i="2"/>
  <c r="R965" i="2"/>
  <c r="R973" i="2"/>
  <c r="S576" i="2"/>
  <c r="R821" i="2"/>
  <c r="Q918" i="2"/>
  <c r="S386" i="2"/>
  <c r="M419" i="2"/>
  <c r="M427" i="2"/>
  <c r="K446" i="2"/>
  <c r="L491" i="2"/>
  <c r="H497" i="2"/>
  <c r="Q544" i="2"/>
  <c r="T576" i="2"/>
  <c r="N591" i="2"/>
  <c r="O626" i="2"/>
  <c r="J670" i="2"/>
  <c r="S715" i="2"/>
  <c r="J736" i="2"/>
  <c r="N745" i="2"/>
  <c r="K766" i="2"/>
  <c r="J888" i="2"/>
  <c r="J911" i="2"/>
  <c r="R918" i="2"/>
  <c r="J966" i="2"/>
  <c r="L981" i="2"/>
  <c r="I989" i="2"/>
  <c r="J1007" i="2"/>
  <c r="K1047" i="2"/>
  <c r="Q341" i="2"/>
  <c r="M350" i="2"/>
  <c r="K411" i="2"/>
  <c r="R419" i="2"/>
  <c r="S427" i="2"/>
  <c r="L446" i="2"/>
  <c r="M491" i="2"/>
  <c r="Q497" i="2"/>
  <c r="P591" i="2"/>
  <c r="P626" i="2"/>
  <c r="K670" i="2"/>
  <c r="M736" i="2"/>
  <c r="O766" i="2"/>
  <c r="H783" i="2"/>
  <c r="H796" i="2"/>
  <c r="O803" i="2"/>
  <c r="K888" i="2"/>
  <c r="K911" i="2"/>
  <c r="T918" i="2"/>
  <c r="H974" i="2"/>
  <c r="P981" i="2"/>
  <c r="Q989" i="2"/>
  <c r="J996" i="2"/>
  <c r="K1007" i="2"/>
  <c r="J1035" i="2"/>
  <c r="N43" i="3"/>
  <c r="M411" i="2"/>
  <c r="Q626" i="2"/>
  <c r="N648" i="2"/>
  <c r="I680" i="2"/>
  <c r="O736" i="2"/>
  <c r="N888" i="2"/>
  <c r="P911" i="2"/>
  <c r="R981" i="2"/>
  <c r="R989" i="2"/>
  <c r="L1007" i="2"/>
  <c r="H498" i="2"/>
  <c r="K518" i="2"/>
  <c r="M563" i="2"/>
  <c r="K602" i="2"/>
  <c r="J612" i="2"/>
  <c r="R626" i="2"/>
  <c r="R632" i="2"/>
  <c r="H642" i="2"/>
  <c r="P648" i="2"/>
  <c r="L680" i="2"/>
  <c r="Q686" i="2"/>
  <c r="T706" i="2"/>
  <c r="S746" i="2"/>
  <c r="J767" i="2"/>
  <c r="L783" i="2"/>
  <c r="T803" i="2"/>
  <c r="I862" i="2"/>
  <c r="T870" i="2"/>
  <c r="Q888" i="2"/>
  <c r="N897" i="2"/>
  <c r="I919" i="2"/>
  <c r="L961" i="2"/>
  <c r="N974" i="2"/>
  <c r="S989" i="2"/>
  <c r="I997" i="2"/>
  <c r="M1007" i="2"/>
  <c r="K1023" i="2"/>
  <c r="L1030" i="2"/>
  <c r="K1049" i="2"/>
  <c r="O307" i="2"/>
  <c r="L366" i="2"/>
  <c r="M27" i="2"/>
  <c r="H325" i="2"/>
  <c r="N27" i="2"/>
  <c r="K103" i="2"/>
  <c r="N115" i="2"/>
  <c r="S135" i="2"/>
  <c r="I172" i="2"/>
  <c r="P203" i="2"/>
  <c r="P230" i="2"/>
  <c r="J238" i="2"/>
  <c r="K251" i="2"/>
  <c r="P257" i="2"/>
  <c r="I266" i="2"/>
  <c r="H274" i="2"/>
  <c r="S313" i="2"/>
  <c r="M342" i="2"/>
  <c r="L351" i="2"/>
  <c r="P366" i="2"/>
  <c r="I377" i="2"/>
  <c r="H395" i="2"/>
  <c r="O428" i="2"/>
  <c r="T436" i="2"/>
  <c r="S446" i="2"/>
  <c r="H457" i="2"/>
  <c r="Q483" i="2"/>
  <c r="S491" i="2"/>
  <c r="L518" i="2"/>
  <c r="O563" i="2"/>
  <c r="O571" i="2"/>
  <c r="L602" i="2"/>
  <c r="K612" i="2"/>
  <c r="S626" i="2"/>
  <c r="S632" i="2"/>
  <c r="I642" i="2"/>
  <c r="Q648" i="2"/>
  <c r="N671" i="2"/>
  <c r="M680" i="2"/>
  <c r="S686" i="2"/>
  <c r="H732" i="2"/>
  <c r="Q783" i="2"/>
  <c r="L845" i="2"/>
  <c r="H854" i="2"/>
  <c r="R888" i="2"/>
  <c r="R897" i="2"/>
  <c r="K924" i="2"/>
  <c r="I930" i="2"/>
  <c r="K940" i="2"/>
  <c r="O974" i="2"/>
  <c r="J997" i="2"/>
  <c r="Q1007" i="2"/>
  <c r="M1023" i="2"/>
  <c r="N1030" i="2"/>
  <c r="M1037" i="2"/>
  <c r="K563" i="2"/>
  <c r="O366" i="2"/>
  <c r="H377" i="2"/>
  <c r="M387" i="2"/>
  <c r="H428" i="2"/>
  <c r="R446" i="2"/>
  <c r="Q491" i="2"/>
  <c r="L103" i="2"/>
  <c r="T135" i="2"/>
  <c r="K172" i="2"/>
  <c r="Q203" i="2"/>
  <c r="T230" i="2"/>
  <c r="T238" i="2"/>
  <c r="R251" i="2"/>
  <c r="R257" i="2"/>
  <c r="J266" i="2"/>
  <c r="I274" i="2"/>
  <c r="M377" i="2"/>
  <c r="I395" i="2"/>
  <c r="T446" i="2"/>
  <c r="I457" i="2"/>
  <c r="P571" i="2"/>
  <c r="M602" i="2"/>
  <c r="N612" i="2"/>
  <c r="T626" i="2"/>
  <c r="M642" i="2"/>
  <c r="R648" i="2"/>
  <c r="O671" i="2"/>
  <c r="S888" i="2"/>
  <c r="R940" i="2"/>
  <c r="R974" i="2"/>
  <c r="K997" i="2"/>
  <c r="O1023" i="2"/>
  <c r="Q1037" i="2"/>
  <c r="J307" i="2"/>
  <c r="G91" i="2"/>
  <c r="K91" i="2" s="1"/>
  <c r="H256" i="2"/>
  <c r="Q350" i="2"/>
  <c r="S399" i="2"/>
  <c r="Q446" i="2"/>
  <c r="N491" i="2"/>
  <c r="I602" i="2"/>
  <c r="P165" i="2"/>
  <c r="T307" i="2"/>
  <c r="K483" i="2"/>
  <c r="R27" i="2"/>
  <c r="M103" i="2"/>
  <c r="K129" i="2"/>
  <c r="J167" i="2"/>
  <c r="M172" i="2"/>
  <c r="S251" i="2"/>
  <c r="Q266" i="2"/>
  <c r="L274" i="2"/>
  <c r="H314" i="2"/>
  <c r="T343" i="2"/>
  <c r="K395" i="2"/>
  <c r="K429" i="2"/>
  <c r="K437" i="2"/>
  <c r="J457" i="2"/>
  <c r="M484" i="2"/>
  <c r="L492" i="2"/>
  <c r="K519" i="2"/>
  <c r="N554" i="2"/>
  <c r="S571" i="2"/>
  <c r="I589" i="2"/>
  <c r="N602" i="2"/>
  <c r="Q642" i="2"/>
  <c r="T648" i="2"/>
  <c r="P671" i="2"/>
  <c r="L733" i="2"/>
  <c r="O777" i="2"/>
  <c r="K815" i="2"/>
  <c r="R846" i="2"/>
  <c r="O864" i="2"/>
  <c r="T888" i="2"/>
  <c r="R913" i="2"/>
  <c r="S940" i="2"/>
  <c r="I953" i="2"/>
  <c r="M962" i="2"/>
  <c r="K983" i="2"/>
  <c r="N997" i="2"/>
  <c r="H1016" i="2"/>
  <c r="Q1023" i="2"/>
  <c r="J1031" i="2"/>
  <c r="M115" i="2"/>
  <c r="Q27" i="2"/>
  <c r="Q115" i="2"/>
  <c r="S27" i="2"/>
  <c r="Q103" i="2"/>
  <c r="M129" i="2"/>
  <c r="L167" i="2"/>
  <c r="Q193" i="2"/>
  <c r="H204" i="2"/>
  <c r="T251" i="2"/>
  <c r="M274" i="2"/>
  <c r="J302" i="2"/>
  <c r="J314" i="2"/>
  <c r="S378" i="2"/>
  <c r="L395" i="2"/>
  <c r="O422" i="2"/>
  <c r="S477" i="2"/>
  <c r="R484" i="2"/>
  <c r="M492" i="2"/>
  <c r="O554" i="2"/>
  <c r="M564" i="2"/>
  <c r="I581" i="2"/>
  <c r="J589" i="2"/>
  <c r="O602" i="2"/>
  <c r="T621" i="2"/>
  <c r="I688" i="2"/>
  <c r="T719" i="2"/>
  <c r="M733" i="2"/>
  <c r="Q806" i="2"/>
  <c r="P827" i="2"/>
  <c r="S864" i="2"/>
  <c r="J898" i="2"/>
  <c r="S905" i="2"/>
  <c r="S913" i="2"/>
  <c r="H925" i="2"/>
  <c r="P953" i="2"/>
  <c r="M971" i="2"/>
  <c r="M983" i="2"/>
  <c r="P990" i="2"/>
  <c r="O997" i="2"/>
  <c r="K1031" i="2"/>
  <c r="P426" i="2"/>
  <c r="O426" i="2"/>
  <c r="R503" i="2"/>
  <c r="N503" i="2"/>
  <c r="M503" i="2"/>
  <c r="Q511" i="2"/>
  <c r="O511" i="2"/>
  <c r="N511" i="2"/>
  <c r="K511" i="2"/>
  <c r="L511" i="2"/>
  <c r="R711" i="2"/>
  <c r="M711" i="2"/>
  <c r="T711" i="2"/>
  <c r="J711" i="2"/>
  <c r="P556" i="2"/>
  <c r="L556" i="2"/>
  <c r="L102" i="2"/>
  <c r="I102" i="2"/>
  <c r="H102" i="2"/>
  <c r="I114" i="2"/>
  <c r="S114" i="2"/>
  <c r="N114" i="2"/>
  <c r="N189" i="2"/>
  <c r="M189" i="2"/>
  <c r="L189" i="2"/>
  <c r="T401" i="2"/>
  <c r="Q401" i="2"/>
  <c r="O401" i="2"/>
  <c r="N401" i="2"/>
  <c r="R917" i="2"/>
  <c r="Q917" i="2"/>
  <c r="J917" i="2"/>
  <c r="M114" i="2"/>
  <c r="K189" i="2"/>
  <c r="S401" i="2"/>
  <c r="P412" i="2"/>
  <c r="L412" i="2"/>
  <c r="I412" i="2"/>
  <c r="H412" i="2"/>
  <c r="P436" i="2"/>
  <c r="O436" i="2"/>
  <c r="M436" i="2"/>
  <c r="L436" i="2"/>
  <c r="P213" i="2"/>
  <c r="O213" i="2"/>
  <c r="I213" i="2"/>
  <c r="M213" i="2"/>
  <c r="T242" i="2"/>
  <c r="P242" i="2"/>
  <c r="O413" i="2"/>
  <c r="S413" i="2"/>
  <c r="R413" i="2"/>
  <c r="Q413" i="2"/>
  <c r="P413" i="2"/>
  <c r="N413" i="2"/>
  <c r="M413" i="2"/>
  <c r="L413" i="2"/>
  <c r="K413" i="2"/>
  <c r="I413" i="2"/>
  <c r="T584" i="2"/>
  <c r="S584" i="2"/>
  <c r="M584" i="2"/>
  <c r="Q584" i="2"/>
  <c r="O584" i="2"/>
  <c r="N584" i="2"/>
  <c r="N884" i="2"/>
  <c r="H884" i="2"/>
  <c r="R1003" i="2"/>
  <c r="M1003" i="2"/>
  <c r="I259" i="2"/>
  <c r="R259" i="2"/>
  <c r="Q259" i="2"/>
  <c r="P259" i="2"/>
  <c r="O259" i="2"/>
  <c r="K259" i="2"/>
  <c r="N259" i="2"/>
  <c r="M259" i="2"/>
  <c r="L259" i="2"/>
  <c r="J259" i="2"/>
  <c r="H259" i="2"/>
  <c r="T259" i="2"/>
  <c r="K262" i="2"/>
  <c r="J262" i="2"/>
  <c r="J1055" i="2"/>
  <c r="I1055" i="2"/>
  <c r="R1055" i="2"/>
  <c r="P1055" i="2"/>
  <c r="O1055" i="2"/>
  <c r="N1055" i="2"/>
  <c r="H127" i="2"/>
  <c r="R562" i="2"/>
  <c r="Q562" i="2"/>
  <c r="N123" i="2"/>
  <c r="M123" i="2"/>
  <c r="T123" i="2"/>
  <c r="J123" i="2"/>
  <c r="T225" i="2"/>
  <c r="O225" i="2"/>
  <c r="N225" i="2"/>
  <c r="K225" i="2"/>
  <c r="H481" i="2"/>
  <c r="M481" i="2"/>
  <c r="H610" i="2"/>
  <c r="S610" i="2"/>
  <c r="S841" i="2"/>
  <c r="P841" i="2"/>
  <c r="O841" i="2"/>
  <c r="L841" i="2"/>
  <c r="T893" i="2"/>
  <c r="L893" i="2"/>
  <c r="M893" i="2"/>
  <c r="Q782" i="2"/>
  <c r="P782" i="2"/>
  <c r="O782" i="2"/>
  <c r="T279" i="2"/>
  <c r="Q279" i="2"/>
  <c r="P279" i="2"/>
  <c r="M279" i="2"/>
  <c r="L279" i="2"/>
  <c r="K279" i="2"/>
  <c r="K118" i="2"/>
  <c r="R118" i="2"/>
  <c r="L118" i="2"/>
  <c r="Q118" i="2"/>
  <c r="P118" i="2"/>
  <c r="M118" i="2"/>
  <c r="O118" i="2"/>
  <c r="N118" i="2"/>
  <c r="T226" i="2"/>
  <c r="S226" i="2"/>
  <c r="Q226" i="2"/>
  <c r="R226" i="2"/>
  <c r="N226" i="2"/>
  <c r="M226" i="2"/>
  <c r="J226" i="2"/>
  <c r="S381" i="2"/>
  <c r="N381" i="2"/>
  <c r="L381" i="2"/>
  <c r="I1029" i="2"/>
  <c r="H1029" i="2"/>
  <c r="Q1029" i="2"/>
  <c r="T1029" i="2"/>
  <c r="O1029" i="2"/>
  <c r="N1029" i="2"/>
  <c r="M1029" i="2"/>
  <c r="S200" i="2"/>
  <c r="K200" i="2"/>
  <c r="P200" i="2"/>
  <c r="J200" i="2"/>
  <c r="H200" i="2"/>
  <c r="S118" i="2"/>
  <c r="T166" i="2"/>
  <c r="N382" i="2"/>
  <c r="P382" i="2"/>
  <c r="M382" i="2"/>
  <c r="P406" i="2"/>
  <c r="T449" i="2"/>
  <c r="S449" i="2"/>
  <c r="R449" i="2"/>
  <c r="Q449" i="2"/>
  <c r="N449" i="2"/>
  <c r="M449" i="2"/>
  <c r="K449" i="2"/>
  <c r="H449" i="2"/>
  <c r="J579" i="2"/>
  <c r="R579" i="2"/>
  <c r="Q579" i="2"/>
  <c r="T579" i="2"/>
  <c r="S579" i="2"/>
  <c r="O579" i="2"/>
  <c r="T86" i="2"/>
  <c r="R86" i="2"/>
  <c r="K86" i="2"/>
  <c r="R109" i="2"/>
  <c r="N109" i="2"/>
  <c r="M109" i="2"/>
  <c r="S229" i="2"/>
  <c r="O229" i="2"/>
  <c r="J229" i="2"/>
  <c r="K229" i="2"/>
  <c r="J249" i="2"/>
  <c r="R249" i="2"/>
  <c r="T320" i="2"/>
  <c r="R320" i="2"/>
  <c r="I320" i="2"/>
  <c r="N451" i="2"/>
  <c r="T451" i="2"/>
  <c r="O451" i="2"/>
  <c r="L451" i="2"/>
  <c r="J451" i="2"/>
  <c r="I451" i="2"/>
  <c r="N467" i="2"/>
  <c r="O467" i="2"/>
  <c r="S467" i="2"/>
  <c r="R467" i="2"/>
  <c r="Q467" i="2"/>
  <c r="K467" i="2"/>
  <c r="J467" i="2"/>
  <c r="H467" i="2"/>
  <c r="I467" i="2"/>
  <c r="K109" i="2"/>
  <c r="J147" i="2"/>
  <c r="O147" i="2"/>
  <c r="Q249" i="2"/>
  <c r="H320" i="2"/>
  <c r="T442" i="2"/>
  <c r="Q442" i="2"/>
  <c r="N442" i="2"/>
  <c r="I442" i="2"/>
  <c r="Q451" i="2"/>
  <c r="M467" i="2"/>
  <c r="S308" i="2"/>
  <c r="L308" i="2"/>
  <c r="Q109" i="2"/>
  <c r="N331" i="2"/>
  <c r="K331" i="2"/>
  <c r="J331" i="2"/>
  <c r="I331" i="2"/>
  <c r="S433" i="2"/>
  <c r="O433" i="2"/>
  <c r="N433" i="2"/>
  <c r="L433" i="2"/>
  <c r="H442" i="2"/>
  <c r="S451" i="2"/>
  <c r="P467" i="2"/>
  <c r="S549" i="2"/>
  <c r="O549" i="2"/>
  <c r="M549" i="2"/>
  <c r="Q549" i="2"/>
  <c r="K308" i="2"/>
  <c r="T109" i="2"/>
  <c r="M174" i="2"/>
  <c r="R174" i="2"/>
  <c r="Q174" i="2"/>
  <c r="P174" i="2"/>
  <c r="O174" i="2"/>
  <c r="N174" i="2"/>
  <c r="L174" i="2"/>
  <c r="J174" i="2"/>
  <c r="H174" i="2"/>
  <c r="S322" i="2"/>
  <c r="R322" i="2"/>
  <c r="T322" i="2"/>
  <c r="Q322" i="2"/>
  <c r="P322" i="2"/>
  <c r="M331" i="2"/>
  <c r="R433" i="2"/>
  <c r="S442" i="2"/>
  <c r="T467" i="2"/>
  <c r="J509" i="2"/>
  <c r="R509" i="2"/>
  <c r="S509" i="2"/>
  <c r="O509" i="2"/>
  <c r="R650" i="2"/>
  <c r="L650" i="2"/>
  <c r="M778" i="2"/>
  <c r="L778" i="2"/>
  <c r="K778" i="2"/>
  <c r="S778" i="2"/>
  <c r="P778" i="2"/>
  <c r="I174" i="2"/>
  <c r="T221" i="2"/>
  <c r="L221" i="2"/>
  <c r="O386" i="2"/>
  <c r="R386" i="2"/>
  <c r="Q386" i="2"/>
  <c r="M386" i="2"/>
  <c r="P386" i="2"/>
  <c r="O778" i="2"/>
  <c r="S379" i="2"/>
  <c r="M379" i="2"/>
  <c r="T593" i="2"/>
  <c r="M593" i="2"/>
  <c r="N593" i="2"/>
  <c r="O27" i="2"/>
  <c r="S106" i="2"/>
  <c r="N130" i="2"/>
  <c r="T140" i="2"/>
  <c r="L150" i="2"/>
  <c r="S170" i="2"/>
  <c r="L180" i="2"/>
  <c r="J183" i="2"/>
  <c r="R203" i="2"/>
  <c r="I220" i="2"/>
  <c r="L224" i="2"/>
  <c r="S235" i="2"/>
  <c r="H235" i="2"/>
  <c r="R247" i="2"/>
  <c r="I257" i="2"/>
  <c r="Q268" i="2"/>
  <c r="J274" i="2"/>
  <c r="O282" i="2"/>
  <c r="H297" i="2"/>
  <c r="L302" i="2"/>
  <c r="P307" i="2"/>
  <c r="J326" i="2"/>
  <c r="H330" i="2"/>
  <c r="T332" i="2"/>
  <c r="K344" i="2"/>
  <c r="H357" i="2"/>
  <c r="T359" i="2"/>
  <c r="Q371" i="2"/>
  <c r="K371" i="2"/>
  <c r="H379" i="2"/>
  <c r="Q404" i="2"/>
  <c r="H425" i="2"/>
  <c r="L441" i="2"/>
  <c r="O446" i="2"/>
  <c r="N493" i="2"/>
  <c r="T563" i="2"/>
  <c r="S563" i="2"/>
  <c r="R563" i="2"/>
  <c r="N576" i="2"/>
  <c r="H593" i="2"/>
  <c r="S770" i="2"/>
  <c r="K770" i="2"/>
  <c r="I770" i="2"/>
  <c r="Q675" i="2"/>
  <c r="I675" i="2"/>
  <c r="K675" i="2"/>
  <c r="H675" i="2"/>
  <c r="Q726" i="2"/>
  <c r="H726" i="2"/>
  <c r="O726" i="2"/>
  <c r="I816" i="2"/>
  <c r="S816" i="2"/>
  <c r="R816" i="2"/>
  <c r="P816" i="2"/>
  <c r="N816" i="2"/>
  <c r="J816" i="2"/>
  <c r="H816" i="2"/>
  <c r="L816" i="2"/>
  <c r="K816" i="2"/>
  <c r="T816" i="2"/>
  <c r="Q816" i="2"/>
  <c r="R931" i="2"/>
  <c r="M931" i="2"/>
  <c r="J931" i="2"/>
  <c r="O931" i="2"/>
  <c r="N980" i="2"/>
  <c r="L980" i="2"/>
  <c r="J980" i="2"/>
  <c r="T106" i="2"/>
  <c r="O130" i="2"/>
  <c r="M150" i="2"/>
  <c r="M180" i="2"/>
  <c r="K183" i="2"/>
  <c r="L188" i="2"/>
  <c r="S203" i="2"/>
  <c r="T209" i="2"/>
  <c r="L220" i="2"/>
  <c r="I235" i="2"/>
  <c r="T247" i="2"/>
  <c r="J257" i="2"/>
  <c r="R268" i="2"/>
  <c r="K274" i="2"/>
  <c r="P282" i="2"/>
  <c r="I297" i="2"/>
  <c r="Q307" i="2"/>
  <c r="K326" i="2"/>
  <c r="K330" i="2"/>
  <c r="M340" i="2"/>
  <c r="M357" i="2"/>
  <c r="I366" i="2"/>
  <c r="J371" i="2"/>
  <c r="O399" i="2"/>
  <c r="H415" i="2"/>
  <c r="L419" i="2"/>
  <c r="J425" i="2"/>
  <c r="M441" i="2"/>
  <c r="P446" i="2"/>
  <c r="I459" i="2"/>
  <c r="J519" i="2"/>
  <c r="I519" i="2"/>
  <c r="N519" i="2"/>
  <c r="R519" i="2"/>
  <c r="Q519" i="2"/>
  <c r="H563" i="2"/>
  <c r="Q593" i="2"/>
  <c r="L615" i="2"/>
  <c r="K615" i="2"/>
  <c r="P675" i="2"/>
  <c r="I716" i="2"/>
  <c r="S753" i="2"/>
  <c r="Q753" i="2"/>
  <c r="P753" i="2"/>
  <c r="M753" i="2"/>
  <c r="I753" i="2"/>
  <c r="O753" i="2"/>
  <c r="J770" i="2"/>
  <c r="H777" i="2"/>
  <c r="S790" i="2"/>
  <c r="P790" i="2"/>
  <c r="N790" i="2"/>
  <c r="I790" i="2"/>
  <c r="L790" i="2"/>
  <c r="O816" i="2"/>
  <c r="Q915" i="2"/>
  <c r="L932" i="2"/>
  <c r="J932" i="2"/>
  <c r="R220" i="2"/>
  <c r="K257" i="2"/>
  <c r="S268" i="2"/>
  <c r="K292" i="2"/>
  <c r="T292" i="2"/>
  <c r="J297" i="2"/>
  <c r="L326" i="2"/>
  <c r="O357" i="2"/>
  <c r="O441" i="2"/>
  <c r="N457" i="2"/>
  <c r="K457" i="2"/>
  <c r="S593" i="2"/>
  <c r="H671" i="2"/>
  <c r="M671" i="2"/>
  <c r="L671" i="2"/>
  <c r="J671" i="2"/>
  <c r="S671" i="2"/>
  <c r="K671" i="2"/>
  <c r="I671" i="2"/>
  <c r="Q690" i="2"/>
  <c r="P690" i="2"/>
  <c r="K690" i="2"/>
  <c r="N690" i="2"/>
  <c r="T771" i="2"/>
  <c r="R771" i="2"/>
  <c r="Q796" i="2"/>
  <c r="R796" i="2"/>
  <c r="T837" i="2"/>
  <c r="S837" i="2"/>
  <c r="N837" i="2"/>
  <c r="L837" i="2"/>
  <c r="J899" i="2"/>
  <c r="H899" i="2"/>
  <c r="T899" i="2"/>
  <c r="R899" i="2"/>
  <c r="T961" i="2"/>
  <c r="Q961" i="2"/>
  <c r="K961" i="2"/>
  <c r="S257" i="2"/>
  <c r="O297" i="2"/>
  <c r="Q326" i="2"/>
  <c r="T335" i="2"/>
  <c r="K335" i="2"/>
  <c r="T357" i="2"/>
  <c r="M544" i="2"/>
  <c r="J544" i="2"/>
  <c r="I577" i="2"/>
  <c r="L577" i="2"/>
  <c r="I665" i="2"/>
  <c r="M665" i="2"/>
  <c r="H665" i="2"/>
  <c r="S678" i="2"/>
  <c r="P678" i="2"/>
  <c r="M678" i="2"/>
  <c r="L678" i="2"/>
  <c r="Q701" i="2"/>
  <c r="P701" i="2"/>
  <c r="M701" i="2"/>
  <c r="R701" i="2"/>
  <c r="H830" i="2"/>
  <c r="S830" i="2"/>
  <c r="R830" i="2"/>
  <c r="P830" i="2"/>
  <c r="N830" i="2"/>
  <c r="J830" i="2"/>
  <c r="I830" i="2"/>
  <c r="M830" i="2"/>
  <c r="N895" i="2"/>
  <c r="S895" i="2"/>
  <c r="M895" i="2"/>
  <c r="L895" i="2"/>
  <c r="N57" i="2"/>
  <c r="N103" i="2"/>
  <c r="R115" i="2"/>
  <c r="N129" i="2"/>
  <c r="K138" i="2"/>
  <c r="Q177" i="2"/>
  <c r="H194" i="2"/>
  <c r="O204" i="2"/>
  <c r="N210" i="2"/>
  <c r="H222" i="2"/>
  <c r="O231" i="2"/>
  <c r="I254" i="2"/>
  <c r="T257" i="2"/>
  <c r="L292" i="2"/>
  <c r="P297" i="2"/>
  <c r="K313" i="2"/>
  <c r="H335" i="2"/>
  <c r="H342" i="2"/>
  <c r="K353" i="2"/>
  <c r="T361" i="2"/>
  <c r="J387" i="2"/>
  <c r="H437" i="2"/>
  <c r="M457" i="2"/>
  <c r="I460" i="2"/>
  <c r="S474" i="2"/>
  <c r="O474" i="2"/>
  <c r="S479" i="2"/>
  <c r="O479" i="2"/>
  <c r="I479" i="2"/>
  <c r="H479" i="2"/>
  <c r="J508" i="2"/>
  <c r="T536" i="2"/>
  <c r="S536" i="2"/>
  <c r="H544" i="2"/>
  <c r="M577" i="2"/>
  <c r="N665" i="2"/>
  <c r="Q671" i="2"/>
  <c r="K678" i="2"/>
  <c r="I701" i="2"/>
  <c r="M761" i="2"/>
  <c r="J761" i="2"/>
  <c r="K761" i="2"/>
  <c r="S796" i="2"/>
  <c r="M819" i="2"/>
  <c r="K830" i="2"/>
  <c r="O837" i="2"/>
  <c r="I895" i="2"/>
  <c r="O57" i="2"/>
  <c r="O103" i="2"/>
  <c r="S115" i="2"/>
  <c r="O129" i="2"/>
  <c r="P138" i="2"/>
  <c r="R177" i="2"/>
  <c r="I194" i="2"/>
  <c r="P204" i="2"/>
  <c r="O210" i="2"/>
  <c r="I222" i="2"/>
  <c r="J254" i="2"/>
  <c r="M292" i="2"/>
  <c r="Q297" i="2"/>
  <c r="J335" i="2"/>
  <c r="L342" i="2"/>
  <c r="L353" i="2"/>
  <c r="K387" i="2"/>
  <c r="I437" i="2"/>
  <c r="O457" i="2"/>
  <c r="K460" i="2"/>
  <c r="L508" i="2"/>
  <c r="O544" i="2"/>
  <c r="N578" i="2"/>
  <c r="I578" i="2"/>
  <c r="H578" i="2"/>
  <c r="P578" i="2"/>
  <c r="N620" i="2"/>
  <c r="M620" i="2"/>
  <c r="R671" i="2"/>
  <c r="O678" i="2"/>
  <c r="O701" i="2"/>
  <c r="T796" i="2"/>
  <c r="L830" i="2"/>
  <c r="Q837" i="2"/>
  <c r="K895" i="2"/>
  <c r="T910" i="2"/>
  <c r="Q910" i="2"/>
  <c r="K910" i="2"/>
  <c r="S910" i="2"/>
  <c r="R975" i="2"/>
  <c r="L975" i="2"/>
  <c r="J975" i="2"/>
  <c r="T1037" i="2"/>
  <c r="O1037" i="2"/>
  <c r="N1037" i="2"/>
  <c r="L1037" i="2"/>
  <c r="I1037" i="2"/>
  <c r="K1037" i="2"/>
  <c r="H1037" i="2"/>
  <c r="S1049" i="2"/>
  <c r="R1049" i="2"/>
  <c r="I1049" i="2"/>
  <c r="H1049" i="2"/>
  <c r="K720" i="2"/>
  <c r="Q720" i="2"/>
  <c r="M720" i="2"/>
  <c r="I720" i="2"/>
  <c r="L720" i="2"/>
  <c r="H720" i="2"/>
  <c r="R103" i="2"/>
  <c r="Q129" i="2"/>
  <c r="N151" i="2"/>
  <c r="T183" i="2"/>
  <c r="Q190" i="2"/>
  <c r="P194" i="2"/>
  <c r="R204" i="2"/>
  <c r="Q210" i="2"/>
  <c r="L222" i="2"/>
  <c r="I232" i="2"/>
  <c r="J243" i="2"/>
  <c r="P254" i="2"/>
  <c r="K267" i="2"/>
  <c r="T274" i="2"/>
  <c r="I287" i="2"/>
  <c r="O292" i="2"/>
  <c r="S297" i="2"/>
  <c r="K304" i="2"/>
  <c r="S328" i="2"/>
  <c r="H328" i="2"/>
  <c r="M335" i="2"/>
  <c r="P342" i="2"/>
  <c r="R353" i="2"/>
  <c r="I359" i="2"/>
  <c r="K362" i="2"/>
  <c r="R387" i="2"/>
  <c r="M392" i="2"/>
  <c r="M422" i="2"/>
  <c r="M437" i="2"/>
  <c r="R452" i="2"/>
  <c r="Q457" i="2"/>
  <c r="L479" i="2"/>
  <c r="I497" i="2"/>
  <c r="H504" i="2"/>
  <c r="S504" i="2"/>
  <c r="Q520" i="2"/>
  <c r="M536" i="2"/>
  <c r="S544" i="2"/>
  <c r="O557" i="2"/>
  <c r="T620" i="2"/>
  <c r="Q641" i="2"/>
  <c r="P641" i="2"/>
  <c r="J641" i="2"/>
  <c r="T641" i="2"/>
  <c r="O657" i="2"/>
  <c r="I657" i="2"/>
  <c r="R672" i="2"/>
  <c r="K672" i="2"/>
  <c r="H672" i="2"/>
  <c r="H679" i="2"/>
  <c r="T701" i="2"/>
  <c r="R720" i="2"/>
  <c r="O756" i="2"/>
  <c r="S756" i="2"/>
  <c r="M756" i="2"/>
  <c r="J756" i="2"/>
  <c r="Q830" i="2"/>
  <c r="H847" i="2"/>
  <c r="N847" i="2"/>
  <c r="K847" i="2"/>
  <c r="S897" i="2"/>
  <c r="Q897" i="2"/>
  <c r="L897" i="2"/>
  <c r="K897" i="2"/>
  <c r="P897" i="2"/>
  <c r="O897" i="2"/>
  <c r="O910" i="2"/>
  <c r="P926" i="2"/>
  <c r="S926" i="2"/>
  <c r="M926" i="2"/>
  <c r="K926" i="2"/>
  <c r="L946" i="2"/>
  <c r="T946" i="2"/>
  <c r="Q946" i="2"/>
  <c r="P1037" i="2"/>
  <c r="M1049" i="2"/>
  <c r="N335" i="2"/>
  <c r="R342" i="2"/>
  <c r="S353" i="2"/>
  <c r="P437" i="2"/>
  <c r="N477" i="2"/>
  <c r="M477" i="2"/>
  <c r="M558" i="2"/>
  <c r="S558" i="2"/>
  <c r="Q558" i="2"/>
  <c r="N558" i="2"/>
  <c r="H558" i="2"/>
  <c r="J604" i="2"/>
  <c r="I604" i="2"/>
  <c r="R799" i="2"/>
  <c r="P799" i="2"/>
  <c r="M799" i="2"/>
  <c r="J799" i="2"/>
  <c r="I799" i="2"/>
  <c r="H799" i="2"/>
  <c r="T903" i="2"/>
  <c r="Q903" i="2"/>
  <c r="M903" i="2"/>
  <c r="K903" i="2"/>
  <c r="O903" i="2"/>
  <c r="N964" i="2"/>
  <c r="S964" i="2"/>
  <c r="J964" i="2"/>
  <c r="I964" i="2"/>
  <c r="H964" i="2"/>
  <c r="L184" i="2"/>
  <c r="J191" i="2"/>
  <c r="I272" i="2"/>
  <c r="O275" i="2"/>
  <c r="T299" i="2"/>
  <c r="L299" i="2"/>
  <c r="O335" i="2"/>
  <c r="T353" i="2"/>
  <c r="K408" i="2"/>
  <c r="H418" i="2"/>
  <c r="R437" i="2"/>
  <c r="T498" i="2"/>
  <c r="I498" i="2"/>
  <c r="R498" i="2"/>
  <c r="Q498" i="2"/>
  <c r="I510" i="2"/>
  <c r="H510" i="2"/>
  <c r="K510" i="2"/>
  <c r="J510" i="2"/>
  <c r="J545" i="2"/>
  <c r="M545" i="2"/>
  <c r="I558" i="2"/>
  <c r="O604" i="2"/>
  <c r="J673" i="2"/>
  <c r="L703" i="2"/>
  <c r="Q703" i="2"/>
  <c r="P721" i="2"/>
  <c r="Q738" i="2"/>
  <c r="S764" i="2"/>
  <c r="L799" i="2"/>
  <c r="K984" i="2"/>
  <c r="S984" i="2"/>
  <c r="J984" i="2"/>
  <c r="T1050" i="2"/>
  <c r="P1050" i="2"/>
  <c r="O1050" i="2"/>
  <c r="I1050" i="2"/>
  <c r="L1050" i="2"/>
  <c r="O222" i="2"/>
  <c r="J205" i="2"/>
  <c r="K299" i="2"/>
  <c r="I343" i="2"/>
  <c r="I388" i="2"/>
  <c r="I403" i="2"/>
  <c r="P408" i="2"/>
  <c r="I418" i="2"/>
  <c r="J434" i="2"/>
  <c r="M453" i="2"/>
  <c r="H470" i="2"/>
  <c r="I477" i="2"/>
  <c r="K487" i="2"/>
  <c r="M510" i="2"/>
  <c r="M521" i="2"/>
  <c r="S546" i="2"/>
  <c r="M546" i="2"/>
  <c r="J558" i="2"/>
  <c r="Q604" i="2"/>
  <c r="K673" i="2"/>
  <c r="P703" i="2"/>
  <c r="I748" i="2"/>
  <c r="M757" i="2"/>
  <c r="S757" i="2"/>
  <c r="R757" i="2"/>
  <c r="N757" i="2"/>
  <c r="K757" i="2"/>
  <c r="Q757" i="2"/>
  <c r="O799" i="2"/>
  <c r="R866" i="2"/>
  <c r="S866" i="2"/>
  <c r="N903" i="2"/>
  <c r="O947" i="2"/>
  <c r="L947" i="2"/>
  <c r="P956" i="2"/>
  <c r="O956" i="2"/>
  <c r="K956" i="2"/>
  <c r="J956" i="2"/>
  <c r="I956" i="2"/>
  <c r="Q956" i="2"/>
  <c r="T999" i="2"/>
  <c r="S999" i="2"/>
  <c r="Q1050" i="2"/>
  <c r="K238" i="2"/>
  <c r="R280" i="2"/>
  <c r="S280" i="2"/>
  <c r="M383" i="2"/>
  <c r="N195" i="2"/>
  <c r="J203" i="2"/>
  <c r="R272" i="2"/>
  <c r="Q335" i="2"/>
  <c r="N348" i="2"/>
  <c r="M359" i="2"/>
  <c r="M370" i="2"/>
  <c r="J388" i="2"/>
  <c r="T434" i="2"/>
  <c r="L444" i="2"/>
  <c r="K470" i="2"/>
  <c r="J477" i="2"/>
  <c r="Q479" i="2"/>
  <c r="M487" i="2"/>
  <c r="J498" i="2"/>
  <c r="O510" i="2"/>
  <c r="O538" i="2"/>
  <c r="N538" i="2"/>
  <c r="K546" i="2"/>
  <c r="J559" i="2"/>
  <c r="M559" i="2"/>
  <c r="L559" i="2"/>
  <c r="P592" i="2"/>
  <c r="O592" i="2"/>
  <c r="S592" i="2"/>
  <c r="S605" i="2"/>
  <c r="M605" i="2"/>
  <c r="K605" i="2"/>
  <c r="Q605" i="2"/>
  <c r="N605" i="2"/>
  <c r="P658" i="2"/>
  <c r="N658" i="2"/>
  <c r="K658" i="2"/>
  <c r="Q658" i="2"/>
  <c r="I714" i="2"/>
  <c r="S723" i="2"/>
  <c r="H723" i="2"/>
  <c r="Q723" i="2"/>
  <c r="S748" i="2"/>
  <c r="J757" i="2"/>
  <c r="S799" i="2"/>
  <c r="I814" i="2"/>
  <c r="P903" i="2"/>
  <c r="P947" i="2"/>
  <c r="N956" i="2"/>
  <c r="Q999" i="2"/>
  <c r="P222" i="2"/>
  <c r="T254" i="2"/>
  <c r="H268" i="2"/>
  <c r="M272" i="2"/>
  <c r="P335" i="2"/>
  <c r="K100" i="2"/>
  <c r="K106" i="2"/>
  <c r="S111" i="2"/>
  <c r="M135" i="2"/>
  <c r="K139" i="2"/>
  <c r="I148" i="2"/>
  <c r="R151" i="2"/>
  <c r="N163" i="2"/>
  <c r="M179" i="2"/>
  <c r="N191" i="2"/>
  <c r="Q222" i="2"/>
  <c r="L238" i="2"/>
  <c r="T244" i="2"/>
  <c r="I268" i="2"/>
  <c r="H280" i="2"/>
  <c r="P287" i="2"/>
  <c r="S292" i="2"/>
  <c r="S299" i="2"/>
  <c r="L343" i="2"/>
  <c r="L354" i="2"/>
  <c r="S362" i="2"/>
  <c r="N383" i="2"/>
  <c r="R392" i="2"/>
  <c r="L403" i="2"/>
  <c r="K418" i="2"/>
  <c r="O100" i="2"/>
  <c r="L106" i="2"/>
  <c r="H130" i="2"/>
  <c r="N135" i="2"/>
  <c r="Q139" i="2"/>
  <c r="T148" i="2"/>
  <c r="N179" i="2"/>
  <c r="K185" i="2"/>
  <c r="K203" i="2"/>
  <c r="I206" i="2"/>
  <c r="K233" i="2"/>
  <c r="N238" i="2"/>
  <c r="H252" i="2"/>
  <c r="K255" i="2"/>
  <c r="O264" i="2"/>
  <c r="J268" i="2"/>
  <c r="S272" i="2"/>
  <c r="O280" i="2"/>
  <c r="Q287" i="2"/>
  <c r="K324" i="2"/>
  <c r="M329" i="2"/>
  <c r="N332" i="2"/>
  <c r="R335" i="2"/>
  <c r="M343" i="2"/>
  <c r="N359" i="2"/>
  <c r="N370" i="2"/>
  <c r="J378" i="2"/>
  <c r="K388" i="2"/>
  <c r="N403" i="2"/>
  <c r="N409" i="2"/>
  <c r="L418" i="2"/>
  <c r="O444" i="2"/>
  <c r="H458" i="2"/>
  <c r="M470" i="2"/>
  <c r="K477" i="2"/>
  <c r="R479" i="2"/>
  <c r="O487" i="2"/>
  <c r="R492" i="2"/>
  <c r="K498" i="2"/>
  <c r="N504" i="2"/>
  <c r="P510" i="2"/>
  <c r="R516" i="2"/>
  <c r="I538" i="2"/>
  <c r="O546" i="2"/>
  <c r="K559" i="2"/>
  <c r="I592" i="2"/>
  <c r="O605" i="2"/>
  <c r="Q629" i="2"/>
  <c r="P629" i="2"/>
  <c r="I658" i="2"/>
  <c r="S714" i="2"/>
  <c r="M723" i="2"/>
  <c r="T748" i="2"/>
  <c r="L757" i="2"/>
  <c r="T799" i="2"/>
  <c r="P814" i="2"/>
  <c r="J840" i="2"/>
  <c r="I840" i="2"/>
  <c r="T840" i="2"/>
  <c r="M840" i="2"/>
  <c r="L840" i="2"/>
  <c r="T867" i="2"/>
  <c r="I881" i="2"/>
  <c r="J881" i="2"/>
  <c r="R903" i="2"/>
  <c r="Q947" i="2"/>
  <c r="R956" i="2"/>
  <c r="T1025" i="2"/>
  <c r="Q1025" i="2"/>
  <c r="P1025" i="2"/>
  <c r="O1025" i="2"/>
  <c r="K1025" i="2"/>
  <c r="I1051" i="2"/>
  <c r="K179" i="2"/>
  <c r="P100" i="2"/>
  <c r="M106" i="2"/>
  <c r="I130" i="2"/>
  <c r="O135" i="2"/>
  <c r="L203" i="2"/>
  <c r="M206" i="2"/>
  <c r="L233" i="2"/>
  <c r="O238" i="2"/>
  <c r="I252" i="2"/>
  <c r="L255" i="2"/>
  <c r="P264" i="2"/>
  <c r="K268" i="2"/>
  <c r="P280" i="2"/>
  <c r="S287" i="2"/>
  <c r="M324" i="2"/>
  <c r="N329" i="2"/>
  <c r="S335" i="2"/>
  <c r="O343" i="2"/>
  <c r="O359" i="2"/>
  <c r="O370" i="2"/>
  <c r="L378" i="2"/>
  <c r="L388" i="2"/>
  <c r="R403" i="2"/>
  <c r="R409" i="2"/>
  <c r="M418" i="2"/>
  <c r="I458" i="2"/>
  <c r="N470" i="2"/>
  <c r="O477" i="2"/>
  <c r="T479" i="2"/>
  <c r="T487" i="2"/>
  <c r="M498" i="2"/>
  <c r="R510" i="2"/>
  <c r="M538" i="2"/>
  <c r="M592" i="2"/>
  <c r="J601" i="2"/>
  <c r="S601" i="2"/>
  <c r="I601" i="2"/>
  <c r="P605" i="2"/>
  <c r="Q623" i="2"/>
  <c r="P623" i="2"/>
  <c r="S623" i="2"/>
  <c r="M658" i="2"/>
  <c r="N723" i="2"/>
  <c r="S758" i="2"/>
  <c r="N758" i="2"/>
  <c r="O800" i="2"/>
  <c r="P800" i="2"/>
  <c r="S814" i="2"/>
  <c r="P850" i="2"/>
  <c r="N850" i="2"/>
  <c r="K850" i="2"/>
  <c r="I850" i="2"/>
  <c r="M850" i="2"/>
  <c r="N876" i="2"/>
  <c r="K876" i="2"/>
  <c r="M876" i="2"/>
  <c r="T947" i="2"/>
  <c r="T956" i="2"/>
  <c r="T194" i="2"/>
  <c r="H203" i="2"/>
  <c r="Q100" i="2"/>
  <c r="O106" i="2"/>
  <c r="P135" i="2"/>
  <c r="M203" i="2"/>
  <c r="O233" i="2"/>
  <c r="P238" i="2"/>
  <c r="J252" i="2"/>
  <c r="M255" i="2"/>
  <c r="L268" i="2"/>
  <c r="T280" i="2"/>
  <c r="T287" i="2"/>
  <c r="P329" i="2"/>
  <c r="R343" i="2"/>
  <c r="P359" i="2"/>
  <c r="P370" i="2"/>
  <c r="M378" i="2"/>
  <c r="M388" i="2"/>
  <c r="T403" i="2"/>
  <c r="N418" i="2"/>
  <c r="K458" i="2"/>
  <c r="P470" i="2"/>
  <c r="P477" i="2"/>
  <c r="S493" i="2"/>
  <c r="Q493" i="2"/>
  <c r="O498" i="2"/>
  <c r="S510" i="2"/>
  <c r="J518" i="2"/>
  <c r="R518" i="2"/>
  <c r="S523" i="2"/>
  <c r="I531" i="2"/>
  <c r="H531" i="2"/>
  <c r="L531" i="2"/>
  <c r="R538" i="2"/>
  <c r="N592" i="2"/>
  <c r="R605" i="2"/>
  <c r="J636" i="2"/>
  <c r="H636" i="2"/>
  <c r="S658" i="2"/>
  <c r="T669" i="2"/>
  <c r="K669" i="2"/>
  <c r="I758" i="2"/>
  <c r="I833" i="2"/>
  <c r="T833" i="2"/>
  <c r="N833" i="2"/>
  <c r="M833" i="2"/>
  <c r="R833" i="2"/>
  <c r="P833" i="2"/>
  <c r="L1002" i="2"/>
  <c r="H1002" i="2"/>
  <c r="K191" i="2"/>
  <c r="P106" i="2"/>
  <c r="S113" i="2"/>
  <c r="R135" i="2"/>
  <c r="H186" i="2"/>
  <c r="L196" i="2"/>
  <c r="O224" i="2"/>
  <c r="T224" i="2"/>
  <c r="I247" i="2"/>
  <c r="N268" i="2"/>
  <c r="M316" i="2"/>
  <c r="Q378" i="2"/>
  <c r="N388" i="2"/>
  <c r="N393" i="2"/>
  <c r="L398" i="2"/>
  <c r="I410" i="2"/>
  <c r="O418" i="2"/>
  <c r="I446" i="2"/>
  <c r="Q470" i="2"/>
  <c r="Q477" i="2"/>
  <c r="H493" i="2"/>
  <c r="P498" i="2"/>
  <c r="T510" i="2"/>
  <c r="H518" i="2"/>
  <c r="N531" i="2"/>
  <c r="P576" i="2"/>
  <c r="O576" i="2"/>
  <c r="Q592" i="2"/>
  <c r="K601" i="2"/>
  <c r="T605" i="2"/>
  <c r="N630" i="2"/>
  <c r="L636" i="2"/>
  <c r="K649" i="2"/>
  <c r="T658" i="2"/>
  <c r="J669" i="2"/>
  <c r="O706" i="2"/>
  <c r="K833" i="2"/>
  <c r="O994" i="2"/>
  <c r="Q994" i="2"/>
  <c r="L994" i="2"/>
  <c r="O1002" i="2"/>
  <c r="P513" i="2"/>
  <c r="K534" i="2"/>
  <c r="J534" i="2"/>
  <c r="M698" i="2"/>
  <c r="P698" i="2"/>
  <c r="M713" i="2"/>
  <c r="S736" i="2"/>
  <c r="Q736" i="2"/>
  <c r="I736" i="2"/>
  <c r="L759" i="2"/>
  <c r="O759" i="2"/>
  <c r="P813" i="2"/>
  <c r="T813" i="2"/>
  <c r="S813" i="2"/>
  <c r="Q813" i="2"/>
  <c r="N813" i="2"/>
  <c r="J813" i="2"/>
  <c r="I813" i="2"/>
  <c r="K862" i="2"/>
  <c r="R890" i="2"/>
  <c r="Q900" i="2"/>
  <c r="O924" i="2"/>
  <c r="H924" i="2"/>
  <c r="P928" i="2"/>
  <c r="N992" i="2"/>
  <c r="L1017" i="2"/>
  <c r="J1017" i="2"/>
  <c r="K491" i="2"/>
  <c r="J505" i="2"/>
  <c r="I505" i="2"/>
  <c r="S591" i="2"/>
  <c r="M591" i="2"/>
  <c r="L591" i="2"/>
  <c r="H591" i="2"/>
  <c r="J633" i="2"/>
  <c r="T642" i="2"/>
  <c r="P642" i="2"/>
  <c r="H656" i="2"/>
  <c r="J682" i="2"/>
  <c r="H730" i="2"/>
  <c r="I759" i="2"/>
  <c r="H788" i="2"/>
  <c r="J803" i="2"/>
  <c r="H813" i="2"/>
  <c r="O827" i="2"/>
  <c r="I885" i="2"/>
  <c r="H885" i="2"/>
  <c r="S890" i="2"/>
  <c r="R920" i="2"/>
  <c r="P920" i="2"/>
  <c r="P936" i="2"/>
  <c r="N936" i="2"/>
  <c r="L936" i="2"/>
  <c r="J936" i="2"/>
  <c r="Q981" i="2"/>
  <c r="O981" i="2"/>
  <c r="N981" i="2"/>
  <c r="H981" i="2"/>
  <c r="T981" i="2"/>
  <c r="K1000" i="2"/>
  <c r="N1000" i="2"/>
  <c r="I1000" i="2"/>
  <c r="K1017" i="2"/>
  <c r="T1056" i="2"/>
  <c r="I1056" i="2"/>
  <c r="I612" i="2"/>
  <c r="H612" i="2"/>
  <c r="P644" i="2"/>
  <c r="N644" i="2"/>
  <c r="J740" i="2"/>
  <c r="N740" i="2"/>
  <c r="K740" i="2"/>
  <c r="M963" i="2"/>
  <c r="T963" i="2"/>
  <c r="H976" i="2"/>
  <c r="J976" i="2"/>
  <c r="Q934" i="2"/>
  <c r="N934" i="2"/>
  <c r="M934" i="2"/>
  <c r="K934" i="2"/>
  <c r="H934" i="2"/>
  <c r="S934" i="2"/>
  <c r="M958" i="2"/>
  <c r="K958" i="2"/>
  <c r="J958" i="2"/>
  <c r="H958" i="2"/>
  <c r="S958" i="2"/>
  <c r="Q958" i="2"/>
  <c r="M1044" i="2"/>
  <c r="J1044" i="2"/>
  <c r="R1052" i="2"/>
  <c r="Q1052" i="2"/>
  <c r="I1052" i="2"/>
  <c r="R612" i="2"/>
  <c r="O644" i="2"/>
  <c r="L674" i="2"/>
  <c r="K674" i="2"/>
  <c r="H674" i="2"/>
  <c r="S680" i="2"/>
  <c r="Q680" i="2"/>
  <c r="P680" i="2"/>
  <c r="K680" i="2"/>
  <c r="K693" i="2"/>
  <c r="S693" i="2"/>
  <c r="Q751" i="2"/>
  <c r="K751" i="2"/>
  <c r="I934" i="2"/>
  <c r="I958" i="2"/>
  <c r="H1044" i="2"/>
  <c r="T1052" i="2"/>
  <c r="L934" i="2"/>
  <c r="L958" i="2"/>
  <c r="T991" i="2"/>
  <c r="Q991" i="2"/>
  <c r="N991" i="2"/>
  <c r="L991" i="2"/>
  <c r="K991" i="2"/>
  <c r="K1044" i="2"/>
  <c r="M846" i="2"/>
  <c r="T861" i="2"/>
  <c r="R861" i="2"/>
  <c r="K890" i="2"/>
  <c r="N900" i="2"/>
  <c r="M900" i="2"/>
  <c r="K900" i="2"/>
  <c r="H900" i="2"/>
  <c r="O906" i="2"/>
  <c r="Q913" i="2"/>
  <c r="P913" i="2"/>
  <c r="J913" i="2"/>
  <c r="O934" i="2"/>
  <c r="R953" i="2"/>
  <c r="K953" i="2"/>
  <c r="N958" i="2"/>
  <c r="O991" i="2"/>
  <c r="Q1044" i="2"/>
  <c r="I513" i="2"/>
  <c r="H513" i="2"/>
  <c r="O533" i="2"/>
  <c r="P533" i="2"/>
  <c r="Q713" i="2"/>
  <c r="L713" i="2"/>
  <c r="K713" i="2"/>
  <c r="P802" i="2"/>
  <c r="J802" i="2"/>
  <c r="H802" i="2"/>
  <c r="M862" i="2"/>
  <c r="J862" i="2"/>
  <c r="L890" i="2"/>
  <c r="I900" i="2"/>
  <c r="M913" i="2"/>
  <c r="M923" i="2"/>
  <c r="T923" i="2"/>
  <c r="R928" i="2"/>
  <c r="N928" i="2"/>
  <c r="L928" i="2"/>
  <c r="I928" i="2"/>
  <c r="P934" i="2"/>
  <c r="H953" i="2"/>
  <c r="O958" i="2"/>
  <c r="K992" i="2"/>
  <c r="S992" i="2"/>
  <c r="R992" i="2"/>
  <c r="P992" i="2"/>
  <c r="M992" i="2"/>
  <c r="S613" i="2"/>
  <c r="S973" i="2"/>
  <c r="K1013" i="2"/>
  <c r="H944" i="2"/>
  <c r="S950" i="2"/>
  <c r="H959" i="2"/>
  <c r="J971" i="2"/>
  <c r="H989" i="2"/>
  <c r="N1041" i="2"/>
  <c r="H1057" i="2"/>
  <c r="M918" i="2"/>
  <c r="M959" i="2"/>
  <c r="N971" i="2"/>
  <c r="K974" i="2"/>
  <c r="O983" i="2"/>
  <c r="N989" i="2"/>
  <c r="M996" i="2"/>
  <c r="O1035" i="2"/>
  <c r="J1057" i="2"/>
  <c r="M552" i="2"/>
  <c r="H602" i="2"/>
  <c r="L719" i="2"/>
  <c r="K733" i="2"/>
  <c r="J744" i="2"/>
  <c r="S959" i="2"/>
  <c r="O971" i="2"/>
  <c r="L974" i="2"/>
  <c r="S1035" i="2"/>
  <c r="K1057" i="2"/>
  <c r="T971" i="2"/>
  <c r="Q974" i="2"/>
  <c r="R1057" i="2"/>
  <c r="J746" i="2"/>
  <c r="K870" i="2"/>
  <c r="J985" i="2"/>
  <c r="K990" i="2"/>
  <c r="P589" i="2"/>
  <c r="Q602" i="2"/>
  <c r="K613" i="2"/>
  <c r="K688" i="2"/>
  <c r="S774" i="2"/>
  <c r="M795" i="2"/>
  <c r="N808" i="2"/>
  <c r="N845" i="2"/>
  <c r="N870" i="2"/>
  <c r="J919" i="2"/>
  <c r="S922" i="2"/>
  <c r="S925" i="2"/>
  <c r="P929" i="2"/>
  <c r="T965" i="2"/>
  <c r="I973" i="2"/>
  <c r="O985" i="2"/>
  <c r="M990" i="2"/>
  <c r="S997" i="2"/>
  <c r="Q1024" i="2"/>
  <c r="K1032" i="2"/>
  <c r="R602" i="2"/>
  <c r="L613" i="2"/>
  <c r="I626" i="2"/>
  <c r="H684" i="2"/>
  <c r="T922" i="2"/>
  <c r="O990" i="2"/>
  <c r="M1011" i="2"/>
  <c r="S1024" i="2"/>
  <c r="J1045" i="2"/>
  <c r="M173" i="2"/>
  <c r="H173" i="2"/>
  <c r="T173" i="2"/>
  <c r="S173" i="2"/>
  <c r="P173" i="2"/>
  <c r="O173" i="2"/>
  <c r="K173" i="2"/>
  <c r="J173" i="2"/>
  <c r="H148" i="2"/>
  <c r="I173" i="2"/>
  <c r="S187" i="2"/>
  <c r="R187" i="2"/>
  <c r="Q187" i="2"/>
  <c r="J277" i="2"/>
  <c r="K354" i="2"/>
  <c r="T471" i="2"/>
  <c r="O471" i="2"/>
  <c r="J471" i="2"/>
  <c r="J112" i="2"/>
  <c r="T112" i="2"/>
  <c r="Q112" i="2"/>
  <c r="P112" i="2"/>
  <c r="M112" i="2"/>
  <c r="L112" i="2"/>
  <c r="O250" i="2"/>
  <c r="N250" i="2"/>
  <c r="M250" i="2"/>
  <c r="R250" i="2"/>
  <c r="T250" i="2"/>
  <c r="L250" i="2"/>
  <c r="K250" i="2"/>
  <c r="J250" i="2"/>
  <c r="Q250" i="2"/>
  <c r="P250" i="2"/>
  <c r="H338" i="2"/>
  <c r="L338" i="2"/>
  <c r="J338" i="2"/>
  <c r="M373" i="2"/>
  <c r="L373" i="2"/>
  <c r="R373" i="2"/>
  <c r="I373" i="2"/>
  <c r="T373" i="2"/>
  <c r="S373" i="2"/>
  <c r="O373" i="2"/>
  <c r="N373" i="2"/>
  <c r="K502" i="2"/>
  <c r="I502" i="2"/>
  <c r="N112" i="2"/>
  <c r="J148" i="2"/>
  <c r="R160" i="2"/>
  <c r="M160" i="2"/>
  <c r="H160" i="2"/>
  <c r="S160" i="2"/>
  <c r="Q160" i="2"/>
  <c r="N160" i="2"/>
  <c r="L160" i="2"/>
  <c r="O165" i="2"/>
  <c r="N165" i="2"/>
  <c r="K165" i="2"/>
  <c r="M165" i="2"/>
  <c r="N173" i="2"/>
  <c r="M223" i="2"/>
  <c r="R223" i="2"/>
  <c r="Q223" i="2"/>
  <c r="P223" i="2"/>
  <c r="T223" i="2"/>
  <c r="S223" i="2"/>
  <c r="O223" i="2"/>
  <c r="N223" i="2"/>
  <c r="L223" i="2"/>
  <c r="K223" i="2"/>
  <c r="I223" i="2"/>
  <c r="H223" i="2"/>
  <c r="H250" i="2"/>
  <c r="T305" i="2"/>
  <c r="P305" i="2"/>
  <c r="O305" i="2"/>
  <c r="K305" i="2"/>
  <c r="S305" i="2"/>
  <c r="N305" i="2"/>
  <c r="R305" i="2"/>
  <c r="Q305" i="2"/>
  <c r="M305" i="2"/>
  <c r="J305" i="2"/>
  <c r="I305" i="2"/>
  <c r="P373" i="2"/>
  <c r="H502" i="2"/>
  <c r="O112" i="2"/>
  <c r="N148" i="2"/>
  <c r="R169" i="2"/>
  <c r="T169" i="2"/>
  <c r="Q173" i="2"/>
  <c r="I250" i="2"/>
  <c r="Q373" i="2"/>
  <c r="R112" i="2"/>
  <c r="P132" i="2"/>
  <c r="R132" i="2"/>
  <c r="Q132" i="2"/>
  <c r="M132" i="2"/>
  <c r="L132" i="2"/>
  <c r="J160" i="2"/>
  <c r="R165" i="2"/>
  <c r="O169" i="2"/>
  <c r="R173" i="2"/>
  <c r="S250" i="2"/>
  <c r="P262" i="2"/>
  <c r="M262" i="2"/>
  <c r="Q262" i="2"/>
  <c r="O262" i="2"/>
  <c r="N262" i="2"/>
  <c r="T262" i="2"/>
  <c r="R262" i="2"/>
  <c r="L262" i="2"/>
  <c r="I262" i="2"/>
  <c r="H262" i="2"/>
  <c r="L305" i="2"/>
  <c r="J351" i="2"/>
  <c r="T351" i="2"/>
  <c r="S351" i="2"/>
  <c r="O351" i="2"/>
  <c r="N351" i="2"/>
  <c r="K351" i="2"/>
  <c r="I351" i="2"/>
  <c r="T374" i="2"/>
  <c r="R374" i="2"/>
  <c r="K969" i="2"/>
  <c r="S969" i="2"/>
  <c r="P969" i="2"/>
  <c r="J969" i="2"/>
  <c r="T969" i="2"/>
  <c r="O969" i="2"/>
  <c r="N969" i="2"/>
  <c r="M969" i="2"/>
  <c r="I969" i="2"/>
  <c r="R969" i="2"/>
  <c r="H142" i="2"/>
  <c r="K124" i="2"/>
  <c r="R124" i="2"/>
  <c r="P124" i="2"/>
  <c r="O124" i="2"/>
  <c r="N124" i="2"/>
  <c r="M124" i="2"/>
  <c r="K142" i="2"/>
  <c r="P160" i="2"/>
  <c r="S245" i="2"/>
  <c r="J245" i="2"/>
  <c r="S262" i="2"/>
  <c r="M351" i="2"/>
  <c r="T181" i="2"/>
  <c r="L181" i="2"/>
  <c r="S181" i="2"/>
  <c r="N181" i="2"/>
  <c r="K181" i="2"/>
  <c r="I149" i="2"/>
  <c r="T149" i="2"/>
  <c r="S149" i="2"/>
  <c r="M149" i="2"/>
  <c r="K149" i="2"/>
  <c r="L166" i="2"/>
  <c r="K166" i="2"/>
  <c r="J181" i="2"/>
  <c r="P405" i="2"/>
  <c r="M405" i="2"/>
  <c r="N405" i="2"/>
  <c r="S405" i="2"/>
  <c r="R405" i="2"/>
  <c r="L405" i="2"/>
  <c r="K405" i="2"/>
  <c r="M439" i="2"/>
  <c r="T439" i="2"/>
  <c r="P439" i="2"/>
  <c r="R439" i="2"/>
  <c r="K439" i="2"/>
  <c r="J439" i="2"/>
  <c r="I439" i="2"/>
  <c r="S439" i="2"/>
  <c r="Q439" i="2"/>
  <c r="N439" i="2"/>
  <c r="H439" i="2"/>
  <c r="L611" i="2"/>
  <c r="Q611" i="2"/>
  <c r="N611" i="2"/>
  <c r="T611" i="2"/>
  <c r="M611" i="2"/>
  <c r="Q124" i="2"/>
  <c r="T132" i="2"/>
  <c r="R149" i="2"/>
  <c r="T160" i="2"/>
  <c r="M166" i="2"/>
  <c r="R181" i="2"/>
  <c r="I190" i="2"/>
  <c r="S190" i="2"/>
  <c r="O190" i="2"/>
  <c r="N190" i="2"/>
  <c r="T190" i="2"/>
  <c r="R190" i="2"/>
  <c r="P190" i="2"/>
  <c r="M190" i="2"/>
  <c r="J190" i="2"/>
  <c r="H190" i="2"/>
  <c r="T245" i="2"/>
  <c r="Q351" i="2"/>
  <c r="P143" i="2"/>
  <c r="S143" i="2"/>
  <c r="L143" i="2"/>
  <c r="R143" i="2"/>
  <c r="Q143" i="2"/>
  <c r="M143" i="2"/>
  <c r="K143" i="2"/>
  <c r="P363" i="2"/>
  <c r="I363" i="2"/>
  <c r="K97" i="2"/>
  <c r="N143" i="2"/>
  <c r="J161" i="2"/>
  <c r="S133" i="2"/>
  <c r="L133" i="2"/>
  <c r="J154" i="2"/>
  <c r="M154" i="2"/>
  <c r="R154" i="2"/>
  <c r="Q154" i="2"/>
  <c r="Q271" i="2"/>
  <c r="P271" i="2"/>
  <c r="R271" i="2"/>
  <c r="M271" i="2"/>
  <c r="K271" i="2"/>
  <c r="T271" i="2"/>
  <c r="O271" i="2"/>
  <c r="N271" i="2"/>
  <c r="I271" i="2"/>
  <c r="H271" i="2"/>
  <c r="P450" i="2"/>
  <c r="M450" i="2"/>
  <c r="J271" i="2"/>
  <c r="O284" i="2"/>
  <c r="H284" i="2"/>
  <c r="J284" i="2"/>
  <c r="R284" i="2"/>
  <c r="Q284" i="2"/>
  <c r="T317" i="2"/>
  <c r="S317" i="2"/>
  <c r="K317" i="2"/>
  <c r="M317" i="2"/>
  <c r="J317" i="2"/>
  <c r="I317" i="2"/>
  <c r="P317" i="2"/>
  <c r="H317" i="2"/>
  <c r="Q360" i="2"/>
  <c r="S360" i="2"/>
  <c r="R360" i="2"/>
  <c r="S420" i="2"/>
  <c r="Q420" i="2"/>
  <c r="T420" i="2"/>
  <c r="P420" i="2"/>
  <c r="H450" i="2"/>
  <c r="M296" i="2"/>
  <c r="I296" i="2"/>
  <c r="P296" i="2"/>
  <c r="L97" i="2"/>
  <c r="O143" i="2"/>
  <c r="Q126" i="2"/>
  <c r="P126" i="2"/>
  <c r="K126" i="2"/>
  <c r="J126" i="2"/>
  <c r="N171" i="2"/>
  <c r="S171" i="2"/>
  <c r="R171" i="2"/>
  <c r="Q171" i="2"/>
  <c r="M17" i="2"/>
  <c r="Q97" i="2"/>
  <c r="L126" i="2"/>
  <c r="L154" i="2"/>
  <c r="J162" i="2"/>
  <c r="P171" i="2"/>
  <c r="O185" i="2"/>
  <c r="H185" i="2"/>
  <c r="R185" i="2"/>
  <c r="R201" i="2"/>
  <c r="L201" i="2"/>
  <c r="T201" i="2"/>
  <c r="S201" i="2"/>
  <c r="K201" i="2"/>
  <c r="J201" i="2"/>
  <c r="Q241" i="2"/>
  <c r="M241" i="2"/>
  <c r="L241" i="2"/>
  <c r="T241" i="2"/>
  <c r="S241" i="2"/>
  <c r="R241" i="2"/>
  <c r="P241" i="2"/>
  <c r="O241" i="2"/>
  <c r="N241" i="2"/>
  <c r="K241" i="2"/>
  <c r="J241" i="2"/>
  <c r="I241" i="2"/>
  <c r="H241" i="2"/>
  <c r="L271" i="2"/>
  <c r="I284" i="2"/>
  <c r="R317" i="2"/>
  <c r="H360" i="2"/>
  <c r="L365" i="2"/>
  <c r="R365" i="2"/>
  <c r="S365" i="2"/>
  <c r="M365" i="2"/>
  <c r="J365" i="2"/>
  <c r="N420" i="2"/>
  <c r="R567" i="2"/>
  <c r="H567" i="2"/>
  <c r="T567" i="2"/>
  <c r="Q567" i="2"/>
  <c r="M567" i="2"/>
  <c r="I567" i="2"/>
  <c r="L161" i="2"/>
  <c r="S161" i="2"/>
  <c r="K161" i="2"/>
  <c r="T161" i="2"/>
  <c r="R161" i="2"/>
  <c r="Q161" i="2"/>
  <c r="I161" i="2"/>
  <c r="H161" i="2"/>
  <c r="N97" i="2"/>
  <c r="T120" i="2"/>
  <c r="N120" i="2"/>
  <c r="M120" i="2"/>
  <c r="I120" i="2"/>
  <c r="H120" i="2"/>
  <c r="T143" i="2"/>
  <c r="I154" i="2"/>
  <c r="N17" i="2"/>
  <c r="L120" i="2"/>
  <c r="O126" i="2"/>
  <c r="R140" i="2"/>
  <c r="N140" i="2"/>
  <c r="Q140" i="2"/>
  <c r="P140" i="2"/>
  <c r="L140" i="2"/>
  <c r="K140" i="2"/>
  <c r="M162" i="2"/>
  <c r="T171" i="2"/>
  <c r="J242" i="2"/>
  <c r="L242" i="2"/>
  <c r="H242" i="2"/>
  <c r="I242" i="2"/>
  <c r="S242" i="2"/>
  <c r="R242" i="2"/>
  <c r="O242" i="2"/>
  <c r="N242" i="2"/>
  <c r="S271" i="2"/>
  <c r="H285" i="2"/>
  <c r="N285" i="2"/>
  <c r="I285" i="2"/>
  <c r="H318" i="2"/>
  <c r="N318" i="2"/>
  <c r="L318" i="2"/>
  <c r="I318" i="2"/>
  <c r="T360" i="2"/>
  <c r="K121" i="2"/>
  <c r="O121" i="2"/>
  <c r="L121" i="2"/>
  <c r="S121" i="2"/>
  <c r="R121" i="2"/>
  <c r="S127" i="2"/>
  <c r="P127" i="2"/>
  <c r="O127" i="2"/>
  <c r="H140" i="2"/>
  <c r="R156" i="2"/>
  <c r="T156" i="2"/>
  <c r="S156" i="2"/>
  <c r="O162" i="2"/>
  <c r="N185" i="2"/>
  <c r="R195" i="2"/>
  <c r="P195" i="2"/>
  <c r="H195" i="2"/>
  <c r="K195" i="2"/>
  <c r="J195" i="2"/>
  <c r="K242" i="2"/>
  <c r="K256" i="2"/>
  <c r="J256" i="2"/>
  <c r="I256" i="2"/>
  <c r="R256" i="2"/>
  <c r="T256" i="2"/>
  <c r="S256" i="2"/>
  <c r="Q256" i="2"/>
  <c r="P256" i="2"/>
  <c r="O256" i="2"/>
  <c r="M256" i="2"/>
  <c r="L256" i="2"/>
  <c r="M318" i="2"/>
  <c r="T687" i="2"/>
  <c r="Q687" i="2"/>
  <c r="H687" i="2"/>
  <c r="L687" i="2"/>
  <c r="P163" i="2"/>
  <c r="Q163" i="2"/>
  <c r="O163" i="2"/>
  <c r="T163" i="2"/>
  <c r="S163" i="2"/>
  <c r="M163" i="2"/>
  <c r="L163" i="2"/>
  <c r="I163" i="2"/>
  <c r="H163" i="2"/>
  <c r="L236" i="2"/>
  <c r="M236" i="2"/>
  <c r="J236" i="2"/>
  <c r="R397" i="2"/>
  <c r="Q397" i="2"/>
  <c r="T397" i="2"/>
  <c r="P397" i="2"/>
  <c r="H397" i="2"/>
  <c r="N553" i="2"/>
  <c r="M553" i="2"/>
  <c r="P553" i="2"/>
  <c r="K553" i="2"/>
  <c r="H553" i="2"/>
  <c r="P651" i="2"/>
  <c r="M651" i="2"/>
  <c r="S651" i="2"/>
  <c r="J163" i="2"/>
  <c r="T336" i="2"/>
  <c r="S336" i="2"/>
  <c r="M336" i="2"/>
  <c r="R336" i="2"/>
  <c r="P336" i="2"/>
  <c r="N336" i="2"/>
  <c r="L336" i="2"/>
  <c r="K336" i="2"/>
  <c r="T631" i="2"/>
  <c r="S631" i="2"/>
  <c r="P631" i="2"/>
  <c r="R631" i="2"/>
  <c r="Q631" i="2"/>
  <c r="N631" i="2"/>
  <c r="K631" i="2"/>
  <c r="I631" i="2"/>
  <c r="O631" i="2"/>
  <c r="M631" i="2"/>
  <c r="L631" i="2"/>
  <c r="R651" i="2"/>
  <c r="T97" i="2"/>
  <c r="M97" i="2"/>
  <c r="S97" i="2"/>
  <c r="P97" i="2"/>
  <c r="O97" i="2"/>
  <c r="R100" i="2"/>
  <c r="S100" i="2"/>
  <c r="N100" i="2"/>
  <c r="M100" i="2"/>
  <c r="L100" i="2"/>
  <c r="P121" i="2"/>
  <c r="R127" i="2"/>
  <c r="M140" i="2"/>
  <c r="K163" i="2"/>
  <c r="Q206" i="2"/>
  <c r="O206" i="2"/>
  <c r="N206" i="2"/>
  <c r="K206" i="2"/>
  <c r="J206" i="2"/>
  <c r="Q242" i="2"/>
  <c r="P265" i="2"/>
  <c r="O265" i="2"/>
  <c r="K265" i="2"/>
  <c r="H265" i="2"/>
  <c r="T265" i="2"/>
  <c r="N265" i="2"/>
  <c r="M265" i="2"/>
  <c r="L265" i="2"/>
  <c r="Q265" i="2"/>
  <c r="J265" i="2"/>
  <c r="I336" i="2"/>
  <c r="N117" i="2"/>
  <c r="M117" i="2"/>
  <c r="L117" i="2"/>
  <c r="O136" i="2"/>
  <c r="I136" i="2"/>
  <c r="O148" i="2"/>
  <c r="Q148" i="2"/>
  <c r="K148" i="2"/>
  <c r="S148" i="2"/>
  <c r="R148" i="2"/>
  <c r="M148" i="2"/>
  <c r="L148" i="2"/>
  <c r="I277" i="2"/>
  <c r="T277" i="2"/>
  <c r="S277" i="2"/>
  <c r="R277" i="2"/>
  <c r="Q277" i="2"/>
  <c r="M277" i="2"/>
  <c r="K277" i="2"/>
  <c r="M337" i="2"/>
  <c r="P337" i="2"/>
  <c r="I337" i="2"/>
  <c r="Q354" i="2"/>
  <c r="T354" i="2"/>
  <c r="S354" i="2"/>
  <c r="O354" i="2"/>
  <c r="M354" i="2"/>
  <c r="J354" i="2"/>
  <c r="H354" i="2"/>
  <c r="R447" i="2"/>
  <c r="P447" i="2"/>
  <c r="O447" i="2"/>
  <c r="T447" i="2"/>
  <c r="M447" i="2"/>
  <c r="J447" i="2"/>
  <c r="H447" i="2"/>
  <c r="H482" i="2"/>
  <c r="T482" i="2"/>
  <c r="S482" i="2"/>
  <c r="L482" i="2"/>
  <c r="T530" i="2"/>
  <c r="S530" i="2"/>
  <c r="O530" i="2"/>
  <c r="I530" i="2"/>
  <c r="M530" i="2"/>
  <c r="K530" i="2"/>
  <c r="R530" i="2"/>
  <c r="Q530" i="2"/>
  <c r="J582" i="2"/>
  <c r="R582" i="2"/>
  <c r="O582" i="2"/>
  <c r="R717" i="2"/>
  <c r="Q717" i="2"/>
  <c r="P717" i="2"/>
  <c r="N717" i="2"/>
  <c r="M717" i="2"/>
  <c r="S776" i="2"/>
  <c r="O776" i="2"/>
  <c r="T776" i="2"/>
  <c r="M776" i="2"/>
  <c r="Q776" i="2"/>
  <c r="L776" i="2"/>
  <c r="K776" i="2"/>
  <c r="N776" i="2"/>
  <c r="J776" i="2"/>
  <c r="H57" i="2"/>
  <c r="S57" i="2"/>
  <c r="R172" i="2"/>
  <c r="T193" i="2"/>
  <c r="R193" i="2"/>
  <c r="M193" i="2"/>
  <c r="I193" i="2"/>
  <c r="H193" i="2"/>
  <c r="N200" i="2"/>
  <c r="M214" i="2"/>
  <c r="Q214" i="2"/>
  <c r="N214" i="2"/>
  <c r="R214" i="2"/>
  <c r="I214" i="2"/>
  <c r="I229" i="2"/>
  <c r="T229" i="2"/>
  <c r="Q229" i="2"/>
  <c r="N229" i="2"/>
  <c r="R229" i="2"/>
  <c r="P229" i="2"/>
  <c r="L232" i="2"/>
  <c r="M235" i="2"/>
  <c r="L253" i="2"/>
  <c r="P255" i="2"/>
  <c r="S283" i="2"/>
  <c r="N283" i="2"/>
  <c r="L283" i="2"/>
  <c r="L288" i="2"/>
  <c r="M288" i="2"/>
  <c r="O304" i="2"/>
  <c r="P327" i="2"/>
  <c r="O327" i="2"/>
  <c r="H327" i="2"/>
  <c r="R327" i="2"/>
  <c r="K327" i="2"/>
  <c r="M327" i="2"/>
  <c r="Q345" i="2"/>
  <c r="L364" i="2"/>
  <c r="I364" i="2"/>
  <c r="S364" i="2"/>
  <c r="M364" i="2"/>
  <c r="K364" i="2"/>
  <c r="J364" i="2"/>
  <c r="P369" i="2"/>
  <c r="N369" i="2"/>
  <c r="N378" i="2"/>
  <c r="T383" i="2"/>
  <c r="T399" i="2"/>
  <c r="Q424" i="2"/>
  <c r="P428" i="2"/>
  <c r="Q441" i="2"/>
  <c r="P453" i="2"/>
  <c r="O453" i="2"/>
  <c r="K453" i="2"/>
  <c r="T453" i="2"/>
  <c r="I482" i="2"/>
  <c r="R487" i="2"/>
  <c r="P530" i="2"/>
  <c r="K582" i="2"/>
  <c r="J635" i="2"/>
  <c r="I635" i="2"/>
  <c r="M635" i="2"/>
  <c r="L635" i="2"/>
  <c r="K635" i="2"/>
  <c r="Q635" i="2"/>
  <c r="O635" i="2"/>
  <c r="T635" i="2"/>
  <c r="P635" i="2"/>
  <c r="J717" i="2"/>
  <c r="S765" i="2"/>
  <c r="T765" i="2"/>
  <c r="P765" i="2"/>
  <c r="O765" i="2"/>
  <c r="N765" i="2"/>
  <c r="M765" i="2"/>
  <c r="I765" i="2"/>
  <c r="R765" i="2"/>
  <c r="H776" i="2"/>
  <c r="N111" i="2"/>
  <c r="L115" i="2"/>
  <c r="I170" i="2"/>
  <c r="K170" i="2"/>
  <c r="Q170" i="2"/>
  <c r="M170" i="2"/>
  <c r="L170" i="2"/>
  <c r="J193" i="2"/>
  <c r="O200" i="2"/>
  <c r="H214" i="2"/>
  <c r="I225" i="2"/>
  <c r="H229" i="2"/>
  <c r="M232" i="2"/>
  <c r="N235" i="2"/>
  <c r="N253" i="2"/>
  <c r="T283" i="2"/>
  <c r="K288" i="2"/>
  <c r="Q308" i="2"/>
  <c r="J308" i="2"/>
  <c r="J327" i="2"/>
  <c r="T331" i="2"/>
  <c r="Q331" i="2"/>
  <c r="O331" i="2"/>
  <c r="H364" i="2"/>
  <c r="M369" i="2"/>
  <c r="O384" i="2"/>
  <c r="T384" i="2"/>
  <c r="L384" i="2"/>
  <c r="T409" i="2"/>
  <c r="S409" i="2"/>
  <c r="M409" i="2"/>
  <c r="J409" i="2"/>
  <c r="L409" i="2"/>
  <c r="I416" i="2"/>
  <c r="L453" i="2"/>
  <c r="L582" i="2"/>
  <c r="L717" i="2"/>
  <c r="Q765" i="2"/>
  <c r="O115" i="2"/>
  <c r="N170" i="2"/>
  <c r="N186" i="2"/>
  <c r="N193" i="2"/>
  <c r="R200" i="2"/>
  <c r="R212" i="2"/>
  <c r="T212" i="2"/>
  <c r="I212" i="2"/>
  <c r="O214" i="2"/>
  <c r="L225" i="2"/>
  <c r="L229" i="2"/>
  <c r="R235" i="2"/>
  <c r="R253" i="2"/>
  <c r="K266" i="2"/>
  <c r="P266" i="2"/>
  <c r="S302" i="2"/>
  <c r="R302" i="2"/>
  <c r="H302" i="2"/>
  <c r="T302" i="2"/>
  <c r="Q302" i="2"/>
  <c r="S324" i="2"/>
  <c r="R324" i="2"/>
  <c r="L324" i="2"/>
  <c r="O324" i="2"/>
  <c r="J324" i="2"/>
  <c r="H324" i="2"/>
  <c r="T327" i="2"/>
  <c r="Q334" i="2"/>
  <c r="S334" i="2"/>
  <c r="R334" i="2"/>
  <c r="O334" i="2"/>
  <c r="R364" i="2"/>
  <c r="R369" i="2"/>
  <c r="S416" i="2"/>
  <c r="H489" i="2"/>
  <c r="Q489" i="2"/>
  <c r="L489" i="2"/>
  <c r="K489" i="2"/>
  <c r="N489" i="2"/>
  <c r="J489" i="2"/>
  <c r="I489" i="2"/>
  <c r="T489" i="2"/>
  <c r="S489" i="2"/>
  <c r="R489" i="2"/>
  <c r="L57" i="2"/>
  <c r="M57" i="2"/>
  <c r="P115" i="2"/>
  <c r="I123" i="2"/>
  <c r="M151" i="2"/>
  <c r="K151" i="2"/>
  <c r="O170" i="2"/>
  <c r="M182" i="2"/>
  <c r="T182" i="2"/>
  <c r="T186" i="2"/>
  <c r="O193" i="2"/>
  <c r="J196" i="2"/>
  <c r="N207" i="2"/>
  <c r="H212" i="2"/>
  <c r="P214" i="2"/>
  <c r="M225" i="2"/>
  <c r="M229" i="2"/>
  <c r="S233" i="2"/>
  <c r="J233" i="2"/>
  <c r="H266" i="2"/>
  <c r="Q291" i="2"/>
  <c r="O291" i="2"/>
  <c r="I302" i="2"/>
  <c r="T313" i="2"/>
  <c r="L313" i="2"/>
  <c r="R313" i="2"/>
  <c r="I324" i="2"/>
  <c r="L331" i="2"/>
  <c r="T334" i="2"/>
  <c r="T364" i="2"/>
  <c r="I370" i="2"/>
  <c r="H370" i="2"/>
  <c r="R370" i="2"/>
  <c r="K370" i="2"/>
  <c r="T416" i="2"/>
  <c r="I462" i="2"/>
  <c r="H462" i="2"/>
  <c r="R462" i="2"/>
  <c r="O462" i="2"/>
  <c r="M489" i="2"/>
  <c r="P550" i="2"/>
  <c r="O550" i="2"/>
  <c r="S614" i="2"/>
  <c r="M614" i="2"/>
  <c r="L614" i="2"/>
  <c r="H614" i="2"/>
  <c r="T614" i="2"/>
  <c r="R614" i="2"/>
  <c r="P614" i="2"/>
  <c r="Q614" i="2"/>
  <c r="J614" i="2"/>
  <c r="O614" i="2"/>
  <c r="N614" i="2"/>
  <c r="K614" i="2"/>
  <c r="Q683" i="2"/>
  <c r="L707" i="2"/>
  <c r="M707" i="2"/>
  <c r="K707" i="2"/>
  <c r="H707" i="2"/>
  <c r="P707" i="2"/>
  <c r="Q707" i="2"/>
  <c r="J707" i="2"/>
  <c r="R707" i="2"/>
  <c r="I707" i="2"/>
  <c r="P725" i="2"/>
  <c r="Q725" i="2"/>
  <c r="I725" i="2"/>
  <c r="S725" i="2"/>
  <c r="O805" i="2"/>
  <c r="S805" i="2"/>
  <c r="T805" i="2"/>
  <c r="P805" i="2"/>
  <c r="N805" i="2"/>
  <c r="M805" i="2"/>
  <c r="L805" i="2"/>
  <c r="J805" i="2"/>
  <c r="M184" i="2"/>
  <c r="H184" i="2"/>
  <c r="T184" i="2"/>
  <c r="P184" i="2"/>
  <c r="O184" i="2"/>
  <c r="N431" i="2"/>
  <c r="K431" i="2"/>
  <c r="S431" i="2"/>
  <c r="T472" i="2"/>
  <c r="N472" i="2"/>
  <c r="M472" i="2"/>
  <c r="H472" i="2"/>
  <c r="P472" i="2"/>
  <c r="O472" i="2"/>
  <c r="L472" i="2"/>
  <c r="K472" i="2"/>
  <c r="S622" i="2"/>
  <c r="N622" i="2"/>
  <c r="M622" i="2"/>
  <c r="L622" i="2"/>
  <c r="R622" i="2"/>
  <c r="T622" i="2"/>
  <c r="Q622" i="2"/>
  <c r="J622" i="2"/>
  <c r="I622" i="2"/>
  <c r="P622" i="2"/>
  <c r="O622" i="2"/>
  <c r="R725" i="2"/>
  <c r="P57" i="2"/>
  <c r="M141" i="2"/>
  <c r="I141" i="2"/>
  <c r="L141" i="2"/>
  <c r="O158" i="2"/>
  <c r="T158" i="2"/>
  <c r="R158" i="2"/>
  <c r="I184" i="2"/>
  <c r="S193" i="2"/>
  <c r="H221" i="2"/>
  <c r="P272" i="2"/>
  <c r="L272" i="2"/>
  <c r="K272" i="2"/>
  <c r="J272" i="2"/>
  <c r="S281" i="2"/>
  <c r="L281" i="2"/>
  <c r="J281" i="2"/>
  <c r="Q311" i="2"/>
  <c r="I311" i="2"/>
  <c r="H311" i="2"/>
  <c r="S348" i="2"/>
  <c r="Q348" i="2"/>
  <c r="S426" i="2"/>
  <c r="R426" i="2"/>
  <c r="M426" i="2"/>
  <c r="J426" i="2"/>
  <c r="T431" i="2"/>
  <c r="H464" i="2"/>
  <c r="I472" i="2"/>
  <c r="L485" i="2"/>
  <c r="Q485" i="2"/>
  <c r="Q490" i="2"/>
  <c r="T490" i="2"/>
  <c r="S490" i="2"/>
  <c r="J490" i="2"/>
  <c r="I490" i="2"/>
  <c r="H622" i="2"/>
  <c r="Q647" i="2"/>
  <c r="J647" i="2"/>
  <c r="I647" i="2"/>
  <c r="T647" i="2"/>
  <c r="K647" i="2"/>
  <c r="M647" i="2"/>
  <c r="H647" i="2"/>
  <c r="L647" i="2"/>
  <c r="S647" i="2"/>
  <c r="R647" i="2"/>
  <c r="P647" i="2"/>
  <c r="O647" i="2"/>
  <c r="T709" i="2"/>
  <c r="R709" i="2"/>
  <c r="M709" i="2"/>
  <c r="I709" i="2"/>
  <c r="Q57" i="2"/>
  <c r="L109" i="2"/>
  <c r="S109" i="2"/>
  <c r="T115" i="2"/>
  <c r="J141" i="2"/>
  <c r="L158" i="2"/>
  <c r="T170" i="2"/>
  <c r="H176" i="2"/>
  <c r="J184" i="2"/>
  <c r="H188" i="2"/>
  <c r="M194" i="2"/>
  <c r="R194" i="2"/>
  <c r="Q194" i="2"/>
  <c r="Q212" i="2"/>
  <c r="I221" i="2"/>
  <c r="H230" i="2"/>
  <c r="H237" i="2"/>
  <c r="I237" i="2"/>
  <c r="O252" i="2"/>
  <c r="N252" i="2"/>
  <c r="T252" i="2"/>
  <c r="R252" i="2"/>
  <c r="Q252" i="2"/>
  <c r="P252" i="2"/>
  <c r="R266" i="2"/>
  <c r="H272" i="2"/>
  <c r="O281" i="2"/>
  <c r="M302" i="2"/>
  <c r="J311" i="2"/>
  <c r="T324" i="2"/>
  <c r="I348" i="2"/>
  <c r="I362" i="2"/>
  <c r="R362" i="2"/>
  <c r="N362" i="2"/>
  <c r="H362" i="2"/>
  <c r="J375" i="2"/>
  <c r="M398" i="2"/>
  <c r="J398" i="2"/>
  <c r="N398" i="2"/>
  <c r="Q403" i="2"/>
  <c r="K403" i="2"/>
  <c r="M403" i="2"/>
  <c r="L406" i="2"/>
  <c r="J406" i="2"/>
  <c r="S411" i="2"/>
  <c r="T411" i="2"/>
  <c r="Q411" i="2"/>
  <c r="O411" i="2"/>
  <c r="N426" i="2"/>
  <c r="S455" i="2"/>
  <c r="Q455" i="2"/>
  <c r="L455" i="2"/>
  <c r="L464" i="2"/>
  <c r="R472" i="2"/>
  <c r="M485" i="2"/>
  <c r="H490" i="2"/>
  <c r="P508" i="2"/>
  <c r="O508" i="2"/>
  <c r="K508" i="2"/>
  <c r="Q508" i="2"/>
  <c r="N508" i="2"/>
  <c r="M508" i="2"/>
  <c r="P580" i="2"/>
  <c r="R580" i="2"/>
  <c r="J580" i="2"/>
  <c r="I580" i="2"/>
  <c r="K622" i="2"/>
  <c r="N647" i="2"/>
  <c r="Q655" i="2"/>
  <c r="S655" i="2"/>
  <c r="K655" i="2"/>
  <c r="P655" i="2"/>
  <c r="N655" i="2"/>
  <c r="M655" i="2"/>
  <c r="T655" i="2"/>
  <c r="R655" i="2"/>
  <c r="K709" i="2"/>
  <c r="Q213" i="2"/>
  <c r="H213" i="2"/>
  <c r="S213" i="2"/>
  <c r="R213" i="2"/>
  <c r="I216" i="2"/>
  <c r="T216" i="2"/>
  <c r="Q216" i="2"/>
  <c r="I269" i="2"/>
  <c r="S269" i="2"/>
  <c r="R269" i="2"/>
  <c r="P269" i="2"/>
  <c r="H269" i="2"/>
  <c r="Q414" i="2"/>
  <c r="O414" i="2"/>
  <c r="J414" i="2"/>
  <c r="M414" i="2"/>
  <c r="I414" i="2"/>
  <c r="L414" i="2"/>
  <c r="K414" i="2"/>
  <c r="H414" i="2"/>
  <c r="O464" i="2"/>
  <c r="I468" i="2"/>
  <c r="O468" i="2"/>
  <c r="N468" i="2"/>
  <c r="K468" i="2"/>
  <c r="S472" i="2"/>
  <c r="P597" i="2"/>
  <c r="K597" i="2"/>
  <c r="J597" i="2"/>
  <c r="I597" i="2"/>
  <c r="N597" i="2"/>
  <c r="T597" i="2"/>
  <c r="S597" i="2"/>
  <c r="Q234" i="2"/>
  <c r="N234" i="2"/>
  <c r="K234" i="2"/>
  <c r="O260" i="2"/>
  <c r="T260" i="2"/>
  <c r="S260" i="2"/>
  <c r="I260" i="2"/>
  <c r="Q282" i="2"/>
  <c r="S282" i="2"/>
  <c r="R282" i="2"/>
  <c r="M282" i="2"/>
  <c r="I282" i="2"/>
  <c r="R414" i="2"/>
  <c r="H468" i="2"/>
  <c r="T517" i="2"/>
  <c r="K517" i="2"/>
  <c r="J517" i="2"/>
  <c r="H517" i="2"/>
  <c r="M517" i="2"/>
  <c r="I517" i="2"/>
  <c r="R517" i="2"/>
  <c r="Q617" i="2"/>
  <c r="P617" i="2"/>
  <c r="O617" i="2"/>
  <c r="L617" i="2"/>
  <c r="K617" i="2"/>
  <c r="H617" i="2"/>
  <c r="N617" i="2"/>
  <c r="M617" i="2"/>
  <c r="T617" i="2"/>
  <c r="S617" i="2"/>
  <c r="S627" i="2"/>
  <c r="L627" i="2"/>
  <c r="H627" i="2"/>
  <c r="L739" i="2"/>
  <c r="I739" i="2"/>
  <c r="M739" i="2"/>
  <c r="S244" i="2"/>
  <c r="K244" i="2"/>
  <c r="N244" i="2"/>
  <c r="J244" i="2"/>
  <c r="O244" i="2"/>
  <c r="R141" i="2"/>
  <c r="P158" i="2"/>
  <c r="Q184" i="2"/>
  <c r="P188" i="2"/>
  <c r="N198" i="2"/>
  <c r="M198" i="2"/>
  <c r="J202" i="2"/>
  <c r="J213" i="2"/>
  <c r="J216" i="2"/>
  <c r="S221" i="2"/>
  <c r="I234" i="2"/>
  <c r="I244" i="2"/>
  <c r="J260" i="2"/>
  <c r="K269" i="2"/>
  <c r="N272" i="2"/>
  <c r="T275" i="2"/>
  <c r="S275" i="2"/>
  <c r="R275" i="2"/>
  <c r="Q275" i="2"/>
  <c r="H275" i="2"/>
  <c r="H282" i="2"/>
  <c r="P302" i="2"/>
  <c r="K325" i="2"/>
  <c r="P348" i="2"/>
  <c r="O356" i="2"/>
  <c r="J407" i="2"/>
  <c r="I407" i="2"/>
  <c r="S414" i="2"/>
  <c r="T426" i="2"/>
  <c r="Q433" i="2"/>
  <c r="P433" i="2"/>
  <c r="M433" i="2"/>
  <c r="T433" i="2"/>
  <c r="I456" i="2"/>
  <c r="T480" i="2"/>
  <c r="S480" i="2"/>
  <c r="K480" i="2"/>
  <c r="I480" i="2"/>
  <c r="H480" i="2"/>
  <c r="H486" i="2"/>
  <c r="R486" i="2"/>
  <c r="Q486" i="2"/>
  <c r="M486" i="2"/>
  <c r="O486" i="2"/>
  <c r="L486" i="2"/>
  <c r="K486" i="2"/>
  <c r="S486" i="2"/>
  <c r="P486" i="2"/>
  <c r="N486" i="2"/>
  <c r="R490" i="2"/>
  <c r="Q517" i="2"/>
  <c r="L597" i="2"/>
  <c r="J617" i="2"/>
  <c r="K627" i="2"/>
  <c r="I702" i="2"/>
  <c r="Q702" i="2"/>
  <c r="K176" i="2"/>
  <c r="S103" i="2"/>
  <c r="O109" i="2"/>
  <c r="S141" i="2"/>
  <c r="H147" i="2"/>
  <c r="T151" i="2"/>
  <c r="Q158" i="2"/>
  <c r="R182" i="2"/>
  <c r="R184" i="2"/>
  <c r="S188" i="2"/>
  <c r="L194" i="2"/>
  <c r="P198" i="2"/>
  <c r="K213" i="2"/>
  <c r="K216" i="2"/>
  <c r="H231" i="2"/>
  <c r="J234" i="2"/>
  <c r="T237" i="2"/>
  <c r="L244" i="2"/>
  <c r="H249" i="2"/>
  <c r="K252" i="2"/>
  <c r="K260" i="2"/>
  <c r="Q269" i="2"/>
  <c r="O272" i="2"/>
  <c r="I275" i="2"/>
  <c r="J282" i="2"/>
  <c r="S307" i="2"/>
  <c r="R307" i="2"/>
  <c r="M307" i="2"/>
  <c r="K307" i="2"/>
  <c r="T341" i="2"/>
  <c r="H341" i="2"/>
  <c r="Q356" i="2"/>
  <c r="M362" i="2"/>
  <c r="T387" i="2"/>
  <c r="P387" i="2"/>
  <c r="Q387" i="2"/>
  <c r="O387" i="2"/>
  <c r="H387" i="2"/>
  <c r="O398" i="2"/>
  <c r="O403" i="2"/>
  <c r="K407" i="2"/>
  <c r="N411" i="2"/>
  <c r="T414" i="2"/>
  <c r="I433" i="2"/>
  <c r="J456" i="2"/>
  <c r="S459" i="2"/>
  <c r="R459" i="2"/>
  <c r="P459" i="2"/>
  <c r="N459" i="2"/>
  <c r="M480" i="2"/>
  <c r="I486" i="2"/>
  <c r="S508" i="2"/>
  <c r="S517" i="2"/>
  <c r="I540" i="2"/>
  <c r="R540" i="2"/>
  <c r="Q540" i="2"/>
  <c r="M597" i="2"/>
  <c r="R617" i="2"/>
  <c r="N627" i="2"/>
  <c r="J702" i="2"/>
  <c r="Q202" i="2"/>
  <c r="I202" i="2"/>
  <c r="T103" i="2"/>
  <c r="P109" i="2"/>
  <c r="T141" i="2"/>
  <c r="R150" i="2"/>
  <c r="O150" i="2"/>
  <c r="K150" i="2"/>
  <c r="S158" i="2"/>
  <c r="S184" i="2"/>
  <c r="T188" i="2"/>
  <c r="J192" i="2"/>
  <c r="N194" i="2"/>
  <c r="O203" i="2"/>
  <c r="I203" i="2"/>
  <c r="T203" i="2"/>
  <c r="L213" i="2"/>
  <c r="L216" i="2"/>
  <c r="N231" i="2"/>
  <c r="L234" i="2"/>
  <c r="S238" i="2"/>
  <c r="R238" i="2"/>
  <c r="M238" i="2"/>
  <c r="I238" i="2"/>
  <c r="H238" i="2"/>
  <c r="M244" i="2"/>
  <c r="L252" i="2"/>
  <c r="Q260" i="2"/>
  <c r="T269" i="2"/>
  <c r="Q272" i="2"/>
  <c r="J275" i="2"/>
  <c r="H279" i="2"/>
  <c r="J279" i="2"/>
  <c r="K282" i="2"/>
  <c r="H307" i="2"/>
  <c r="O341" i="2"/>
  <c r="T350" i="2"/>
  <c r="R350" i="2"/>
  <c r="N350" i="2"/>
  <c r="O350" i="2"/>
  <c r="H350" i="2"/>
  <c r="P350" i="2"/>
  <c r="S357" i="2"/>
  <c r="J357" i="2"/>
  <c r="O362" i="2"/>
  <c r="I387" i="2"/>
  <c r="P398" i="2"/>
  <c r="P403" i="2"/>
  <c r="O407" i="2"/>
  <c r="K433" i="2"/>
  <c r="I452" i="2"/>
  <c r="M452" i="2"/>
  <c r="L452" i="2"/>
  <c r="H459" i="2"/>
  <c r="L478" i="2"/>
  <c r="I478" i="2"/>
  <c r="H478" i="2"/>
  <c r="P480" i="2"/>
  <c r="J486" i="2"/>
  <c r="O540" i="2"/>
  <c r="K702" i="2"/>
  <c r="M234" i="2"/>
  <c r="P244" i="2"/>
  <c r="H255" i="2"/>
  <c r="Q255" i="2"/>
  <c r="J255" i="2"/>
  <c r="R260" i="2"/>
  <c r="R270" i="2"/>
  <c r="K270" i="2"/>
  <c r="J270" i="2"/>
  <c r="I270" i="2"/>
  <c r="L282" i="2"/>
  <c r="O321" i="2"/>
  <c r="N321" i="2"/>
  <c r="K321" i="2"/>
  <c r="T345" i="2"/>
  <c r="R345" i="2"/>
  <c r="O345" i="2"/>
  <c r="P345" i="2"/>
  <c r="K345" i="2"/>
  <c r="J345" i="2"/>
  <c r="I345" i="2"/>
  <c r="P378" i="2"/>
  <c r="K378" i="2"/>
  <c r="T441" i="2"/>
  <c r="N441" i="2"/>
  <c r="J441" i="2"/>
  <c r="I441" i="2"/>
  <c r="H441" i="2"/>
  <c r="O541" i="2"/>
  <c r="M541" i="2"/>
  <c r="K541" i="2"/>
  <c r="J590" i="2"/>
  <c r="I590" i="2"/>
  <c r="T590" i="2"/>
  <c r="S590" i="2"/>
  <c r="R590" i="2"/>
  <c r="Q590" i="2"/>
  <c r="L172" i="2"/>
  <c r="Q172" i="2"/>
  <c r="P172" i="2"/>
  <c r="I200" i="2"/>
  <c r="L200" i="2"/>
  <c r="T200" i="2"/>
  <c r="M200" i="2"/>
  <c r="I205" i="2"/>
  <c r="N213" i="2"/>
  <c r="P232" i="2"/>
  <c r="N232" i="2"/>
  <c r="K232" i="2"/>
  <c r="R232" i="2"/>
  <c r="Q232" i="2"/>
  <c r="T235" i="2"/>
  <c r="O235" i="2"/>
  <c r="K235" i="2"/>
  <c r="J235" i="2"/>
  <c r="Q244" i="2"/>
  <c r="I255" i="2"/>
  <c r="L270" i="2"/>
  <c r="N282" i="2"/>
  <c r="Q304" i="2"/>
  <c r="H304" i="2"/>
  <c r="H321" i="2"/>
  <c r="H345" i="2"/>
  <c r="H378" i="2"/>
  <c r="I424" i="2"/>
  <c r="H424" i="2"/>
  <c r="R424" i="2"/>
  <c r="K441" i="2"/>
  <c r="N487" i="2"/>
  <c r="I487" i="2"/>
  <c r="Q487" i="2"/>
  <c r="P487" i="2"/>
  <c r="J487" i="2"/>
  <c r="H487" i="2"/>
  <c r="T512" i="2"/>
  <c r="M512" i="2"/>
  <c r="L512" i="2"/>
  <c r="I512" i="2"/>
  <c r="H512" i="2"/>
  <c r="N512" i="2"/>
  <c r="J512" i="2"/>
  <c r="S512" i="2"/>
  <c r="P541" i="2"/>
  <c r="H590" i="2"/>
  <c r="R878" i="2"/>
  <c r="J878" i="2"/>
  <c r="K878" i="2"/>
  <c r="T878" i="2"/>
  <c r="Q878" i="2"/>
  <c r="I878" i="2"/>
  <c r="H878" i="2"/>
  <c r="M253" i="2"/>
  <c r="I253" i="2"/>
  <c r="P253" i="2"/>
  <c r="J253" i="2"/>
  <c r="Q494" i="2"/>
  <c r="O494" i="2"/>
  <c r="K562" i="2"/>
  <c r="S562" i="2"/>
  <c r="P609" i="2"/>
  <c r="L609" i="2"/>
  <c r="M609" i="2"/>
  <c r="J609" i="2"/>
  <c r="K507" i="2"/>
  <c r="I507" i="2"/>
  <c r="T546" i="2"/>
  <c r="P546" i="2"/>
  <c r="R546" i="2"/>
  <c r="Q546" i="2"/>
  <c r="T585" i="2"/>
  <c r="H585" i="2"/>
  <c r="O610" i="2"/>
  <c r="Q610" i="2"/>
  <c r="P610" i="2"/>
  <c r="L610" i="2"/>
  <c r="R610" i="2"/>
  <c r="N610" i="2"/>
  <c r="M610" i="2"/>
  <c r="T610" i="2"/>
  <c r="J610" i="2"/>
  <c r="I610" i="2"/>
  <c r="Q650" i="2"/>
  <c r="S650" i="2"/>
  <c r="P650" i="2"/>
  <c r="O650" i="2"/>
  <c r="N650" i="2"/>
  <c r="K650" i="2"/>
  <c r="H650" i="2"/>
  <c r="J650" i="2"/>
  <c r="T650" i="2"/>
  <c r="H741" i="2"/>
  <c r="K741" i="2"/>
  <c r="T741" i="2"/>
  <c r="R741" i="2"/>
  <c r="J741" i="2"/>
  <c r="S741" i="2"/>
  <c r="N741" i="2"/>
  <c r="T574" i="2"/>
  <c r="S574" i="2"/>
  <c r="J574" i="2"/>
  <c r="L574" i="2"/>
  <c r="H860" i="2"/>
  <c r="I860" i="2"/>
  <c r="J860" i="2"/>
  <c r="Q860" i="2"/>
  <c r="P860" i="2"/>
  <c r="M860" i="2"/>
  <c r="K860" i="2"/>
  <c r="T860" i="2"/>
  <c r="S860" i="2"/>
  <c r="R860" i="2"/>
  <c r="O860" i="2"/>
  <c r="N860" i="2"/>
  <c r="L860" i="2"/>
  <c r="L507" i="2"/>
  <c r="J520" i="2"/>
  <c r="J531" i="2"/>
  <c r="M531" i="2"/>
  <c r="L546" i="2"/>
  <c r="H574" i="2"/>
  <c r="L585" i="2"/>
  <c r="K610" i="2"/>
  <c r="J623" i="2"/>
  <c r="I623" i="2"/>
  <c r="R623" i="2"/>
  <c r="O623" i="2"/>
  <c r="N623" i="2"/>
  <c r="K623" i="2"/>
  <c r="M650" i="2"/>
  <c r="P741" i="2"/>
  <c r="J764" i="2"/>
  <c r="T764" i="2"/>
  <c r="R764" i="2"/>
  <c r="M764" i="2"/>
  <c r="K764" i="2"/>
  <c r="S780" i="2"/>
  <c r="R780" i="2"/>
  <c r="M784" i="2"/>
  <c r="K784" i="2"/>
  <c r="P987" i="2"/>
  <c r="S987" i="2"/>
  <c r="R987" i="2"/>
  <c r="N987" i="2"/>
  <c r="H987" i="2"/>
  <c r="S352" i="2"/>
  <c r="I352" i="2"/>
  <c r="J352" i="2"/>
  <c r="T393" i="2"/>
  <c r="P393" i="2"/>
  <c r="S422" i="2"/>
  <c r="I422" i="2"/>
  <c r="H466" i="2"/>
  <c r="T466" i="2"/>
  <c r="S466" i="2"/>
  <c r="M466" i="2"/>
  <c r="N466" i="2"/>
  <c r="J492" i="2"/>
  <c r="Q492" i="2"/>
  <c r="N518" i="2"/>
  <c r="Q531" i="2"/>
  <c r="P586" i="2"/>
  <c r="O586" i="2"/>
  <c r="S652" i="2"/>
  <c r="Q652" i="2"/>
  <c r="P843" i="2"/>
  <c r="T843" i="2"/>
  <c r="R843" i="2"/>
  <c r="L843" i="2"/>
  <c r="N843" i="2"/>
  <c r="K843" i="2"/>
  <c r="I843" i="2"/>
  <c r="Q843" i="2"/>
  <c r="K226" i="2"/>
  <c r="P226" i="2"/>
  <c r="L226" i="2"/>
  <c r="H226" i="2"/>
  <c r="Q247" i="2"/>
  <c r="N247" i="2"/>
  <c r="M247" i="2"/>
  <c r="S247" i="2"/>
  <c r="O247" i="2"/>
  <c r="H309" i="2"/>
  <c r="L329" i="2"/>
  <c r="S329" i="2"/>
  <c r="O329" i="2"/>
  <c r="H352" i="2"/>
  <c r="R367" i="2"/>
  <c r="I393" i="2"/>
  <c r="I408" i="2"/>
  <c r="H422" i="2"/>
  <c r="T454" i="2"/>
  <c r="O454" i="2"/>
  <c r="I466" i="2"/>
  <c r="I492" i="2"/>
  <c r="S511" i="2"/>
  <c r="M511" i="2"/>
  <c r="P518" i="2"/>
  <c r="P521" i="2"/>
  <c r="O521" i="2"/>
  <c r="I521" i="2"/>
  <c r="N586" i="2"/>
  <c r="H652" i="2"/>
  <c r="L737" i="2"/>
  <c r="P824" i="2"/>
  <c r="N824" i="2"/>
  <c r="R130" i="2"/>
  <c r="P130" i="2"/>
  <c r="O138" i="2"/>
  <c r="S138" i="2"/>
  <c r="M204" i="2"/>
  <c r="N204" i="2"/>
  <c r="S222" i="2"/>
  <c r="M222" i="2"/>
  <c r="J222" i="2"/>
  <c r="I226" i="2"/>
  <c r="H243" i="2"/>
  <c r="H247" i="2"/>
  <c r="N278" i="2"/>
  <c r="M278" i="2"/>
  <c r="I278" i="2"/>
  <c r="Q278" i="2"/>
  <c r="N303" i="2"/>
  <c r="L303" i="2"/>
  <c r="K303" i="2"/>
  <c r="J306" i="2"/>
  <c r="H322" i="2"/>
  <c r="H329" i="2"/>
  <c r="N352" i="2"/>
  <c r="K393" i="2"/>
  <c r="J408" i="2"/>
  <c r="J422" i="2"/>
  <c r="H454" i="2"/>
  <c r="J466" i="2"/>
  <c r="K492" i="2"/>
  <c r="I511" i="2"/>
  <c r="K514" i="2"/>
  <c r="Q518" i="2"/>
  <c r="J521" i="2"/>
  <c r="N549" i="2"/>
  <c r="K549" i="2"/>
  <c r="S583" i="2"/>
  <c r="T583" i="2"/>
  <c r="P583" i="2"/>
  <c r="R583" i="2"/>
  <c r="O583" i="2"/>
  <c r="R652" i="2"/>
  <c r="Q673" i="2"/>
  <c r="P673" i="2"/>
  <c r="O673" i="2"/>
  <c r="I673" i="2"/>
  <c r="M737" i="2"/>
  <c r="T772" i="2"/>
  <c r="J772" i="2"/>
  <c r="L792" i="2"/>
  <c r="K792" i="2"/>
  <c r="N809" i="2"/>
  <c r="J809" i="2"/>
  <c r="O809" i="2"/>
  <c r="M809" i="2"/>
  <c r="H809" i="2"/>
  <c r="S809" i="2"/>
  <c r="Q809" i="2"/>
  <c r="L809" i="2"/>
  <c r="I809" i="2"/>
  <c r="T809" i="2"/>
  <c r="Q824" i="2"/>
  <c r="S653" i="2"/>
  <c r="R653" i="2"/>
  <c r="P653" i="2"/>
  <c r="M653" i="2"/>
  <c r="L653" i="2"/>
  <c r="O653" i="2"/>
  <c r="N653" i="2"/>
  <c r="N738" i="2"/>
  <c r="S738" i="2"/>
  <c r="M738" i="2"/>
  <c r="T738" i="2"/>
  <c r="R738" i="2"/>
  <c r="L738" i="2"/>
  <c r="H810" i="2"/>
  <c r="M810" i="2"/>
  <c r="Q810" i="2"/>
  <c r="T810" i="2"/>
  <c r="P810" i="2"/>
  <c r="O810" i="2"/>
  <c r="K810" i="2"/>
  <c r="J810" i="2"/>
  <c r="I810" i="2"/>
  <c r="N810" i="2"/>
  <c r="M825" i="2"/>
  <c r="O825" i="2"/>
  <c r="K825" i="2"/>
  <c r="H825" i="2"/>
  <c r="S825" i="2"/>
  <c r="T825" i="2"/>
  <c r="S557" i="2"/>
  <c r="R557" i="2"/>
  <c r="Q557" i="2"/>
  <c r="J570" i="2"/>
  <c r="I570" i="2"/>
  <c r="R607" i="2"/>
  <c r="P607" i="2"/>
  <c r="M607" i="2"/>
  <c r="L607" i="2"/>
  <c r="K607" i="2"/>
  <c r="J607" i="2"/>
  <c r="N607" i="2"/>
  <c r="H607" i="2"/>
  <c r="I607" i="2"/>
  <c r="T630" i="2"/>
  <c r="K630" i="2"/>
  <c r="J653" i="2"/>
  <c r="N835" i="2"/>
  <c r="S835" i="2"/>
  <c r="K835" i="2"/>
  <c r="R877" i="2"/>
  <c r="P877" i="2"/>
  <c r="O877" i="2"/>
  <c r="J892" i="2"/>
  <c r="O892" i="2"/>
  <c r="P892" i="2"/>
  <c r="N892" i="2"/>
  <c r="K892" i="2"/>
  <c r="R892" i="2"/>
  <c r="M892" i="2"/>
  <c r="L892" i="2"/>
  <c r="Q484" i="2"/>
  <c r="O484" i="2"/>
  <c r="H484" i="2"/>
  <c r="R522" i="2"/>
  <c r="M522" i="2"/>
  <c r="I557" i="2"/>
  <c r="J565" i="2"/>
  <c r="P565" i="2"/>
  <c r="O565" i="2"/>
  <c r="K565" i="2"/>
  <c r="H570" i="2"/>
  <c r="L600" i="2"/>
  <c r="J600" i="2"/>
  <c r="O607" i="2"/>
  <c r="H630" i="2"/>
  <c r="Q666" i="2"/>
  <c r="H666" i="2"/>
  <c r="O738" i="2"/>
  <c r="R810" i="2"/>
  <c r="J825" i="2"/>
  <c r="L877" i="2"/>
  <c r="H892" i="2"/>
  <c r="O219" i="2"/>
  <c r="J219" i="2"/>
  <c r="O226" i="2"/>
  <c r="L247" i="2"/>
  <c r="M263" i="2"/>
  <c r="I263" i="2"/>
  <c r="H263" i="2"/>
  <c r="Q343" i="2"/>
  <c r="N343" i="2"/>
  <c r="K343" i="2"/>
  <c r="Q393" i="2"/>
  <c r="N422" i="2"/>
  <c r="J449" i="2"/>
  <c r="I449" i="2"/>
  <c r="O449" i="2"/>
  <c r="L449" i="2"/>
  <c r="R454" i="2"/>
  <c r="K484" i="2"/>
  <c r="O492" i="2"/>
  <c r="L509" i="2"/>
  <c r="S522" i="2"/>
  <c r="K557" i="2"/>
  <c r="I565" i="2"/>
  <c r="M571" i="2"/>
  <c r="J571" i="2"/>
  <c r="I571" i="2"/>
  <c r="Q571" i="2"/>
  <c r="T600" i="2"/>
  <c r="T607" i="2"/>
  <c r="J630" i="2"/>
  <c r="L666" i="2"/>
  <c r="M721" i="2"/>
  <c r="P738" i="2"/>
  <c r="S810" i="2"/>
  <c r="P825" i="2"/>
  <c r="M877" i="2"/>
  <c r="I892" i="2"/>
  <c r="Q436" i="2"/>
  <c r="R436" i="2"/>
  <c r="N436" i="2"/>
  <c r="S484" i="2"/>
  <c r="O503" i="2"/>
  <c r="S503" i="2"/>
  <c r="Q503" i="2"/>
  <c r="P503" i="2"/>
  <c r="N525" i="2"/>
  <c r="T525" i="2"/>
  <c r="P525" i="2"/>
  <c r="H525" i="2"/>
  <c r="T557" i="2"/>
  <c r="Q565" i="2"/>
  <c r="M595" i="2"/>
  <c r="K595" i="2"/>
  <c r="P595" i="2"/>
  <c r="H595" i="2"/>
  <c r="N595" i="2"/>
  <c r="H798" i="2"/>
  <c r="H820" i="2"/>
  <c r="P820" i="2"/>
  <c r="M820" i="2"/>
  <c r="T820" i="2"/>
  <c r="Q820" i="2"/>
  <c r="S820" i="2"/>
  <c r="O820" i="2"/>
  <c r="N820" i="2"/>
  <c r="L820" i="2"/>
  <c r="R820" i="2"/>
  <c r="K820" i="2"/>
  <c r="L129" i="2"/>
  <c r="I129" i="2"/>
  <c r="Q130" i="2"/>
  <c r="I180" i="2"/>
  <c r="P180" i="2"/>
  <c r="S204" i="2"/>
  <c r="I210" i="2"/>
  <c r="L210" i="2"/>
  <c r="R222" i="2"/>
  <c r="S263" i="2"/>
  <c r="P343" i="2"/>
  <c r="T422" i="2"/>
  <c r="I436" i="2"/>
  <c r="P449" i="2"/>
  <c r="L474" i="2"/>
  <c r="T484" i="2"/>
  <c r="I503" i="2"/>
  <c r="I525" i="2"/>
  <c r="K536" i="2"/>
  <c r="O536" i="2"/>
  <c r="R565" i="2"/>
  <c r="L572" i="2"/>
  <c r="I572" i="2"/>
  <c r="R595" i="2"/>
  <c r="I820" i="2"/>
  <c r="O748" i="2"/>
  <c r="Q748" i="2"/>
  <c r="P748" i="2"/>
  <c r="N748" i="2"/>
  <c r="M748" i="2"/>
  <c r="O763" i="2"/>
  <c r="P763" i="2"/>
  <c r="L838" i="2"/>
  <c r="H838" i="2"/>
  <c r="T838" i="2"/>
  <c r="S838" i="2"/>
  <c r="O902" i="2"/>
  <c r="I902" i="2"/>
  <c r="J907" i="2"/>
  <c r="S907" i="2"/>
  <c r="P907" i="2"/>
  <c r="N907" i="2"/>
  <c r="K907" i="2"/>
  <c r="L907" i="2"/>
  <c r="T907" i="2"/>
  <c r="R907" i="2"/>
  <c r="H907" i="2"/>
  <c r="S941" i="2"/>
  <c r="T941" i="2"/>
  <c r="J941" i="2"/>
  <c r="P948" i="2"/>
  <c r="N948" i="2"/>
  <c r="M948" i="2"/>
  <c r="L948" i="2"/>
  <c r="K948" i="2"/>
  <c r="J948" i="2"/>
  <c r="R948" i="2"/>
  <c r="Q948" i="2"/>
  <c r="O948" i="2"/>
  <c r="L817" i="2"/>
  <c r="K817" i="2"/>
  <c r="R817" i="2"/>
  <c r="P817" i="2"/>
  <c r="N817" i="2"/>
  <c r="N1047" i="2"/>
  <c r="M1047" i="2"/>
  <c r="R1047" i="2"/>
  <c r="L1047" i="2"/>
  <c r="J1047" i="2"/>
  <c r="I1047" i="2"/>
  <c r="H1047" i="2"/>
  <c r="L933" i="2"/>
  <c r="J933" i="2"/>
  <c r="P933" i="2"/>
  <c r="N933" i="2"/>
  <c r="M933" i="2"/>
  <c r="I933" i="2"/>
  <c r="H933" i="2"/>
  <c r="S1042" i="2"/>
  <c r="H1042" i="2"/>
  <c r="R1042" i="2"/>
  <c r="I1042" i="2"/>
  <c r="R937" i="2"/>
  <c r="K937" i="2"/>
  <c r="T937" i="2"/>
  <c r="S937" i="2"/>
  <c r="Q937" i="2"/>
  <c r="M937" i="2"/>
  <c r="L937" i="2"/>
  <c r="J937" i="2"/>
  <c r="I937" i="2"/>
  <c r="Q1042" i="2"/>
  <c r="J392" i="2"/>
  <c r="I392" i="2"/>
  <c r="O442" i="2"/>
  <c r="L442" i="2"/>
  <c r="K442" i="2"/>
  <c r="J528" i="2"/>
  <c r="L528" i="2"/>
  <c r="H641" i="2"/>
  <c r="S641" i="2"/>
  <c r="R641" i="2"/>
  <c r="O641" i="2"/>
  <c r="M641" i="2"/>
  <c r="T670" i="2"/>
  <c r="S670" i="2"/>
  <c r="P670" i="2"/>
  <c r="N670" i="2"/>
  <c r="I670" i="2"/>
  <c r="O937" i="2"/>
  <c r="R1027" i="2"/>
  <c r="Q1027" i="2"/>
  <c r="N1027" i="2"/>
  <c r="K1027" i="2"/>
  <c r="S1027" i="2"/>
  <c r="O1027" i="2"/>
  <c r="L1027" i="2"/>
  <c r="T538" i="2"/>
  <c r="S538" i="2"/>
  <c r="Q538" i="2"/>
  <c r="P538" i="2"/>
  <c r="L538" i="2"/>
  <c r="R636" i="2"/>
  <c r="N636" i="2"/>
  <c r="T636" i="2"/>
  <c r="N731" i="2"/>
  <c r="R731" i="2"/>
  <c r="J731" i="2"/>
  <c r="I916" i="2"/>
  <c r="H916" i="2"/>
  <c r="J916" i="2"/>
  <c r="Q916" i="2"/>
  <c r="N916" i="2"/>
  <c r="L916" i="2"/>
  <c r="K916" i="2"/>
  <c r="T916" i="2"/>
  <c r="S916" i="2"/>
  <c r="M916" i="2"/>
  <c r="P1004" i="2"/>
  <c r="O1004" i="2"/>
  <c r="J1004" i="2"/>
  <c r="S1004" i="2"/>
  <c r="M1004" i="2"/>
  <c r="L1004" i="2"/>
  <c r="I1004" i="2"/>
  <c r="H1004" i="2"/>
  <c r="N1004" i="2"/>
  <c r="K320" i="2"/>
  <c r="L392" i="2"/>
  <c r="J395" i="2"/>
  <c r="M442" i="2"/>
  <c r="P458" i="2"/>
  <c r="O458" i="2"/>
  <c r="J458" i="2"/>
  <c r="K538" i="2"/>
  <c r="Q612" i="2"/>
  <c r="P612" i="2"/>
  <c r="M612" i="2"/>
  <c r="T612" i="2"/>
  <c r="S612" i="2"/>
  <c r="L612" i="2"/>
  <c r="O620" i="2"/>
  <c r="R620" i="2"/>
  <c r="K620" i="2"/>
  <c r="J620" i="2"/>
  <c r="H620" i="2"/>
  <c r="S620" i="2"/>
  <c r="Q620" i="2"/>
  <c r="L620" i="2"/>
  <c r="I636" i="2"/>
  <c r="N641" i="2"/>
  <c r="I649" i="2"/>
  <c r="H649" i="2"/>
  <c r="R649" i="2"/>
  <c r="Q649" i="2"/>
  <c r="N649" i="2"/>
  <c r="Q670" i="2"/>
  <c r="T731" i="2"/>
  <c r="Q761" i="2"/>
  <c r="T761" i="2"/>
  <c r="S761" i="2"/>
  <c r="O767" i="2"/>
  <c r="O791" i="2"/>
  <c r="J791" i="2"/>
  <c r="R791" i="2"/>
  <c r="Q791" i="2"/>
  <c r="R871" i="2"/>
  <c r="P871" i="2"/>
  <c r="S871" i="2"/>
  <c r="T871" i="2"/>
  <c r="Q871" i="2"/>
  <c r="O871" i="2"/>
  <c r="K871" i="2"/>
  <c r="H871" i="2"/>
  <c r="P916" i="2"/>
  <c r="Q560" i="2"/>
  <c r="P560" i="2"/>
  <c r="O560" i="2"/>
  <c r="O703" i="2"/>
  <c r="N703" i="2"/>
  <c r="M703" i="2"/>
  <c r="J703" i="2"/>
  <c r="H703" i="2"/>
  <c r="S703" i="2"/>
  <c r="K703" i="2"/>
  <c r="M710" i="2"/>
  <c r="H710" i="2"/>
  <c r="S849" i="2"/>
  <c r="R849" i="2"/>
  <c r="P849" i="2"/>
  <c r="N849" i="2"/>
  <c r="L849" i="2"/>
  <c r="K849" i="2"/>
  <c r="J868" i="2"/>
  <c r="N868" i="2"/>
  <c r="K868" i="2"/>
  <c r="M868" i="2"/>
  <c r="H868" i="2"/>
  <c r="T868" i="2"/>
  <c r="S868" i="2"/>
  <c r="R868" i="2"/>
  <c r="J963" i="2"/>
  <c r="L963" i="2"/>
  <c r="O963" i="2"/>
  <c r="H963" i="2"/>
  <c r="S963" i="2"/>
  <c r="R963" i="2"/>
  <c r="Q963" i="2"/>
  <c r="P963" i="2"/>
  <c r="N963" i="2"/>
  <c r="I963" i="2"/>
  <c r="K963" i="2"/>
  <c r="R919" i="2"/>
  <c r="S919" i="2"/>
  <c r="O919" i="2"/>
  <c r="K919" i="2"/>
  <c r="H919" i="2"/>
  <c r="P919" i="2"/>
  <c r="N919" i="2"/>
  <c r="M919" i="2"/>
  <c r="Q919" i="2"/>
  <c r="T951" i="2"/>
  <c r="S951" i="2"/>
  <c r="Q951" i="2"/>
  <c r="P951" i="2"/>
  <c r="O951" i="2"/>
  <c r="L951" i="2"/>
  <c r="H951" i="2"/>
  <c r="S1043" i="2"/>
  <c r="R1043" i="2"/>
  <c r="O1043" i="2"/>
  <c r="L1043" i="2"/>
  <c r="M1043" i="2"/>
  <c r="H519" i="2"/>
  <c r="T519" i="2"/>
  <c r="M554" i="2"/>
  <c r="L554" i="2"/>
  <c r="K554" i="2"/>
  <c r="S577" i="2"/>
  <c r="O577" i="2"/>
  <c r="L642" i="2"/>
  <c r="K642" i="2"/>
  <c r="J642" i="2"/>
  <c r="K743" i="2"/>
  <c r="I743" i="2"/>
  <c r="S743" i="2"/>
  <c r="Q743" i="2"/>
  <c r="P743" i="2"/>
  <c r="J786" i="2"/>
  <c r="M786" i="2"/>
  <c r="L786" i="2"/>
  <c r="T802" i="2"/>
  <c r="S802" i="2"/>
  <c r="Q802" i="2"/>
  <c r="N802" i="2"/>
  <c r="M802" i="2"/>
  <c r="L802" i="2"/>
  <c r="M853" i="2"/>
  <c r="T919" i="2"/>
  <c r="M951" i="2"/>
  <c r="I1043" i="2"/>
  <c r="O806" i="2"/>
  <c r="K806" i="2"/>
  <c r="L806" i="2"/>
  <c r="H806" i="2"/>
  <c r="K836" i="2"/>
  <c r="T836" i="2"/>
  <c r="R836" i="2"/>
  <c r="Q836" i="2"/>
  <c r="P845" i="2"/>
  <c r="I845" i="2"/>
  <c r="P884" i="2"/>
  <c r="M884" i="2"/>
  <c r="Q884" i="2"/>
  <c r="N893" i="2"/>
  <c r="K893" i="2"/>
  <c r="O893" i="2"/>
  <c r="N908" i="2"/>
  <c r="Q908" i="2"/>
  <c r="N951" i="2"/>
  <c r="O993" i="2"/>
  <c r="M993" i="2"/>
  <c r="R993" i="2"/>
  <c r="L993" i="2"/>
  <c r="J1043" i="2"/>
  <c r="I869" i="2"/>
  <c r="T869" i="2"/>
  <c r="Q869" i="2"/>
  <c r="S869" i="2"/>
  <c r="O869" i="2"/>
  <c r="M869" i="2"/>
  <c r="L869" i="2"/>
  <c r="K869" i="2"/>
  <c r="T1028" i="2"/>
  <c r="N1028" i="2"/>
  <c r="R1028" i="2"/>
  <c r="Q1028" i="2"/>
  <c r="M1028" i="2"/>
  <c r="H1028" i="2"/>
  <c r="O1028" i="2"/>
  <c r="Q1043" i="2"/>
  <c r="Q280" i="2"/>
  <c r="K332" i="2"/>
  <c r="R346" i="2"/>
  <c r="Q377" i="2"/>
  <c r="M446" i="2"/>
  <c r="M451" i="2"/>
  <c r="L519" i="2"/>
  <c r="K544" i="2"/>
  <c r="I544" i="2"/>
  <c r="Q554" i="2"/>
  <c r="L558" i="2"/>
  <c r="N642" i="2"/>
  <c r="P645" i="2"/>
  <c r="K657" i="2"/>
  <c r="J657" i="2"/>
  <c r="N657" i="2"/>
  <c r="M657" i="2"/>
  <c r="L657" i="2"/>
  <c r="K715" i="2"/>
  <c r="P715" i="2"/>
  <c r="O715" i="2"/>
  <c r="H715" i="2"/>
  <c r="O743" i="2"/>
  <c r="K802" i="2"/>
  <c r="R806" i="2"/>
  <c r="O845" i="2"/>
  <c r="N865" i="2"/>
  <c r="J865" i="2"/>
  <c r="H865" i="2"/>
  <c r="N869" i="2"/>
  <c r="O884" i="2"/>
  <c r="P893" i="2"/>
  <c r="N446" i="2"/>
  <c r="M519" i="2"/>
  <c r="S554" i="2"/>
  <c r="O642" i="2"/>
  <c r="S688" i="2"/>
  <c r="R688" i="2"/>
  <c r="O688" i="2"/>
  <c r="T688" i="2"/>
  <c r="S704" i="2"/>
  <c r="M704" i="2"/>
  <c r="K704" i="2"/>
  <c r="P751" i="2"/>
  <c r="N751" i="2"/>
  <c r="I751" i="2"/>
  <c r="S751" i="2"/>
  <c r="I796" i="2"/>
  <c r="N796" i="2"/>
  <c r="K796" i="2"/>
  <c r="O796" i="2"/>
  <c r="M796" i="2"/>
  <c r="L796" i="2"/>
  <c r="O802" i="2"/>
  <c r="M828" i="2"/>
  <c r="H828" i="2"/>
  <c r="N828" i="2"/>
  <c r="L828" i="2"/>
  <c r="K828" i="2"/>
  <c r="S845" i="2"/>
  <c r="P869" i="2"/>
  <c r="R893" i="2"/>
  <c r="L977" i="2"/>
  <c r="J977" i="2"/>
  <c r="R977" i="2"/>
  <c r="Q977" i="2"/>
  <c r="I977" i="2"/>
  <c r="N977" i="2"/>
  <c r="K977" i="2"/>
  <c r="S855" i="2"/>
  <c r="P855" i="2"/>
  <c r="H855" i="2"/>
  <c r="O855" i="2"/>
  <c r="I866" i="2"/>
  <c r="T866" i="2"/>
  <c r="Q866" i="2"/>
  <c r="L866" i="2"/>
  <c r="K866" i="2"/>
  <c r="J866" i="2"/>
  <c r="R869" i="2"/>
  <c r="S957" i="2"/>
  <c r="R957" i="2"/>
  <c r="M957" i="2"/>
  <c r="J957" i="2"/>
  <c r="L855" i="2"/>
  <c r="H866" i="2"/>
  <c r="M894" i="2"/>
  <c r="J894" i="2"/>
  <c r="I914" i="2"/>
  <c r="S935" i="2"/>
  <c r="H935" i="2"/>
  <c r="Q672" i="2"/>
  <c r="O672" i="2"/>
  <c r="J672" i="2"/>
  <c r="M672" i="2"/>
  <c r="N803" i="2"/>
  <c r="P803" i="2"/>
  <c r="K803" i="2"/>
  <c r="I803" i="2"/>
  <c r="H803" i="2"/>
  <c r="S803" i="2"/>
  <c r="P822" i="2"/>
  <c r="K822" i="2"/>
  <c r="I822" i="2"/>
  <c r="T855" i="2"/>
  <c r="M866" i="2"/>
  <c r="H880" i="2"/>
  <c r="N880" i="2"/>
  <c r="K880" i="2"/>
  <c r="T880" i="2"/>
  <c r="S880" i="2"/>
  <c r="P880" i="2"/>
  <c r="R880" i="2"/>
  <c r="J887" i="2"/>
  <c r="N887" i="2"/>
  <c r="Q887" i="2"/>
  <c r="R887" i="2"/>
  <c r="K887" i="2"/>
  <c r="H887" i="2"/>
  <c r="T887" i="2"/>
  <c r="S887" i="2"/>
  <c r="P887" i="2"/>
  <c r="J914" i="2"/>
  <c r="I935" i="2"/>
  <c r="M808" i="2"/>
  <c r="I808" i="2"/>
  <c r="N866" i="2"/>
  <c r="L906" i="2"/>
  <c r="H906" i="2"/>
  <c r="S906" i="2"/>
  <c r="T906" i="2"/>
  <c r="P906" i="2"/>
  <c r="N906" i="2"/>
  <c r="M906" i="2"/>
  <c r="R914" i="2"/>
  <c r="R932" i="2"/>
  <c r="T932" i="2"/>
  <c r="N1001" i="2"/>
  <c r="S1001" i="2"/>
  <c r="M1001" i="2"/>
  <c r="N566" i="2"/>
  <c r="M566" i="2"/>
  <c r="L566" i="2"/>
  <c r="P579" i="2"/>
  <c r="J592" i="2"/>
  <c r="L592" i="2"/>
  <c r="K592" i="2"/>
  <c r="T592" i="2"/>
  <c r="O601" i="2"/>
  <c r="N601" i="2"/>
  <c r="L601" i="2"/>
  <c r="N603" i="2"/>
  <c r="K603" i="2"/>
  <c r="R658" i="2"/>
  <c r="O658" i="2"/>
  <c r="I672" i="2"/>
  <c r="T696" i="2"/>
  <c r="S696" i="2"/>
  <c r="I726" i="2"/>
  <c r="M803" i="2"/>
  <c r="K808" i="2"/>
  <c r="I815" i="2"/>
  <c r="H815" i="2"/>
  <c r="T815" i="2"/>
  <c r="S815" i="2"/>
  <c r="R822" i="2"/>
  <c r="Q841" i="2"/>
  <c r="H841" i="2"/>
  <c r="J841" i="2"/>
  <c r="S861" i="2"/>
  <c r="Q861" i="2"/>
  <c r="K861" i="2"/>
  <c r="J861" i="2"/>
  <c r="P861" i="2"/>
  <c r="O861" i="2"/>
  <c r="L861" i="2"/>
  <c r="O866" i="2"/>
  <c r="J880" i="2"/>
  <c r="M887" i="2"/>
  <c r="I906" i="2"/>
  <c r="S914" i="2"/>
  <c r="H932" i="2"/>
  <c r="T954" i="2"/>
  <c r="Q954" i="2"/>
  <c r="S954" i="2"/>
  <c r="R954" i="2"/>
  <c r="O954" i="2"/>
  <c r="L996" i="2"/>
  <c r="T1001" i="2"/>
  <c r="J1008" i="2"/>
  <c r="O1008" i="2"/>
  <c r="I1008" i="2"/>
  <c r="T1008" i="2"/>
  <c r="S1008" i="2"/>
  <c r="R1008" i="2"/>
  <c r="Q1008" i="2"/>
  <c r="L1008" i="2"/>
  <c r="H1008" i="2"/>
  <c r="K1008" i="2"/>
  <c r="Q746" i="2"/>
  <c r="O746" i="2"/>
  <c r="I746" i="2"/>
  <c r="M746" i="2"/>
  <c r="H771" i="2"/>
  <c r="J771" i="2"/>
  <c r="I771" i="2"/>
  <c r="L771" i="2"/>
  <c r="K771" i="2"/>
  <c r="Q771" i="2"/>
  <c r="P771" i="2"/>
  <c r="O771" i="2"/>
  <c r="S847" i="2"/>
  <c r="P847" i="2"/>
  <c r="L847" i="2"/>
  <c r="R847" i="2"/>
  <c r="Q847" i="2"/>
  <c r="M847" i="2"/>
  <c r="T847" i="2"/>
  <c r="O847" i="2"/>
  <c r="P866" i="2"/>
  <c r="T911" i="2"/>
  <c r="R911" i="2"/>
  <c r="M911" i="2"/>
  <c r="T915" i="2"/>
  <c r="L915" i="2"/>
  <c r="O915" i="2"/>
  <c r="K915" i="2"/>
  <c r="T962" i="2"/>
  <c r="R962" i="2"/>
  <c r="Q962" i="2"/>
  <c r="P962" i="2"/>
  <c r="O962" i="2"/>
  <c r="H962" i="2"/>
  <c r="Q1002" i="2"/>
  <c r="P1002" i="2"/>
  <c r="T1002" i="2"/>
  <c r="S1002" i="2"/>
  <c r="R1002" i="2"/>
  <c r="M1002" i="2"/>
  <c r="I1002" i="2"/>
  <c r="S644" i="2"/>
  <c r="J644" i="2"/>
  <c r="I644" i="2"/>
  <c r="P770" i="2"/>
  <c r="N770" i="2"/>
  <c r="T814" i="2"/>
  <c r="Q814" i="2"/>
  <c r="R814" i="2"/>
  <c r="L863" i="2"/>
  <c r="I863" i="2"/>
  <c r="Q921" i="2"/>
  <c r="L921" i="2"/>
  <c r="K938" i="2"/>
  <c r="I938" i="2"/>
  <c r="P581" i="2"/>
  <c r="O581" i="2"/>
  <c r="K581" i="2"/>
  <c r="Q644" i="2"/>
  <c r="P713" i="2"/>
  <c r="P727" i="2"/>
  <c r="M727" i="2"/>
  <c r="H727" i="2"/>
  <c r="P905" i="2"/>
  <c r="L905" i="2"/>
  <c r="H905" i="2"/>
  <c r="T905" i="2"/>
  <c r="K584" i="2"/>
  <c r="I584" i="2"/>
  <c r="R644" i="2"/>
  <c r="N654" i="2"/>
  <c r="I654" i="2"/>
  <c r="R678" i="2"/>
  <c r="Q678" i="2"/>
  <c r="N678" i="2"/>
  <c r="I727" i="2"/>
  <c r="I740" i="2"/>
  <c r="T758" i="2"/>
  <c r="Q758" i="2"/>
  <c r="P758" i="2"/>
  <c r="M758" i="2"/>
  <c r="I793" i="2"/>
  <c r="M793" i="2"/>
  <c r="J793" i="2"/>
  <c r="R793" i="2"/>
  <c r="T881" i="2"/>
  <c r="R881" i="2"/>
  <c r="I905" i="2"/>
  <c r="R909" i="2"/>
  <c r="Q909" i="2"/>
  <c r="K909" i="2"/>
  <c r="H929" i="2"/>
  <c r="T929" i="2"/>
  <c r="O929" i="2"/>
  <c r="M929" i="2"/>
  <c r="L929" i="2"/>
  <c r="J929" i="2"/>
  <c r="S929" i="2"/>
  <c r="R929" i="2"/>
  <c r="N929" i="2"/>
  <c r="L584" i="2"/>
  <c r="H589" i="2"/>
  <c r="T589" i="2"/>
  <c r="S629" i="2"/>
  <c r="R629" i="2"/>
  <c r="K629" i="2"/>
  <c r="T644" i="2"/>
  <c r="I648" i="2"/>
  <c r="H654" i="2"/>
  <c r="T674" i="2"/>
  <c r="P674" i="2"/>
  <c r="I678" i="2"/>
  <c r="P682" i="2"/>
  <c r="M682" i="2"/>
  <c r="I682" i="2"/>
  <c r="K686" i="2"/>
  <c r="H686" i="2"/>
  <c r="J723" i="2"/>
  <c r="P723" i="2"/>
  <c r="O723" i="2"/>
  <c r="K723" i="2"/>
  <c r="J727" i="2"/>
  <c r="T800" i="2"/>
  <c r="Q800" i="2"/>
  <c r="H840" i="2"/>
  <c r="S840" i="2"/>
  <c r="O840" i="2"/>
  <c r="N840" i="2"/>
  <c r="K840" i="2"/>
  <c r="T858" i="2"/>
  <c r="N858" i="2"/>
  <c r="J858" i="2"/>
  <c r="H881" i="2"/>
  <c r="J905" i="2"/>
  <c r="M910" i="2"/>
  <c r="R910" i="2"/>
  <c r="P910" i="2"/>
  <c r="N910" i="2"/>
  <c r="J910" i="2"/>
  <c r="L910" i="2"/>
  <c r="H910" i="2"/>
  <c r="I929" i="2"/>
  <c r="M944" i="2"/>
  <c r="I944" i="2"/>
  <c r="H1020" i="2"/>
  <c r="J1020" i="2"/>
  <c r="I1020" i="2"/>
  <c r="P1021" i="2"/>
  <c r="R1021" i="2"/>
  <c r="K1021" i="2"/>
  <c r="M1015" i="2"/>
  <c r="R1015" i="2"/>
  <c r="S1015" i="2"/>
  <c r="P1015" i="2"/>
  <c r="I1015" i="2"/>
  <c r="Q926" i="2"/>
  <c r="T926" i="2"/>
  <c r="R926" i="2"/>
  <c r="J926" i="2"/>
  <c r="H956" i="2"/>
  <c r="L956" i="2"/>
  <c r="M956" i="2"/>
  <c r="S956" i="2"/>
  <c r="T879" i="2"/>
  <c r="R879" i="2"/>
  <c r="S879" i="2"/>
  <c r="H890" i="2"/>
  <c r="I890" i="2"/>
  <c r="T890" i="2"/>
  <c r="Q890" i="2"/>
  <c r="M890" i="2"/>
  <c r="H903" i="2"/>
  <c r="L903" i="2"/>
  <c r="S903" i="2"/>
  <c r="K913" i="2"/>
  <c r="O913" i="2"/>
  <c r="N913" i="2"/>
  <c r="L913" i="2"/>
  <c r="H913" i="2"/>
  <c r="M947" i="2"/>
  <c r="J947" i="2"/>
  <c r="R947" i="2"/>
  <c r="H756" i="2"/>
  <c r="H762" i="2"/>
  <c r="N766" i="2"/>
  <c r="I766" i="2"/>
  <c r="K799" i="2"/>
  <c r="Q799" i="2"/>
  <c r="N799" i="2"/>
  <c r="H801" i="2"/>
  <c r="T801" i="2"/>
  <c r="L801" i="2"/>
  <c r="H870" i="2"/>
  <c r="L870" i="2"/>
  <c r="I870" i="2"/>
  <c r="H879" i="2"/>
  <c r="J890" i="2"/>
  <c r="J897" i="2"/>
  <c r="M897" i="2"/>
  <c r="H897" i="2"/>
  <c r="M899" i="2"/>
  <c r="I899" i="2"/>
  <c r="I903" i="2"/>
  <c r="I913" i="2"/>
  <c r="T924" i="2"/>
  <c r="R924" i="2"/>
  <c r="J924" i="2"/>
  <c r="K947" i="2"/>
  <c r="N953" i="2"/>
  <c r="L953" i="2"/>
  <c r="R978" i="2"/>
  <c r="Q978" i="2"/>
  <c r="O978" i="2"/>
  <c r="J978" i="2"/>
  <c r="S967" i="2"/>
  <c r="R967" i="2"/>
  <c r="Q967" i="2"/>
  <c r="P967" i="2"/>
  <c r="N967" i="2"/>
  <c r="H967" i="2"/>
  <c r="M928" i="2"/>
  <c r="H928" i="2"/>
  <c r="S928" i="2"/>
  <c r="K967" i="2"/>
  <c r="R988" i="2"/>
  <c r="K988" i="2"/>
  <c r="T1038" i="2"/>
  <c r="Q1038" i="2"/>
  <c r="N1038" i="2"/>
  <c r="S931" i="2"/>
  <c r="K931" i="2"/>
  <c r="T931" i="2"/>
  <c r="Q931" i="2"/>
  <c r="P931" i="2"/>
  <c r="N931" i="2"/>
  <c r="I931" i="2"/>
  <c r="M968" i="2"/>
  <c r="J968" i="2"/>
  <c r="S1005" i="2"/>
  <c r="O1005" i="2"/>
  <c r="T1005" i="2"/>
  <c r="R1005" i="2"/>
  <c r="Q1005" i="2"/>
  <c r="P1005" i="2"/>
  <c r="M1005" i="2"/>
  <c r="I1005" i="2"/>
  <c r="P1038" i="2"/>
  <c r="J900" i="2"/>
  <c r="T900" i="2"/>
  <c r="P900" i="2"/>
  <c r="P925" i="2"/>
  <c r="K925" i="2"/>
  <c r="I925" i="2"/>
  <c r="K928" i="2"/>
  <c r="H931" i="2"/>
  <c r="P968" i="2"/>
  <c r="H984" i="2"/>
  <c r="K1005" i="2"/>
  <c r="T1030" i="2"/>
  <c r="M1030" i="2"/>
  <c r="I1030" i="2"/>
  <c r="P1030" i="2"/>
  <c r="O1054" i="2"/>
  <c r="H850" i="2"/>
  <c r="Q850" i="2"/>
  <c r="K959" i="2"/>
  <c r="K975" i="2"/>
  <c r="H985" i="2"/>
  <c r="K985" i="2"/>
  <c r="I1012" i="2"/>
  <c r="Q1017" i="2"/>
  <c r="P1017" i="2"/>
  <c r="I1022" i="2"/>
  <c r="H1022" i="2"/>
  <c r="M1058" i="2"/>
  <c r="Q1058" i="2"/>
  <c r="P1058" i="2"/>
  <c r="L1012" i="2"/>
  <c r="H1058" i="2"/>
  <c r="N959" i="2"/>
  <c r="H970" i="2"/>
  <c r="N975" i="2"/>
  <c r="H998" i="2"/>
  <c r="O1012" i="2"/>
  <c r="T1048" i="2"/>
  <c r="N1048" i="2"/>
  <c r="I1058" i="2"/>
  <c r="J774" i="2"/>
  <c r="L774" i="2"/>
  <c r="L850" i="2"/>
  <c r="S918" i="2"/>
  <c r="K918" i="2"/>
  <c r="K922" i="2"/>
  <c r="M936" i="2"/>
  <c r="O959" i="2"/>
  <c r="I970" i="2"/>
  <c r="O975" i="2"/>
  <c r="N985" i="2"/>
  <c r="L998" i="2"/>
  <c r="S1012" i="2"/>
  <c r="M1017" i="2"/>
  <c r="N1023" i="2"/>
  <c r="J1023" i="2"/>
  <c r="S1029" i="2"/>
  <c r="R1029" i="2"/>
  <c r="N1031" i="2"/>
  <c r="K1048" i="2"/>
  <c r="L1058" i="2"/>
  <c r="P959" i="2"/>
  <c r="K970" i="2"/>
  <c r="P975" i="2"/>
  <c r="Q1003" i="2"/>
  <c r="K1003" i="2"/>
  <c r="S1040" i="2"/>
  <c r="Q1040" i="2"/>
  <c r="M1048" i="2"/>
  <c r="N1058" i="2"/>
  <c r="Q959" i="2"/>
  <c r="J979" i="2"/>
  <c r="I983" i="2"/>
  <c r="I1003" i="2"/>
  <c r="Q1036" i="2"/>
  <c r="H1040" i="2"/>
  <c r="O1048" i="2"/>
  <c r="O1058" i="2"/>
  <c r="L753" i="2"/>
  <c r="M774" i="2"/>
  <c r="O850" i="2"/>
  <c r="J918" i="2"/>
  <c r="O922" i="2"/>
  <c r="J934" i="2"/>
  <c r="J940" i="2"/>
  <c r="I946" i="2"/>
  <c r="R959" i="2"/>
  <c r="O979" i="2"/>
  <c r="J983" i="2"/>
  <c r="R985" i="2"/>
  <c r="S995" i="2"/>
  <c r="L1003" i="2"/>
  <c r="R1010" i="2"/>
  <c r="S1010" i="2"/>
  <c r="L1010" i="2"/>
  <c r="K1010" i="2"/>
  <c r="L1023" i="2"/>
  <c r="K1029" i="2"/>
  <c r="R1048" i="2"/>
  <c r="R1058" i="2"/>
  <c r="S1058" i="2"/>
  <c r="T959" i="2"/>
  <c r="S979" i="2"/>
  <c r="L983" i="2"/>
  <c r="N1003" i="2"/>
  <c r="O1007" i="2"/>
  <c r="N1007" i="2"/>
  <c r="I1019" i="2"/>
  <c r="T1058" i="2"/>
  <c r="N1059" i="2"/>
  <c r="K1059" i="2"/>
  <c r="J1059" i="2"/>
  <c r="R1054" i="2"/>
  <c r="Q1054" i="2"/>
  <c r="K1054" i="2"/>
  <c r="J1054" i="2"/>
  <c r="R1059" i="2"/>
  <c r="S983" i="2"/>
  <c r="N990" i="2"/>
  <c r="P1007" i="2"/>
  <c r="N1049" i="2"/>
  <c r="I1054" i="2"/>
  <c r="M1057" i="2"/>
  <c r="N1057" i="2"/>
  <c r="S1037" i="2"/>
  <c r="Q1057" i="2"/>
  <c r="L139" i="2"/>
  <c r="R139" i="2"/>
  <c r="T139" i="2"/>
  <c r="S139" i="2"/>
  <c r="P139" i="2"/>
  <c r="O139" i="2"/>
  <c r="N139" i="2"/>
  <c r="M139" i="2"/>
  <c r="H139" i="2"/>
  <c r="P211" i="2"/>
  <c r="O211" i="2"/>
  <c r="M211" i="2"/>
  <c r="I211" i="2"/>
  <c r="H211" i="2"/>
  <c r="N211" i="2"/>
  <c r="L211" i="2"/>
  <c r="K211" i="2"/>
  <c r="J211" i="2"/>
  <c r="T211" i="2"/>
  <c r="S211" i="2"/>
  <c r="R211" i="2"/>
  <c r="Q211" i="2"/>
  <c r="I139" i="2"/>
  <c r="T137" i="2"/>
  <c r="I137" i="2"/>
  <c r="S137" i="2"/>
  <c r="R137" i="2"/>
  <c r="N137" i="2"/>
  <c r="H137" i="2"/>
  <c r="I239" i="2"/>
  <c r="Q239" i="2"/>
  <c r="P239" i="2"/>
  <c r="N239" i="2"/>
  <c r="J239" i="2"/>
  <c r="H239" i="2"/>
  <c r="T239" i="2"/>
  <c r="S239" i="2"/>
  <c r="M239" i="2"/>
  <c r="L239" i="2"/>
  <c r="R239" i="2"/>
  <c r="O239" i="2"/>
  <c r="M131" i="2"/>
  <c r="T131" i="2"/>
  <c r="S131" i="2"/>
  <c r="Q131" i="2"/>
  <c r="P131" i="2"/>
  <c r="O131" i="2"/>
  <c r="N131" i="2"/>
  <c r="I131" i="2"/>
  <c r="J137" i="2"/>
  <c r="K144" i="2"/>
  <c r="R144" i="2"/>
  <c r="N144" i="2"/>
  <c r="Q144" i="2"/>
  <c r="P144" i="2"/>
  <c r="O144" i="2"/>
  <c r="L144" i="2"/>
  <c r="J144" i="2"/>
  <c r="I144" i="2"/>
  <c r="H144" i="2"/>
  <c r="T144" i="2"/>
  <c r="R178" i="2"/>
  <c r="Q178" i="2"/>
  <c r="O178" i="2"/>
  <c r="K178" i="2"/>
  <c r="J178" i="2"/>
  <c r="L178" i="2"/>
  <c r="I178" i="2"/>
  <c r="T178" i="2"/>
  <c r="P178" i="2"/>
  <c r="M178" i="2"/>
  <c r="H178" i="2"/>
  <c r="K239" i="2"/>
  <c r="T298" i="2"/>
  <c r="R298" i="2"/>
  <c r="O298" i="2"/>
  <c r="Q298" i="2"/>
  <c r="P298" i="2"/>
  <c r="N298" i="2"/>
  <c r="M298" i="2"/>
  <c r="I298" i="2"/>
  <c r="H298" i="2"/>
  <c r="L298" i="2"/>
  <c r="S298" i="2"/>
  <c r="K134" i="2"/>
  <c r="S134" i="2"/>
  <c r="R134" i="2"/>
  <c r="Q134" i="2"/>
  <c r="P134" i="2"/>
  <c r="L134" i="2"/>
  <c r="I134" i="2"/>
  <c r="K137" i="2"/>
  <c r="H155" i="2"/>
  <c r="Q155" i="2"/>
  <c r="T155" i="2"/>
  <c r="S155" i="2"/>
  <c r="R155" i="2"/>
  <c r="P155" i="2"/>
  <c r="L155" i="2"/>
  <c r="M273" i="2"/>
  <c r="T273" i="2"/>
  <c r="S273" i="2"/>
  <c r="R273" i="2"/>
  <c r="N273" i="2"/>
  <c r="L273" i="2"/>
  <c r="K273" i="2"/>
  <c r="J273" i="2"/>
  <c r="I273" i="2"/>
  <c r="H273" i="2"/>
  <c r="Q273" i="2"/>
  <c r="P273" i="2"/>
  <c r="T295" i="2"/>
  <c r="M295" i="2"/>
  <c r="N295" i="2"/>
  <c r="L295" i="2"/>
  <c r="K295" i="2"/>
  <c r="J295" i="2"/>
  <c r="R295" i="2"/>
  <c r="Q295" i="2"/>
  <c r="P295" i="2"/>
  <c r="O295" i="2"/>
  <c r="S295" i="2"/>
  <c r="J298" i="2"/>
  <c r="L17" i="2"/>
  <c r="K17" i="2"/>
  <c r="H17" i="2"/>
  <c r="J17" i="2"/>
  <c r="I17" i="2"/>
  <c r="J131" i="2"/>
  <c r="J134" i="2"/>
  <c r="L137" i="2"/>
  <c r="S144" i="2"/>
  <c r="I155" i="2"/>
  <c r="S178" i="2"/>
  <c r="O273" i="2"/>
  <c r="H286" i="2"/>
  <c r="T286" i="2"/>
  <c r="S286" i="2"/>
  <c r="O286" i="2"/>
  <c r="N286" i="2"/>
  <c r="K286" i="2"/>
  <c r="J286" i="2"/>
  <c r="R286" i="2"/>
  <c r="M286" i="2"/>
  <c r="Q286" i="2"/>
  <c r="P286" i="2"/>
  <c r="L286" i="2"/>
  <c r="I286" i="2"/>
  <c r="H295" i="2"/>
  <c r="K298" i="2"/>
  <c r="K131" i="2"/>
  <c r="M134" i="2"/>
  <c r="M137" i="2"/>
  <c r="H145" i="2"/>
  <c r="Q145" i="2"/>
  <c r="T145" i="2"/>
  <c r="S145" i="2"/>
  <c r="R145" i="2"/>
  <c r="P145" i="2"/>
  <c r="L145" i="2"/>
  <c r="J155" i="2"/>
  <c r="Q168" i="2"/>
  <c r="O168" i="2"/>
  <c r="K168" i="2"/>
  <c r="J168" i="2"/>
  <c r="S168" i="2"/>
  <c r="P168" i="2"/>
  <c r="N168" i="2"/>
  <c r="T168" i="2"/>
  <c r="R168" i="2"/>
  <c r="M168" i="2"/>
  <c r="L168" i="2"/>
  <c r="Q228" i="2"/>
  <c r="P228" i="2"/>
  <c r="T228" i="2"/>
  <c r="O228" i="2"/>
  <c r="N228" i="2"/>
  <c r="J228" i="2"/>
  <c r="S228" i="2"/>
  <c r="R228" i="2"/>
  <c r="M228" i="2"/>
  <c r="H228" i="2"/>
  <c r="I295" i="2"/>
  <c r="L131" i="2"/>
  <c r="N134" i="2"/>
  <c r="O137" i="2"/>
  <c r="J142" i="2"/>
  <c r="S142" i="2"/>
  <c r="T142" i="2"/>
  <c r="Q142" i="2"/>
  <c r="P142" i="2"/>
  <c r="O142" i="2"/>
  <c r="N142" i="2"/>
  <c r="I142" i="2"/>
  <c r="I145" i="2"/>
  <c r="J152" i="2"/>
  <c r="H152" i="2"/>
  <c r="S152" i="2"/>
  <c r="T152" i="2"/>
  <c r="R152" i="2"/>
  <c r="Q152" i="2"/>
  <c r="P152" i="2"/>
  <c r="O152" i="2"/>
  <c r="M152" i="2"/>
  <c r="L152" i="2"/>
  <c r="K152" i="2"/>
  <c r="I152" i="2"/>
  <c r="K155" i="2"/>
  <c r="H168" i="2"/>
  <c r="L197" i="2"/>
  <c r="K197" i="2"/>
  <c r="I197" i="2"/>
  <c r="H197" i="2"/>
  <c r="T197" i="2"/>
  <c r="S197" i="2"/>
  <c r="O197" i="2"/>
  <c r="R197" i="2"/>
  <c r="Q197" i="2"/>
  <c r="P197" i="2"/>
  <c r="N197" i="2"/>
  <c r="M197" i="2"/>
  <c r="J197" i="2"/>
  <c r="I228" i="2"/>
  <c r="T261" i="2"/>
  <c r="S261" i="2"/>
  <c r="O261" i="2"/>
  <c r="N261" i="2"/>
  <c r="P261" i="2"/>
  <c r="M261" i="2"/>
  <c r="L261" i="2"/>
  <c r="I261" i="2"/>
  <c r="R261" i="2"/>
  <c r="Q261" i="2"/>
  <c r="K261" i="2"/>
  <c r="Q101" i="2"/>
  <c r="P101" i="2"/>
  <c r="M101" i="2"/>
  <c r="O101" i="2"/>
  <c r="N101" i="2"/>
  <c r="K101" i="2"/>
  <c r="J101" i="2"/>
  <c r="I101" i="2"/>
  <c r="H101" i="2"/>
  <c r="S101" i="2"/>
  <c r="R131" i="2"/>
  <c r="O134" i="2"/>
  <c r="P137" i="2"/>
  <c r="J145" i="2"/>
  <c r="M155" i="2"/>
  <c r="I168" i="2"/>
  <c r="T175" i="2"/>
  <c r="S175" i="2"/>
  <c r="Q175" i="2"/>
  <c r="M175" i="2"/>
  <c r="L175" i="2"/>
  <c r="O175" i="2"/>
  <c r="K175" i="2"/>
  <c r="J175" i="2"/>
  <c r="R175" i="2"/>
  <c r="H175" i="2"/>
  <c r="K228" i="2"/>
  <c r="H276" i="2"/>
  <c r="M276" i="2"/>
  <c r="T276" i="2"/>
  <c r="P276" i="2"/>
  <c r="O276" i="2"/>
  <c r="R276" i="2"/>
  <c r="Q276" i="2"/>
  <c r="K276" i="2"/>
  <c r="J276" i="2"/>
  <c r="I276" i="2"/>
  <c r="S276" i="2"/>
  <c r="N276" i="2"/>
  <c r="L276" i="2"/>
  <c r="Q137" i="2"/>
  <c r="P153" i="2"/>
  <c r="N153" i="2"/>
  <c r="M153" i="2"/>
  <c r="T153" i="2"/>
  <c r="O153" i="2"/>
  <c r="H153" i="2"/>
  <c r="H476" i="2"/>
  <c r="P476" i="2"/>
  <c r="N476" i="2"/>
  <c r="M476" i="2"/>
  <c r="Q476" i="2"/>
  <c r="O476" i="2"/>
  <c r="L476" i="2"/>
  <c r="K476" i="2"/>
  <c r="I476" i="2"/>
  <c r="T476" i="2"/>
  <c r="S476" i="2"/>
  <c r="R476" i="2"/>
  <c r="J476" i="2"/>
  <c r="Q104" i="2"/>
  <c r="P104" i="2"/>
  <c r="M104" i="2"/>
  <c r="O104" i="2"/>
  <c r="N104" i="2"/>
  <c r="K104" i="2"/>
  <c r="J104" i="2"/>
  <c r="I104" i="2"/>
  <c r="H104" i="2"/>
  <c r="S104" i="2"/>
  <c r="T134" i="2"/>
  <c r="O155" i="2"/>
  <c r="Q98" i="2"/>
  <c r="P98" i="2"/>
  <c r="M98" i="2"/>
  <c r="O98" i="2"/>
  <c r="N98" i="2"/>
  <c r="K98" i="2"/>
  <c r="J98" i="2"/>
  <c r="I98" i="2"/>
  <c r="H98" i="2"/>
  <c r="S98" i="2"/>
  <c r="R98" i="2"/>
  <c r="N155" i="2"/>
  <c r="Q17" i="2"/>
  <c r="T98" i="2"/>
  <c r="R101" i="2"/>
  <c r="L104" i="2"/>
  <c r="R17" i="2"/>
  <c r="T101" i="2"/>
  <c r="R104" i="2"/>
  <c r="R110" i="2"/>
  <c r="Q110" i="2"/>
  <c r="P110" i="2"/>
  <c r="O110" i="2"/>
  <c r="N110" i="2"/>
  <c r="M110" i="2"/>
  <c r="K110" i="2"/>
  <c r="J110" i="2"/>
  <c r="I110" i="2"/>
  <c r="H110" i="2"/>
  <c r="T110" i="2"/>
  <c r="M142" i="2"/>
  <c r="N145" i="2"/>
  <c r="J153" i="2"/>
  <c r="N156" i="2"/>
  <c r="L156" i="2"/>
  <c r="K156" i="2"/>
  <c r="O156" i="2"/>
  <c r="M156" i="2"/>
  <c r="J156" i="2"/>
  <c r="I156" i="2"/>
  <c r="H156" i="2"/>
  <c r="Q156" i="2"/>
  <c r="P175" i="2"/>
  <c r="P248" i="2"/>
  <c r="O248" i="2"/>
  <c r="N248" i="2"/>
  <c r="M248" i="2"/>
  <c r="I248" i="2"/>
  <c r="H248" i="2"/>
  <c r="T248" i="2"/>
  <c r="S248" i="2"/>
  <c r="L248" i="2"/>
  <c r="K248" i="2"/>
  <c r="R248" i="2"/>
  <c r="P17" i="2"/>
  <c r="T107" i="2"/>
  <c r="Q107" i="2"/>
  <c r="P107" i="2"/>
  <c r="M107" i="2"/>
  <c r="O107" i="2"/>
  <c r="N107" i="2"/>
  <c r="K107" i="2"/>
  <c r="J107" i="2"/>
  <c r="I107" i="2"/>
  <c r="H107" i="2"/>
  <c r="S107" i="2"/>
  <c r="M145" i="2"/>
  <c r="I153" i="2"/>
  <c r="L159" i="2"/>
  <c r="J159" i="2"/>
  <c r="I159" i="2"/>
  <c r="T159" i="2"/>
  <c r="S159" i="2"/>
  <c r="R159" i="2"/>
  <c r="Q159" i="2"/>
  <c r="O159" i="2"/>
  <c r="N159" i="2"/>
  <c r="M159" i="2"/>
  <c r="K159" i="2"/>
  <c r="N175" i="2"/>
  <c r="S469" i="2"/>
  <c r="O469" i="2"/>
  <c r="M469" i="2"/>
  <c r="L469" i="2"/>
  <c r="T469" i="2"/>
  <c r="R469" i="2"/>
  <c r="Q469" i="2"/>
  <c r="N469" i="2"/>
  <c r="J469" i="2"/>
  <c r="I469" i="2"/>
  <c r="P469" i="2"/>
  <c r="K469" i="2"/>
  <c r="H469" i="2"/>
  <c r="S17" i="2"/>
  <c r="Y20" i="2"/>
  <c r="AD20" i="2" s="1"/>
  <c r="X20" i="2"/>
  <c r="W20" i="2"/>
  <c r="J102" i="2"/>
  <c r="T102" i="2"/>
  <c r="R102" i="2"/>
  <c r="Q102" i="2"/>
  <c r="P102" i="2"/>
  <c r="O102" i="2"/>
  <c r="K102" i="2"/>
  <c r="T104" i="2"/>
  <c r="R107" i="2"/>
  <c r="L110" i="2"/>
  <c r="P113" i="2"/>
  <c r="R113" i="2"/>
  <c r="M113" i="2"/>
  <c r="Q113" i="2"/>
  <c r="O113" i="2"/>
  <c r="N113" i="2"/>
  <c r="K113" i="2"/>
  <c r="J113" i="2"/>
  <c r="I113" i="2"/>
  <c r="H113" i="2"/>
  <c r="T113" i="2"/>
  <c r="R142" i="2"/>
  <c r="O145" i="2"/>
  <c r="K153" i="2"/>
  <c r="P156" i="2"/>
  <c r="P159" i="2"/>
  <c r="Q199" i="2"/>
  <c r="P199" i="2"/>
  <c r="H199" i="2"/>
  <c r="S199" i="2"/>
  <c r="R199" i="2"/>
  <c r="L199" i="2"/>
  <c r="T199" i="2"/>
  <c r="N199" i="2"/>
  <c r="M199" i="2"/>
  <c r="K199" i="2"/>
  <c r="J199" i="2"/>
  <c r="J248" i="2"/>
  <c r="N347" i="2"/>
  <c r="L347" i="2"/>
  <c r="S347" i="2"/>
  <c r="Q347" i="2"/>
  <c r="T347" i="2"/>
  <c r="R347" i="2"/>
  <c r="M347" i="2"/>
  <c r="K347" i="2"/>
  <c r="P347" i="2"/>
  <c r="O347" i="2"/>
  <c r="H347" i="2"/>
  <c r="J347" i="2"/>
  <c r="I347" i="2"/>
  <c r="R421" i="2"/>
  <c r="P421" i="2"/>
  <c r="K421" i="2"/>
  <c r="I421" i="2"/>
  <c r="T421" i="2"/>
  <c r="Q421" i="2"/>
  <c r="O421" i="2"/>
  <c r="L421" i="2"/>
  <c r="J421" i="2"/>
  <c r="S421" i="2"/>
  <c r="N421" i="2"/>
  <c r="M421" i="2"/>
  <c r="H421" i="2"/>
  <c r="P587" i="2"/>
  <c r="N587" i="2"/>
  <c r="L587" i="2"/>
  <c r="J587" i="2"/>
  <c r="I587" i="2"/>
  <c r="H587" i="2"/>
  <c r="O587" i="2"/>
  <c r="K587" i="2"/>
  <c r="T587" i="2"/>
  <c r="Q587" i="2"/>
  <c r="S587" i="2"/>
  <c r="R587" i="2"/>
  <c r="M587" i="2"/>
  <c r="T108" i="2"/>
  <c r="R108" i="2"/>
  <c r="Q108" i="2"/>
  <c r="P108" i="2"/>
  <c r="O108" i="2"/>
  <c r="K108" i="2"/>
  <c r="N146" i="2"/>
  <c r="L146" i="2"/>
  <c r="K146" i="2"/>
  <c r="J146" i="2"/>
  <c r="I146" i="2"/>
  <c r="H146" i="2"/>
  <c r="T146" i="2"/>
  <c r="O146" i="2"/>
  <c r="L153" i="2"/>
  <c r="J105" i="2"/>
  <c r="I108" i="2"/>
  <c r="H111" i="2"/>
  <c r="M119" i="2"/>
  <c r="L105" i="2"/>
  <c r="I111" i="2"/>
  <c r="T117" i="2"/>
  <c r="R117" i="2"/>
  <c r="Q117" i="2"/>
  <c r="P117" i="2"/>
  <c r="O117" i="2"/>
  <c r="K117" i="2"/>
  <c r="M122" i="2"/>
  <c r="I125" i="2"/>
  <c r="K128" i="2"/>
  <c r="Q146" i="2"/>
  <c r="T157" i="2"/>
  <c r="R157" i="2"/>
  <c r="Q157" i="2"/>
  <c r="I157" i="2"/>
  <c r="P157" i="2"/>
  <c r="O157" i="2"/>
  <c r="N157" i="2"/>
  <c r="M157" i="2"/>
  <c r="H157" i="2"/>
  <c r="M164" i="2"/>
  <c r="K164" i="2"/>
  <c r="O164" i="2"/>
  <c r="N164" i="2"/>
  <c r="T164" i="2"/>
  <c r="S164" i="2"/>
  <c r="Q164" i="2"/>
  <c r="P164" i="2"/>
  <c r="L164" i="2"/>
  <c r="J164" i="2"/>
  <c r="K246" i="2"/>
  <c r="T246" i="2"/>
  <c r="P246" i="2"/>
  <c r="O246" i="2"/>
  <c r="S246" i="2"/>
  <c r="N246" i="2"/>
  <c r="M246" i="2"/>
  <c r="H246" i="2"/>
  <c r="R246" i="2"/>
  <c r="Q246" i="2"/>
  <c r="L246" i="2"/>
  <c r="J246" i="2"/>
  <c r="J108" i="2"/>
  <c r="N102" i="2"/>
  <c r="M105" i="2"/>
  <c r="L108" i="2"/>
  <c r="H117" i="2"/>
  <c r="R120" i="2"/>
  <c r="S120" i="2"/>
  <c r="Q120" i="2"/>
  <c r="P120" i="2"/>
  <c r="O120" i="2"/>
  <c r="K120" i="2"/>
  <c r="Q128" i="2"/>
  <c r="R146" i="2"/>
  <c r="J157" i="2"/>
  <c r="S162" i="2"/>
  <c r="K162" i="2"/>
  <c r="I162" i="2"/>
  <c r="H162" i="2"/>
  <c r="T162" i="2"/>
  <c r="R162" i="2"/>
  <c r="Q162" i="2"/>
  <c r="P162" i="2"/>
  <c r="L162" i="2"/>
  <c r="H164" i="2"/>
  <c r="I246" i="2"/>
  <c r="T315" i="2"/>
  <c r="S315" i="2"/>
  <c r="L315" i="2"/>
  <c r="K315" i="2"/>
  <c r="J315" i="2"/>
  <c r="I315" i="2"/>
  <c r="R315" i="2"/>
  <c r="O315" i="2"/>
  <c r="N315" i="2"/>
  <c r="M315" i="2"/>
  <c r="Q315" i="2"/>
  <c r="P315" i="2"/>
  <c r="H315" i="2"/>
  <c r="S402" i="2"/>
  <c r="R402" i="2"/>
  <c r="M402" i="2"/>
  <c r="Q402" i="2"/>
  <c r="O402" i="2"/>
  <c r="N402" i="2"/>
  <c r="J402" i="2"/>
  <c r="I402" i="2"/>
  <c r="L402" i="2"/>
  <c r="K402" i="2"/>
  <c r="H402" i="2"/>
  <c r="T402" i="2"/>
  <c r="P402" i="2"/>
  <c r="N116" i="2"/>
  <c r="R116" i="2"/>
  <c r="Q116" i="2"/>
  <c r="M116" i="2"/>
  <c r="P116" i="2"/>
  <c r="O116" i="2"/>
  <c r="K116" i="2"/>
  <c r="J116" i="2"/>
  <c r="I116" i="2"/>
  <c r="H116" i="2"/>
  <c r="T116" i="2"/>
  <c r="T111" i="2"/>
  <c r="R111" i="2"/>
  <c r="Q111" i="2"/>
  <c r="P111" i="2"/>
  <c r="O111" i="2"/>
  <c r="K111" i="2"/>
  <c r="L116" i="2"/>
  <c r="M146" i="2"/>
  <c r="Q153" i="2"/>
  <c r="T114" i="2"/>
  <c r="R114" i="2"/>
  <c r="Q114" i="2"/>
  <c r="P114" i="2"/>
  <c r="O114" i="2"/>
  <c r="K114" i="2"/>
  <c r="J122" i="2"/>
  <c r="R122" i="2"/>
  <c r="Q122" i="2"/>
  <c r="P122" i="2"/>
  <c r="O122" i="2"/>
  <c r="N122" i="2"/>
  <c r="L122" i="2"/>
  <c r="K122" i="2"/>
  <c r="I122" i="2"/>
  <c r="H122" i="2"/>
  <c r="T122" i="2"/>
  <c r="H125" i="2"/>
  <c r="Q125" i="2"/>
  <c r="T125" i="2"/>
  <c r="S125" i="2"/>
  <c r="R125" i="2"/>
  <c r="P125" i="2"/>
  <c r="O125" i="2"/>
  <c r="M125" i="2"/>
  <c r="L125" i="2"/>
  <c r="K125" i="2"/>
  <c r="J125" i="2"/>
  <c r="P146" i="2"/>
  <c r="R153" i="2"/>
  <c r="M102" i="2"/>
  <c r="S153" i="2"/>
  <c r="S102" i="2"/>
  <c r="M108" i="2"/>
  <c r="L111" i="2"/>
  <c r="J114" i="2"/>
  <c r="I117" i="2"/>
  <c r="P123" i="2"/>
  <c r="S123" i="2"/>
  <c r="R123" i="2"/>
  <c r="Q123" i="2"/>
  <c r="O123" i="2"/>
  <c r="K123" i="2"/>
  <c r="N126" i="2"/>
  <c r="T126" i="2"/>
  <c r="S126" i="2"/>
  <c r="R126" i="2"/>
  <c r="M126" i="2"/>
  <c r="H126" i="2"/>
  <c r="N136" i="2"/>
  <c r="T136" i="2"/>
  <c r="S136" i="2"/>
  <c r="R136" i="2"/>
  <c r="Q136" i="2"/>
  <c r="P136" i="2"/>
  <c r="M136" i="2"/>
  <c r="L136" i="2"/>
  <c r="K136" i="2"/>
  <c r="J136" i="2"/>
  <c r="S146" i="2"/>
  <c r="K157" i="2"/>
  <c r="I164" i="2"/>
  <c r="L207" i="2"/>
  <c r="K207" i="2"/>
  <c r="I207" i="2"/>
  <c r="S207" i="2"/>
  <c r="R207" i="2"/>
  <c r="Q207" i="2"/>
  <c r="P207" i="2"/>
  <c r="T207" i="2"/>
  <c r="O207" i="2"/>
  <c r="H207" i="2"/>
  <c r="T17" i="2"/>
  <c r="H105" i="2"/>
  <c r="T105" i="2"/>
  <c r="R105" i="2"/>
  <c r="Q105" i="2"/>
  <c r="P105" i="2"/>
  <c r="O105" i="2"/>
  <c r="K105" i="2"/>
  <c r="O128" i="2"/>
  <c r="T128" i="2"/>
  <c r="S128" i="2"/>
  <c r="R128" i="2"/>
  <c r="P128" i="2"/>
  <c r="N128" i="2"/>
  <c r="M128" i="2"/>
  <c r="L128" i="2"/>
  <c r="H128" i="2"/>
  <c r="I105" i="2"/>
  <c r="H108" i="2"/>
  <c r="L119" i="2"/>
  <c r="R119" i="2"/>
  <c r="Q119" i="2"/>
  <c r="N119" i="2"/>
  <c r="P119" i="2"/>
  <c r="O119" i="2"/>
  <c r="K119" i="2"/>
  <c r="J119" i="2"/>
  <c r="I119" i="2"/>
  <c r="H119" i="2"/>
  <c r="T119" i="2"/>
  <c r="I128" i="2"/>
  <c r="H114" i="2"/>
  <c r="L27" i="2"/>
  <c r="H27" i="2"/>
  <c r="K27" i="2"/>
  <c r="J27" i="2"/>
  <c r="I27" i="2"/>
  <c r="N86" i="2"/>
  <c r="Q86" i="2"/>
  <c r="L86" i="2"/>
  <c r="P86" i="2"/>
  <c r="O86" i="2"/>
  <c r="M86" i="2"/>
  <c r="J86" i="2"/>
  <c r="I86" i="2"/>
  <c r="H86" i="2"/>
  <c r="S86" i="2"/>
  <c r="S105" i="2"/>
  <c r="N108" i="2"/>
  <c r="M111" i="2"/>
  <c r="L114" i="2"/>
  <c r="J117" i="2"/>
  <c r="H123" i="2"/>
  <c r="I126" i="2"/>
  <c r="P133" i="2"/>
  <c r="R133" i="2"/>
  <c r="M133" i="2"/>
  <c r="Q133" i="2"/>
  <c r="O133" i="2"/>
  <c r="N133" i="2"/>
  <c r="K133" i="2"/>
  <c r="J133" i="2"/>
  <c r="I133" i="2"/>
  <c r="H133" i="2"/>
  <c r="T133" i="2"/>
  <c r="H136" i="2"/>
  <c r="T147" i="2"/>
  <c r="R147" i="2"/>
  <c r="I147" i="2"/>
  <c r="S147" i="2"/>
  <c r="Q147" i="2"/>
  <c r="P147" i="2"/>
  <c r="N147" i="2"/>
  <c r="M147" i="2"/>
  <c r="L147" i="2"/>
  <c r="K147" i="2"/>
  <c r="L157" i="2"/>
  <c r="R164" i="2"/>
  <c r="J207" i="2"/>
  <c r="Q309" i="2"/>
  <c r="R309" i="2"/>
  <c r="P309" i="2"/>
  <c r="M309" i="2"/>
  <c r="L309" i="2"/>
  <c r="O309" i="2"/>
  <c r="N309" i="2"/>
  <c r="K309" i="2"/>
  <c r="J309" i="2"/>
  <c r="T309" i="2"/>
  <c r="S309" i="2"/>
  <c r="S196" i="2"/>
  <c r="R196" i="2"/>
  <c r="T196" i="2"/>
  <c r="Q196" i="2"/>
  <c r="I196" i="2"/>
  <c r="H196" i="2"/>
  <c r="O230" i="2"/>
  <c r="R230" i="2"/>
  <c r="Q230" i="2"/>
  <c r="N230" i="2"/>
  <c r="J230" i="2"/>
  <c r="I230" i="2"/>
  <c r="S230" i="2"/>
  <c r="L230" i="2"/>
  <c r="K230" i="2"/>
  <c r="Q237" i="2"/>
  <c r="P237" i="2"/>
  <c r="O237" i="2"/>
  <c r="R237" i="2"/>
  <c r="N237" i="2"/>
  <c r="J237" i="2"/>
  <c r="T475" i="2"/>
  <c r="O475" i="2"/>
  <c r="N475" i="2"/>
  <c r="M475" i="2"/>
  <c r="K475" i="2"/>
  <c r="S475" i="2"/>
  <c r="R475" i="2"/>
  <c r="L475" i="2"/>
  <c r="J475" i="2"/>
  <c r="P475" i="2"/>
  <c r="I475" i="2"/>
  <c r="H475" i="2"/>
  <c r="T205" i="2"/>
  <c r="S205" i="2"/>
  <c r="Q205" i="2"/>
  <c r="M205" i="2"/>
  <c r="L205" i="2"/>
  <c r="R205" i="2"/>
  <c r="P205" i="2"/>
  <c r="P372" i="2"/>
  <c r="R372" i="2"/>
  <c r="Q372" i="2"/>
  <c r="O372" i="2"/>
  <c r="N372" i="2"/>
  <c r="L372" i="2"/>
  <c r="J372" i="2"/>
  <c r="I372" i="2"/>
  <c r="M372" i="2"/>
  <c r="K372" i="2"/>
  <c r="H372" i="2"/>
  <c r="H376" i="2"/>
  <c r="N376" i="2"/>
  <c r="L376" i="2"/>
  <c r="P376" i="2"/>
  <c r="O376" i="2"/>
  <c r="M376" i="2"/>
  <c r="K376" i="2"/>
  <c r="I376" i="2"/>
  <c r="T376" i="2"/>
  <c r="S376" i="2"/>
  <c r="R376" i="2"/>
  <c r="J376" i="2"/>
  <c r="S166" i="2"/>
  <c r="R166" i="2"/>
  <c r="Q166" i="2"/>
  <c r="I166" i="2"/>
  <c r="H166" i="2"/>
  <c r="S176" i="2"/>
  <c r="R176" i="2"/>
  <c r="M176" i="2"/>
  <c r="L176" i="2"/>
  <c r="S186" i="2"/>
  <c r="R186" i="2"/>
  <c r="L186" i="2"/>
  <c r="J186" i="2"/>
  <c r="I186" i="2"/>
  <c r="N196" i="2"/>
  <c r="H205" i="2"/>
  <c r="O220" i="2"/>
  <c r="K220" i="2"/>
  <c r="J220" i="2"/>
  <c r="H220" i="2"/>
  <c r="Q220" i="2"/>
  <c r="P220" i="2"/>
  <c r="N220" i="2"/>
  <c r="M220" i="2"/>
  <c r="Q231" i="2"/>
  <c r="P231" i="2"/>
  <c r="M231" i="2"/>
  <c r="L231" i="2"/>
  <c r="K231" i="2"/>
  <c r="J231" i="2"/>
  <c r="S231" i="2"/>
  <c r="M237" i="2"/>
  <c r="I249" i="2"/>
  <c r="T249" i="2"/>
  <c r="P249" i="2"/>
  <c r="O249" i="2"/>
  <c r="N249" i="2"/>
  <c r="M249" i="2"/>
  <c r="L249" i="2"/>
  <c r="K249" i="2"/>
  <c r="H296" i="2"/>
  <c r="T296" i="2"/>
  <c r="S296" i="2"/>
  <c r="O296" i="2"/>
  <c r="N296" i="2"/>
  <c r="K296" i="2"/>
  <c r="J296" i="2"/>
  <c r="R296" i="2"/>
  <c r="Q296" i="2"/>
  <c r="L296" i="2"/>
  <c r="R299" i="2"/>
  <c r="Q299" i="2"/>
  <c r="N299" i="2"/>
  <c r="M299" i="2"/>
  <c r="P299" i="2"/>
  <c r="O299" i="2"/>
  <c r="J299" i="2"/>
  <c r="I299" i="2"/>
  <c r="H299" i="2"/>
  <c r="T358" i="2"/>
  <c r="R358" i="2"/>
  <c r="Q358" i="2"/>
  <c r="S358" i="2"/>
  <c r="P358" i="2"/>
  <c r="O358" i="2"/>
  <c r="N358" i="2"/>
  <c r="L358" i="2"/>
  <c r="J358" i="2"/>
  <c r="I358" i="2"/>
  <c r="M358" i="2"/>
  <c r="H358" i="2"/>
  <c r="S372" i="2"/>
  <c r="Q376" i="2"/>
  <c r="L390" i="2"/>
  <c r="J390" i="2"/>
  <c r="I390" i="2"/>
  <c r="S390" i="2"/>
  <c r="R390" i="2"/>
  <c r="Q390" i="2"/>
  <c r="T390" i="2"/>
  <c r="P390" i="2"/>
  <c r="N390" i="2"/>
  <c r="K390" i="2"/>
  <c r="H390" i="2"/>
  <c r="T435" i="2"/>
  <c r="O435" i="2"/>
  <c r="M435" i="2"/>
  <c r="L435" i="2"/>
  <c r="Q435" i="2"/>
  <c r="P435" i="2"/>
  <c r="S435" i="2"/>
  <c r="K435" i="2"/>
  <c r="J435" i="2"/>
  <c r="I435" i="2"/>
  <c r="R208" i="2"/>
  <c r="Q208" i="2"/>
  <c r="O208" i="2"/>
  <c r="K208" i="2"/>
  <c r="J208" i="2"/>
  <c r="S208" i="2"/>
  <c r="P208" i="2"/>
  <c r="I208" i="2"/>
  <c r="L217" i="2"/>
  <c r="K217" i="2"/>
  <c r="I217" i="2"/>
  <c r="S217" i="2"/>
  <c r="P217" i="2"/>
  <c r="O217" i="2"/>
  <c r="H217" i="2"/>
  <c r="O240" i="2"/>
  <c r="Q240" i="2"/>
  <c r="P240" i="2"/>
  <c r="M240" i="2"/>
  <c r="L240" i="2"/>
  <c r="K240" i="2"/>
  <c r="J240" i="2"/>
  <c r="T240" i="2"/>
  <c r="L310" i="2"/>
  <c r="J310" i="2"/>
  <c r="M310" i="2"/>
  <c r="K310" i="2"/>
  <c r="I310" i="2"/>
  <c r="H310" i="2"/>
  <c r="S310" i="2"/>
  <c r="R310" i="2"/>
  <c r="Q310" i="2"/>
  <c r="N310" i="2"/>
  <c r="T372" i="2"/>
  <c r="J463" i="2"/>
  <c r="H463" i="2"/>
  <c r="S463" i="2"/>
  <c r="L463" i="2"/>
  <c r="I463" i="2"/>
  <c r="Q463" i="2"/>
  <c r="P463" i="2"/>
  <c r="O463" i="2"/>
  <c r="N463" i="2"/>
  <c r="K463" i="2"/>
  <c r="T463" i="2"/>
  <c r="R463" i="2"/>
  <c r="R594" i="2"/>
  <c r="P594" i="2"/>
  <c r="S594" i="2"/>
  <c r="Q594" i="2"/>
  <c r="N594" i="2"/>
  <c r="M594" i="2"/>
  <c r="L594" i="2"/>
  <c r="T594" i="2"/>
  <c r="O594" i="2"/>
  <c r="K594" i="2"/>
  <c r="J594" i="2"/>
  <c r="I594" i="2"/>
  <c r="H208" i="2"/>
  <c r="J217" i="2"/>
  <c r="H240" i="2"/>
  <c r="O310" i="2"/>
  <c r="K319" i="2"/>
  <c r="I319" i="2"/>
  <c r="T319" i="2"/>
  <c r="Q319" i="2"/>
  <c r="P319" i="2"/>
  <c r="N319" i="2"/>
  <c r="M319" i="2"/>
  <c r="L319" i="2"/>
  <c r="J319" i="2"/>
  <c r="L380" i="2"/>
  <c r="J380" i="2"/>
  <c r="Q380" i="2"/>
  <c r="T380" i="2"/>
  <c r="M380" i="2"/>
  <c r="K380" i="2"/>
  <c r="I380" i="2"/>
  <c r="H380" i="2"/>
  <c r="S380" i="2"/>
  <c r="O380" i="2"/>
  <c r="M463" i="2"/>
  <c r="H594" i="2"/>
  <c r="M643" i="2"/>
  <c r="S643" i="2"/>
  <c r="R643" i="2"/>
  <c r="Q643" i="2"/>
  <c r="L643" i="2"/>
  <c r="J643" i="2"/>
  <c r="T643" i="2"/>
  <c r="P643" i="2"/>
  <c r="O643" i="2"/>
  <c r="N643" i="2"/>
  <c r="K643" i="2"/>
  <c r="I643" i="2"/>
  <c r="H643" i="2"/>
  <c r="T568" i="2"/>
  <c r="L568" i="2"/>
  <c r="J568" i="2"/>
  <c r="I568" i="2"/>
  <c r="P568" i="2"/>
  <c r="O568" i="2"/>
  <c r="N568" i="2"/>
  <c r="M568" i="2"/>
  <c r="K568" i="2"/>
  <c r="S568" i="2"/>
  <c r="R568" i="2"/>
  <c r="Q568" i="2"/>
  <c r="N205" i="2"/>
  <c r="M208" i="2"/>
  <c r="N217" i="2"/>
  <c r="N240" i="2"/>
  <c r="I289" i="2"/>
  <c r="S289" i="2"/>
  <c r="R289" i="2"/>
  <c r="O289" i="2"/>
  <c r="N289" i="2"/>
  <c r="T289" i="2"/>
  <c r="Q289" i="2"/>
  <c r="L289" i="2"/>
  <c r="K289" i="2"/>
  <c r="J289" i="2"/>
  <c r="T310" i="2"/>
  <c r="L149" i="2"/>
  <c r="J149" i="2"/>
  <c r="T154" i="2"/>
  <c r="S154" i="2"/>
  <c r="K154" i="2"/>
  <c r="N166" i="2"/>
  <c r="N176" i="2"/>
  <c r="Q179" i="2"/>
  <c r="P179" i="2"/>
  <c r="L179" i="2"/>
  <c r="J179" i="2"/>
  <c r="I179" i="2"/>
  <c r="O186" i="2"/>
  <c r="Q189" i="2"/>
  <c r="P189" i="2"/>
  <c r="T189" i="2"/>
  <c r="S189" i="2"/>
  <c r="I189" i="2"/>
  <c r="H189" i="2"/>
  <c r="S202" i="2"/>
  <c r="O202" i="2"/>
  <c r="N202" i="2"/>
  <c r="P202" i="2"/>
  <c r="L202" i="2"/>
  <c r="K202" i="2"/>
  <c r="O205" i="2"/>
  <c r="N208" i="2"/>
  <c r="Q217" i="2"/>
  <c r="T220" i="2"/>
  <c r="R231" i="2"/>
  <c r="R240" i="2"/>
  <c r="S249" i="2"/>
  <c r="S264" i="2"/>
  <c r="T264" i="2"/>
  <c r="R264" i="2"/>
  <c r="N264" i="2"/>
  <c r="M264" i="2"/>
  <c r="L264" i="2"/>
  <c r="K264" i="2"/>
  <c r="J264" i="2"/>
  <c r="I264" i="2"/>
  <c r="H289" i="2"/>
  <c r="L300" i="2"/>
  <c r="J300" i="2"/>
  <c r="I300" i="2"/>
  <c r="N300" i="2"/>
  <c r="M300" i="2"/>
  <c r="K300" i="2"/>
  <c r="H300" i="2"/>
  <c r="R300" i="2"/>
  <c r="Q300" i="2"/>
  <c r="P300" i="2"/>
  <c r="O300" i="2"/>
  <c r="R319" i="2"/>
  <c r="J323" i="2"/>
  <c r="H323" i="2"/>
  <c r="S323" i="2"/>
  <c r="T323" i="2"/>
  <c r="O323" i="2"/>
  <c r="N323" i="2"/>
  <c r="K323" i="2"/>
  <c r="I323" i="2"/>
  <c r="P323" i="2"/>
  <c r="M323" i="2"/>
  <c r="L323" i="2"/>
  <c r="R380" i="2"/>
  <c r="T385" i="2"/>
  <c r="M385" i="2"/>
  <c r="S385" i="2"/>
  <c r="Q385" i="2"/>
  <c r="O385" i="2"/>
  <c r="N385" i="2"/>
  <c r="J385" i="2"/>
  <c r="I385" i="2"/>
  <c r="P385" i="2"/>
  <c r="K385" i="2"/>
  <c r="H385" i="2"/>
  <c r="H396" i="2"/>
  <c r="O396" i="2"/>
  <c r="L396" i="2"/>
  <c r="J396" i="2"/>
  <c r="S396" i="2"/>
  <c r="R396" i="2"/>
  <c r="N396" i="2"/>
  <c r="M396" i="2"/>
  <c r="Q396" i="2"/>
  <c r="P396" i="2"/>
  <c r="K396" i="2"/>
  <c r="T542" i="2"/>
  <c r="R542" i="2"/>
  <c r="Q542" i="2"/>
  <c r="M542" i="2"/>
  <c r="O542" i="2"/>
  <c r="L542" i="2"/>
  <c r="K542" i="2"/>
  <c r="J542" i="2"/>
  <c r="S542" i="2"/>
  <c r="P542" i="2"/>
  <c r="N542" i="2"/>
  <c r="I542" i="2"/>
  <c r="H542" i="2"/>
  <c r="H568" i="2"/>
  <c r="H141" i="2"/>
  <c r="H149" i="2"/>
  <c r="H154" i="2"/>
  <c r="M161" i="2"/>
  <c r="N161" i="2"/>
  <c r="O166" i="2"/>
  <c r="O176" i="2"/>
  <c r="H179" i="2"/>
  <c r="P186" i="2"/>
  <c r="J189" i="2"/>
  <c r="P191" i="2"/>
  <c r="O191" i="2"/>
  <c r="M191" i="2"/>
  <c r="I191" i="2"/>
  <c r="H191" i="2"/>
  <c r="T191" i="2"/>
  <c r="R191" i="2"/>
  <c r="Q191" i="2"/>
  <c r="H202" i="2"/>
  <c r="T208" i="2"/>
  <c r="R217" i="2"/>
  <c r="T231" i="2"/>
  <c r="S240" i="2"/>
  <c r="H264" i="2"/>
  <c r="M289" i="2"/>
  <c r="S300" i="2"/>
  <c r="S319" i="2"/>
  <c r="Q323" i="2"/>
  <c r="L385" i="2"/>
  <c r="I396" i="2"/>
  <c r="J526" i="2"/>
  <c r="H526" i="2"/>
  <c r="T526" i="2"/>
  <c r="S526" i="2"/>
  <c r="O526" i="2"/>
  <c r="Q526" i="2"/>
  <c r="I526" i="2"/>
  <c r="R526" i="2"/>
  <c r="P526" i="2"/>
  <c r="N526" i="2"/>
  <c r="L526" i="2"/>
  <c r="K526" i="2"/>
  <c r="H569" i="2"/>
  <c r="T569" i="2"/>
  <c r="R569" i="2"/>
  <c r="Q569" i="2"/>
  <c r="M569" i="2"/>
  <c r="O569" i="2"/>
  <c r="L569" i="2"/>
  <c r="K569" i="2"/>
  <c r="J569" i="2"/>
  <c r="P569" i="2"/>
  <c r="I569" i="2"/>
  <c r="S569" i="2"/>
  <c r="N569" i="2"/>
  <c r="T127" i="2"/>
  <c r="I127" i="2"/>
  <c r="P166" i="2"/>
  <c r="P176" i="2"/>
  <c r="Q186" i="2"/>
  <c r="Q209" i="2"/>
  <c r="P209" i="2"/>
  <c r="R209" i="2"/>
  <c r="O209" i="2"/>
  <c r="N209" i="2"/>
  <c r="M209" i="2"/>
  <c r="T215" i="2"/>
  <c r="S215" i="2"/>
  <c r="Q215" i="2"/>
  <c r="M215" i="2"/>
  <c r="L215" i="2"/>
  <c r="P215" i="2"/>
  <c r="O215" i="2"/>
  <c r="I215" i="2"/>
  <c r="T217" i="2"/>
  <c r="P289" i="2"/>
  <c r="J506" i="2"/>
  <c r="H506" i="2"/>
  <c r="N506" i="2"/>
  <c r="L506" i="2"/>
  <c r="K506" i="2"/>
  <c r="T506" i="2"/>
  <c r="S506" i="2"/>
  <c r="P506" i="2"/>
  <c r="O506" i="2"/>
  <c r="M506" i="2"/>
  <c r="I506" i="2"/>
  <c r="R506" i="2"/>
  <c r="Q506" i="2"/>
  <c r="Q169" i="2"/>
  <c r="P169" i="2"/>
  <c r="N169" i="2"/>
  <c r="M169" i="2"/>
  <c r="L290" i="2"/>
  <c r="J290" i="2"/>
  <c r="Q290" i="2"/>
  <c r="N290" i="2"/>
  <c r="M290" i="2"/>
  <c r="K290" i="2"/>
  <c r="I290" i="2"/>
  <c r="T290" i="2"/>
  <c r="S290" i="2"/>
  <c r="R290" i="2"/>
  <c r="P290" i="2"/>
  <c r="R301" i="2"/>
  <c r="P301" i="2"/>
  <c r="S301" i="2"/>
  <c r="T301" i="2"/>
  <c r="M301" i="2"/>
  <c r="L301" i="2"/>
  <c r="I301" i="2"/>
  <c r="H301" i="2"/>
  <c r="Q301" i="2"/>
  <c r="O301" i="2"/>
  <c r="J301" i="2"/>
  <c r="S339" i="2"/>
  <c r="Q339" i="2"/>
  <c r="P339" i="2"/>
  <c r="O339" i="2"/>
  <c r="N339" i="2"/>
  <c r="M339" i="2"/>
  <c r="K339" i="2"/>
  <c r="I339" i="2"/>
  <c r="H339" i="2"/>
  <c r="R339" i="2"/>
  <c r="P394" i="2"/>
  <c r="N394" i="2"/>
  <c r="R394" i="2"/>
  <c r="O394" i="2"/>
  <c r="I394" i="2"/>
  <c r="Q394" i="2"/>
  <c r="M394" i="2"/>
  <c r="L394" i="2"/>
  <c r="K394" i="2"/>
  <c r="J394" i="2"/>
  <c r="H535" i="2"/>
  <c r="I535" i="2"/>
  <c r="J535" i="2"/>
  <c r="T535" i="2"/>
  <c r="S535" i="2"/>
  <c r="R535" i="2"/>
  <c r="Q535" i="2"/>
  <c r="O535" i="2"/>
  <c r="N535" i="2"/>
  <c r="M535" i="2"/>
  <c r="L535" i="2"/>
  <c r="K535" i="2"/>
  <c r="H169" i="2"/>
  <c r="T176" i="2"/>
  <c r="L187" i="2"/>
  <c r="K187" i="2"/>
  <c r="I187" i="2"/>
  <c r="T187" i="2"/>
  <c r="J187" i="2"/>
  <c r="H187" i="2"/>
  <c r="I209" i="2"/>
  <c r="J215" i="2"/>
  <c r="H218" i="2"/>
  <c r="H290" i="2"/>
  <c r="J293" i="2"/>
  <c r="H293" i="2"/>
  <c r="S293" i="2"/>
  <c r="R293" i="2"/>
  <c r="Q293" i="2"/>
  <c r="P293" i="2"/>
  <c r="O293" i="2"/>
  <c r="K293" i="2"/>
  <c r="I293" i="2"/>
  <c r="N293" i="2"/>
  <c r="K301" i="2"/>
  <c r="J339" i="2"/>
  <c r="H394" i="2"/>
  <c r="P535" i="2"/>
  <c r="H118" i="2"/>
  <c r="H121" i="2"/>
  <c r="H124" i="2"/>
  <c r="K127" i="2"/>
  <c r="H158" i="2"/>
  <c r="I169" i="2"/>
  <c r="L177" i="2"/>
  <c r="K177" i="2"/>
  <c r="I177" i="2"/>
  <c r="O177" i="2"/>
  <c r="M177" i="2"/>
  <c r="J177" i="2"/>
  <c r="M187" i="2"/>
  <c r="R198" i="2"/>
  <c r="Q198" i="2"/>
  <c r="O198" i="2"/>
  <c r="K198" i="2"/>
  <c r="J198" i="2"/>
  <c r="T198" i="2"/>
  <c r="S198" i="2"/>
  <c r="J209" i="2"/>
  <c r="K215" i="2"/>
  <c r="I218" i="2"/>
  <c r="Q227" i="2"/>
  <c r="R227" i="2"/>
  <c r="P227" i="2"/>
  <c r="N227" i="2"/>
  <c r="J227" i="2"/>
  <c r="I227" i="2"/>
  <c r="T227" i="2"/>
  <c r="S227" i="2"/>
  <c r="O227" i="2"/>
  <c r="M227" i="2"/>
  <c r="O290" i="2"/>
  <c r="L293" i="2"/>
  <c r="N301" i="2"/>
  <c r="L339" i="2"/>
  <c r="S394" i="2"/>
  <c r="T445" i="2"/>
  <c r="Q445" i="2"/>
  <c r="N445" i="2"/>
  <c r="L445" i="2"/>
  <c r="K445" i="2"/>
  <c r="S445" i="2"/>
  <c r="R445" i="2"/>
  <c r="P445" i="2"/>
  <c r="O445" i="2"/>
  <c r="M445" i="2"/>
  <c r="H445" i="2"/>
  <c r="H135" i="2"/>
  <c r="Q135" i="2"/>
  <c r="H97" i="2"/>
  <c r="H100" i="2"/>
  <c r="H103" i="2"/>
  <c r="H106" i="2"/>
  <c r="H109" i="2"/>
  <c r="H112" i="2"/>
  <c r="I115" i="2"/>
  <c r="I118" i="2"/>
  <c r="I121" i="2"/>
  <c r="I124" i="2"/>
  <c r="L127" i="2"/>
  <c r="J132" i="2"/>
  <c r="S132" i="2"/>
  <c r="J135" i="2"/>
  <c r="L138" i="2"/>
  <c r="N141" i="2"/>
  <c r="H143" i="2"/>
  <c r="O149" i="2"/>
  <c r="H151" i="2"/>
  <c r="N154" i="2"/>
  <c r="I158" i="2"/>
  <c r="S165" i="2"/>
  <c r="Q165" i="2"/>
  <c r="L165" i="2"/>
  <c r="J165" i="2"/>
  <c r="I165" i="2"/>
  <c r="J169" i="2"/>
  <c r="O171" i="2"/>
  <c r="M171" i="2"/>
  <c r="I171" i="2"/>
  <c r="H171" i="2"/>
  <c r="K171" i="2"/>
  <c r="J171" i="2"/>
  <c r="H177" i="2"/>
  <c r="R179" i="2"/>
  <c r="N187" i="2"/>
  <c r="O189" i="2"/>
  <c r="S191" i="2"/>
  <c r="H198" i="2"/>
  <c r="R202" i="2"/>
  <c r="K209" i="2"/>
  <c r="N215" i="2"/>
  <c r="H227" i="2"/>
  <c r="T258" i="2"/>
  <c r="S258" i="2"/>
  <c r="O258" i="2"/>
  <c r="N258" i="2"/>
  <c r="R258" i="2"/>
  <c r="Q258" i="2"/>
  <c r="P258" i="2"/>
  <c r="M258" i="2"/>
  <c r="I258" i="2"/>
  <c r="H258" i="2"/>
  <c r="R291" i="2"/>
  <c r="P291" i="2"/>
  <c r="T291" i="2"/>
  <c r="N291" i="2"/>
  <c r="M291" i="2"/>
  <c r="J291" i="2"/>
  <c r="I291" i="2"/>
  <c r="S291" i="2"/>
  <c r="L291" i="2"/>
  <c r="M293" i="2"/>
  <c r="T339" i="2"/>
  <c r="T394" i="2"/>
  <c r="I445" i="2"/>
  <c r="R218" i="2"/>
  <c r="Q218" i="2"/>
  <c r="O218" i="2"/>
  <c r="K218" i="2"/>
  <c r="J218" i="2"/>
  <c r="P218" i="2"/>
  <c r="N218" i="2"/>
  <c r="M218" i="2"/>
  <c r="L218" i="2"/>
  <c r="W21" i="2"/>
  <c r="I97" i="2"/>
  <c r="I100" i="2"/>
  <c r="I103" i="2"/>
  <c r="I106" i="2"/>
  <c r="I109" i="2"/>
  <c r="I112" i="2"/>
  <c r="J115" i="2"/>
  <c r="J118" i="2"/>
  <c r="J121" i="2"/>
  <c r="J124" i="2"/>
  <c r="M127" i="2"/>
  <c r="H132" i="2"/>
  <c r="K135" i="2"/>
  <c r="M138" i="2"/>
  <c r="O141" i="2"/>
  <c r="I143" i="2"/>
  <c r="P149" i="2"/>
  <c r="I151" i="2"/>
  <c r="O154" i="2"/>
  <c r="J158" i="2"/>
  <c r="O161" i="2"/>
  <c r="H165" i="2"/>
  <c r="K169" i="2"/>
  <c r="L171" i="2"/>
  <c r="N177" i="2"/>
  <c r="S179" i="2"/>
  <c r="O187" i="2"/>
  <c r="R189" i="2"/>
  <c r="S192" i="2"/>
  <c r="O192" i="2"/>
  <c r="N192" i="2"/>
  <c r="Q192" i="2"/>
  <c r="P192" i="2"/>
  <c r="I198" i="2"/>
  <c r="T202" i="2"/>
  <c r="L209" i="2"/>
  <c r="S212" i="2"/>
  <c r="O212" i="2"/>
  <c r="N212" i="2"/>
  <c r="K212" i="2"/>
  <c r="J212" i="2"/>
  <c r="R215" i="2"/>
  <c r="T218" i="2"/>
  <c r="K227" i="2"/>
  <c r="J258" i="2"/>
  <c r="H291" i="2"/>
  <c r="T293" i="2"/>
  <c r="L340" i="2"/>
  <c r="J340" i="2"/>
  <c r="S340" i="2"/>
  <c r="R340" i="2"/>
  <c r="O340" i="2"/>
  <c r="N340" i="2"/>
  <c r="T340" i="2"/>
  <c r="Q340" i="2"/>
  <c r="K340" i="2"/>
  <c r="I340" i="2"/>
  <c r="H340" i="2"/>
  <c r="T368" i="2"/>
  <c r="R368" i="2"/>
  <c r="M368" i="2"/>
  <c r="K368" i="2"/>
  <c r="S368" i="2"/>
  <c r="P368" i="2"/>
  <c r="O368" i="2"/>
  <c r="J368" i="2"/>
  <c r="I368" i="2"/>
  <c r="Q368" i="2"/>
  <c r="N368" i="2"/>
  <c r="H368" i="2"/>
  <c r="N417" i="2"/>
  <c r="L417" i="2"/>
  <c r="I417" i="2"/>
  <c r="S417" i="2"/>
  <c r="M417" i="2"/>
  <c r="R417" i="2"/>
  <c r="Q417" i="2"/>
  <c r="K417" i="2"/>
  <c r="J417" i="2"/>
  <c r="T417" i="2"/>
  <c r="H417" i="2"/>
  <c r="J423" i="2"/>
  <c r="H423" i="2"/>
  <c r="O423" i="2"/>
  <c r="S423" i="2"/>
  <c r="R423" i="2"/>
  <c r="T423" i="2"/>
  <c r="Q423" i="2"/>
  <c r="N423" i="2"/>
  <c r="L423" i="2"/>
  <c r="K423" i="2"/>
  <c r="P423" i="2"/>
  <c r="M423" i="2"/>
  <c r="J445" i="2"/>
  <c r="I619" i="2"/>
  <c r="Q619" i="2"/>
  <c r="O619" i="2"/>
  <c r="N619" i="2"/>
  <c r="J619" i="2"/>
  <c r="T619" i="2"/>
  <c r="R619" i="2"/>
  <c r="P619" i="2"/>
  <c r="M619" i="2"/>
  <c r="H619" i="2"/>
  <c r="S619" i="2"/>
  <c r="K619" i="2"/>
  <c r="L619" i="2"/>
  <c r="J127" i="2"/>
  <c r="J97" i="2"/>
  <c r="J100" i="2"/>
  <c r="J103" i="2"/>
  <c r="J106" i="2"/>
  <c r="J109" i="2"/>
  <c r="K112" i="2"/>
  <c r="K115" i="2"/>
  <c r="L124" i="2"/>
  <c r="N127" i="2"/>
  <c r="H129" i="2"/>
  <c r="I132" i="2"/>
  <c r="L135" i="2"/>
  <c r="N138" i="2"/>
  <c r="P141" i="2"/>
  <c r="J143" i="2"/>
  <c r="Q149" i="2"/>
  <c r="J151" i="2"/>
  <c r="P154" i="2"/>
  <c r="K158" i="2"/>
  <c r="L169" i="2"/>
  <c r="P177" i="2"/>
  <c r="T179" i="2"/>
  <c r="T185" i="2"/>
  <c r="S185" i="2"/>
  <c r="Q185" i="2"/>
  <c r="M185" i="2"/>
  <c r="L185" i="2"/>
  <c r="J185" i="2"/>
  <c r="I185" i="2"/>
  <c r="P187" i="2"/>
  <c r="H192" i="2"/>
  <c r="L198" i="2"/>
  <c r="S209" i="2"/>
  <c r="S216" i="2"/>
  <c r="R216" i="2"/>
  <c r="P216" i="2"/>
  <c r="O216" i="2"/>
  <c r="N216" i="2"/>
  <c r="M216" i="2"/>
  <c r="I219" i="2"/>
  <c r="R219" i="2"/>
  <c r="Q219" i="2"/>
  <c r="S219" i="2"/>
  <c r="N219" i="2"/>
  <c r="M219" i="2"/>
  <c r="H219" i="2"/>
  <c r="L227" i="2"/>
  <c r="P245" i="2"/>
  <c r="O245" i="2"/>
  <c r="N245" i="2"/>
  <c r="M245" i="2"/>
  <c r="I245" i="2"/>
  <c r="H245" i="2"/>
  <c r="R245" i="2"/>
  <c r="Q245" i="2"/>
  <c r="L245" i="2"/>
  <c r="K245" i="2"/>
  <c r="K258" i="2"/>
  <c r="K291" i="2"/>
  <c r="P294" i="2"/>
  <c r="N294" i="2"/>
  <c r="T294" i="2"/>
  <c r="S294" i="2"/>
  <c r="O294" i="2"/>
  <c r="M294" i="2"/>
  <c r="R294" i="2"/>
  <c r="Q294" i="2"/>
  <c r="J294" i="2"/>
  <c r="I294" i="2"/>
  <c r="H294" i="2"/>
  <c r="R321" i="2"/>
  <c r="P321" i="2"/>
  <c r="S321" i="2"/>
  <c r="Q321" i="2"/>
  <c r="M321" i="2"/>
  <c r="L321" i="2"/>
  <c r="T321" i="2"/>
  <c r="J321" i="2"/>
  <c r="I321" i="2"/>
  <c r="M349" i="2"/>
  <c r="K349" i="2"/>
  <c r="T349" i="2"/>
  <c r="R349" i="2"/>
  <c r="P349" i="2"/>
  <c r="O349" i="2"/>
  <c r="J349" i="2"/>
  <c r="I349" i="2"/>
  <c r="Q349" i="2"/>
  <c r="N349" i="2"/>
  <c r="L349" i="2"/>
  <c r="H349" i="2"/>
  <c r="S349" i="2"/>
  <c r="P374" i="2"/>
  <c r="N374" i="2"/>
  <c r="S374" i="2"/>
  <c r="Q374" i="2"/>
  <c r="J374" i="2"/>
  <c r="O374" i="2"/>
  <c r="M374" i="2"/>
  <c r="L374" i="2"/>
  <c r="K374" i="2"/>
  <c r="H374" i="2"/>
  <c r="I374" i="2"/>
  <c r="O417" i="2"/>
  <c r="I423" i="2"/>
  <c r="T448" i="2"/>
  <c r="R448" i="2"/>
  <c r="S448" i="2"/>
  <c r="P448" i="2"/>
  <c r="O448" i="2"/>
  <c r="Q448" i="2"/>
  <c r="N448" i="2"/>
  <c r="L448" i="2"/>
  <c r="J448" i="2"/>
  <c r="I448" i="2"/>
  <c r="M448" i="2"/>
  <c r="K448" i="2"/>
  <c r="P201" i="2"/>
  <c r="O201" i="2"/>
  <c r="M201" i="2"/>
  <c r="I201" i="2"/>
  <c r="H201" i="2"/>
  <c r="L206" i="2"/>
  <c r="R221" i="2"/>
  <c r="Q221" i="2"/>
  <c r="O221" i="2"/>
  <c r="K221" i="2"/>
  <c r="J221" i="2"/>
  <c r="P284" i="2"/>
  <c r="N284" i="2"/>
  <c r="K284" i="2"/>
  <c r="T284" i="2"/>
  <c r="S284" i="2"/>
  <c r="T325" i="2"/>
  <c r="O325" i="2"/>
  <c r="M325" i="2"/>
  <c r="S325" i="2"/>
  <c r="R325" i="2"/>
  <c r="Q325" i="2"/>
  <c r="P325" i="2"/>
  <c r="J325" i="2"/>
  <c r="I325" i="2"/>
  <c r="O352" i="2"/>
  <c r="M352" i="2"/>
  <c r="T352" i="2"/>
  <c r="Q352" i="2"/>
  <c r="P352" i="2"/>
  <c r="Q502" i="2"/>
  <c r="J502" i="2"/>
  <c r="T502" i="2"/>
  <c r="S502" i="2"/>
  <c r="R502" i="2"/>
  <c r="P502" i="2"/>
  <c r="O502" i="2"/>
  <c r="N502" i="2"/>
  <c r="L523" i="2"/>
  <c r="J523" i="2"/>
  <c r="T523" i="2"/>
  <c r="R523" i="2"/>
  <c r="Q523" i="2"/>
  <c r="M523" i="2"/>
  <c r="K523" i="2"/>
  <c r="O523" i="2"/>
  <c r="N523" i="2"/>
  <c r="I523" i="2"/>
  <c r="H523" i="2"/>
  <c r="Q267" i="2"/>
  <c r="T267" i="2"/>
  <c r="S267" i="2"/>
  <c r="N267" i="2"/>
  <c r="M267" i="2"/>
  <c r="N367" i="2"/>
  <c r="L367" i="2"/>
  <c r="O367" i="2"/>
  <c r="M367" i="2"/>
  <c r="K367" i="2"/>
  <c r="J367" i="2"/>
  <c r="H367" i="2"/>
  <c r="T375" i="2"/>
  <c r="S375" i="2"/>
  <c r="R375" i="2"/>
  <c r="Q375" i="2"/>
  <c r="P375" i="2"/>
  <c r="M375" i="2"/>
  <c r="L375" i="2"/>
  <c r="Q389" i="2"/>
  <c r="O389" i="2"/>
  <c r="J389" i="2"/>
  <c r="T389" i="2"/>
  <c r="S389" i="2"/>
  <c r="R389" i="2"/>
  <c r="P389" i="2"/>
  <c r="M389" i="2"/>
  <c r="K389" i="2"/>
  <c r="I389" i="2"/>
  <c r="S429" i="2"/>
  <c r="O429" i="2"/>
  <c r="M429" i="2"/>
  <c r="H429" i="2"/>
  <c r="T429" i="2"/>
  <c r="R429" i="2"/>
  <c r="N429" i="2"/>
  <c r="L429" i="2"/>
  <c r="J516" i="2"/>
  <c r="H516" i="2"/>
  <c r="M516" i="2"/>
  <c r="K516" i="2"/>
  <c r="O516" i="2"/>
  <c r="N516" i="2"/>
  <c r="L516" i="2"/>
  <c r="I516" i="2"/>
  <c r="R524" i="2"/>
  <c r="P524" i="2"/>
  <c r="T524" i="2"/>
  <c r="K524" i="2"/>
  <c r="I524" i="2"/>
  <c r="S524" i="2"/>
  <c r="Q524" i="2"/>
  <c r="O524" i="2"/>
  <c r="N524" i="2"/>
  <c r="L524" i="2"/>
  <c r="J524" i="2"/>
  <c r="P598" i="2"/>
  <c r="N598" i="2"/>
  <c r="M598" i="2"/>
  <c r="I598" i="2"/>
  <c r="S598" i="2"/>
  <c r="Q598" i="2"/>
  <c r="O598" i="2"/>
  <c r="L598" i="2"/>
  <c r="H598" i="2"/>
  <c r="T598" i="2"/>
  <c r="R598" i="2"/>
  <c r="K598" i="2"/>
  <c r="J598" i="2"/>
  <c r="S634" i="2"/>
  <c r="T634" i="2"/>
  <c r="L634" i="2"/>
  <c r="J634" i="2"/>
  <c r="I634" i="2"/>
  <c r="Q634" i="2"/>
  <c r="P634" i="2"/>
  <c r="O634" i="2"/>
  <c r="K634" i="2"/>
  <c r="N634" i="2"/>
  <c r="R634" i="2"/>
  <c r="M634" i="2"/>
  <c r="H634" i="2"/>
  <c r="N201" i="2"/>
  <c r="P206" i="2"/>
  <c r="M221" i="2"/>
  <c r="Q225" i="2"/>
  <c r="P225" i="2"/>
  <c r="S234" i="2"/>
  <c r="P234" i="2"/>
  <c r="O234" i="2"/>
  <c r="H267" i="2"/>
  <c r="L284" i="2"/>
  <c r="N325" i="2"/>
  <c r="K352" i="2"/>
  <c r="I367" i="2"/>
  <c r="H375" i="2"/>
  <c r="R381" i="2"/>
  <c r="P381" i="2"/>
  <c r="M381" i="2"/>
  <c r="K381" i="2"/>
  <c r="T381" i="2"/>
  <c r="Q381" i="2"/>
  <c r="O381" i="2"/>
  <c r="J381" i="2"/>
  <c r="I381" i="2"/>
  <c r="H389" i="2"/>
  <c r="Q399" i="2"/>
  <c r="P399" i="2"/>
  <c r="N399" i="2"/>
  <c r="I399" i="2"/>
  <c r="L399" i="2"/>
  <c r="K399" i="2"/>
  <c r="J399" i="2"/>
  <c r="H399" i="2"/>
  <c r="I429" i="2"/>
  <c r="J483" i="2"/>
  <c r="H483" i="2"/>
  <c r="S483" i="2"/>
  <c r="O483" i="2"/>
  <c r="N483" i="2"/>
  <c r="M483" i="2"/>
  <c r="L483" i="2"/>
  <c r="T483" i="2"/>
  <c r="R483" i="2"/>
  <c r="L502" i="2"/>
  <c r="P516" i="2"/>
  <c r="H524" i="2"/>
  <c r="S182" i="2"/>
  <c r="O182" i="2"/>
  <c r="N182" i="2"/>
  <c r="Q201" i="2"/>
  <c r="N221" i="2"/>
  <c r="H225" i="2"/>
  <c r="H234" i="2"/>
  <c r="I267" i="2"/>
  <c r="L280" i="2"/>
  <c r="J280" i="2"/>
  <c r="N280" i="2"/>
  <c r="M280" i="2"/>
  <c r="K280" i="2"/>
  <c r="I280" i="2"/>
  <c r="M284" i="2"/>
  <c r="P304" i="2"/>
  <c r="N304" i="2"/>
  <c r="S304" i="2"/>
  <c r="R304" i="2"/>
  <c r="M304" i="2"/>
  <c r="L304" i="2"/>
  <c r="H326" i="2"/>
  <c r="T326" i="2"/>
  <c r="S326" i="2"/>
  <c r="P326" i="2"/>
  <c r="O326" i="2"/>
  <c r="T328" i="2"/>
  <c r="R328" i="2"/>
  <c r="Q328" i="2"/>
  <c r="O328" i="2"/>
  <c r="P328" i="2"/>
  <c r="N328" i="2"/>
  <c r="K328" i="2"/>
  <c r="J328" i="2"/>
  <c r="T348" i="2"/>
  <c r="R348" i="2"/>
  <c r="M348" i="2"/>
  <c r="L348" i="2"/>
  <c r="K348" i="2"/>
  <c r="J348" i="2"/>
  <c r="H348" i="2"/>
  <c r="L352" i="2"/>
  <c r="P367" i="2"/>
  <c r="I375" i="2"/>
  <c r="H381" i="2"/>
  <c r="L389" i="2"/>
  <c r="M399" i="2"/>
  <c r="T415" i="2"/>
  <c r="O415" i="2"/>
  <c r="Q415" i="2"/>
  <c r="R415" i="2"/>
  <c r="P415" i="2"/>
  <c r="L415" i="2"/>
  <c r="K415" i="2"/>
  <c r="J429" i="2"/>
  <c r="P464" i="2"/>
  <c r="N464" i="2"/>
  <c r="I464" i="2"/>
  <c r="T464" i="2"/>
  <c r="M464" i="2"/>
  <c r="K464" i="2"/>
  <c r="J464" i="2"/>
  <c r="S464" i="2"/>
  <c r="R464" i="2"/>
  <c r="I483" i="2"/>
  <c r="M502" i="2"/>
  <c r="Q516" i="2"/>
  <c r="M524" i="2"/>
  <c r="Q637" i="2"/>
  <c r="T637" i="2"/>
  <c r="P637" i="2"/>
  <c r="N637" i="2"/>
  <c r="M637" i="2"/>
  <c r="I637" i="2"/>
  <c r="R637" i="2"/>
  <c r="O637" i="2"/>
  <c r="S637" i="2"/>
  <c r="H539" i="2"/>
  <c r="R539" i="2"/>
  <c r="P539" i="2"/>
  <c r="O539" i="2"/>
  <c r="K539" i="2"/>
  <c r="T539" i="2"/>
  <c r="S539" i="2"/>
  <c r="N539" i="2"/>
  <c r="M539" i="2"/>
  <c r="L539" i="2"/>
  <c r="J539" i="2"/>
  <c r="I539" i="2"/>
  <c r="J608" i="2"/>
  <c r="H608" i="2"/>
  <c r="N608" i="2"/>
  <c r="L608" i="2"/>
  <c r="K608" i="2"/>
  <c r="T608" i="2"/>
  <c r="R608" i="2"/>
  <c r="Q608" i="2"/>
  <c r="P608" i="2"/>
  <c r="S608" i="2"/>
  <c r="L267" i="2"/>
  <c r="T355" i="2"/>
  <c r="Q355" i="2"/>
  <c r="O355" i="2"/>
  <c r="K355" i="2"/>
  <c r="J355" i="2"/>
  <c r="I355" i="2"/>
  <c r="H355" i="2"/>
  <c r="S367" i="2"/>
  <c r="N375" i="2"/>
  <c r="Q429" i="2"/>
  <c r="T438" i="2"/>
  <c r="R438" i="2"/>
  <c r="Q438" i="2"/>
  <c r="P438" i="2"/>
  <c r="S438" i="2"/>
  <c r="O438" i="2"/>
  <c r="N438" i="2"/>
  <c r="M438" i="2"/>
  <c r="K438" i="2"/>
  <c r="I438" i="2"/>
  <c r="H438" i="2"/>
  <c r="J443" i="2"/>
  <c r="H443" i="2"/>
  <c r="S443" i="2"/>
  <c r="Q443" i="2"/>
  <c r="P443" i="2"/>
  <c r="O443" i="2"/>
  <c r="N443" i="2"/>
  <c r="T516" i="2"/>
  <c r="H529" i="2"/>
  <c r="Q529" i="2"/>
  <c r="J529" i="2"/>
  <c r="R529" i="2"/>
  <c r="P529" i="2"/>
  <c r="O529" i="2"/>
  <c r="N529" i="2"/>
  <c r="T529" i="2"/>
  <c r="S529" i="2"/>
  <c r="L529" i="2"/>
  <c r="K529" i="2"/>
  <c r="M608" i="2"/>
  <c r="T660" i="2"/>
  <c r="Q660" i="2"/>
  <c r="O660" i="2"/>
  <c r="N660" i="2"/>
  <c r="J660" i="2"/>
  <c r="S660" i="2"/>
  <c r="R660" i="2"/>
  <c r="P660" i="2"/>
  <c r="K660" i="2"/>
  <c r="M660" i="2"/>
  <c r="L660" i="2"/>
  <c r="I660" i="2"/>
  <c r="K236" i="2"/>
  <c r="Q236" i="2"/>
  <c r="P236" i="2"/>
  <c r="N236" i="2"/>
  <c r="I236" i="2"/>
  <c r="H236" i="2"/>
  <c r="M243" i="2"/>
  <c r="T243" i="2"/>
  <c r="P243" i="2"/>
  <c r="O243" i="2"/>
  <c r="O267" i="2"/>
  <c r="T285" i="2"/>
  <c r="S285" i="2"/>
  <c r="M285" i="2"/>
  <c r="L285" i="2"/>
  <c r="K285" i="2"/>
  <c r="J285" i="2"/>
  <c r="H316" i="2"/>
  <c r="I316" i="2"/>
  <c r="T316" i="2"/>
  <c r="S316" i="2"/>
  <c r="O316" i="2"/>
  <c r="N316" i="2"/>
  <c r="K316" i="2"/>
  <c r="J316" i="2"/>
  <c r="J333" i="2"/>
  <c r="H333" i="2"/>
  <c r="O333" i="2"/>
  <c r="M333" i="2"/>
  <c r="T333" i="2"/>
  <c r="S333" i="2"/>
  <c r="P333" i="2"/>
  <c r="N333" i="2"/>
  <c r="T338" i="2"/>
  <c r="R338" i="2"/>
  <c r="K338" i="2"/>
  <c r="I338" i="2"/>
  <c r="Q338" i="2"/>
  <c r="P338" i="2"/>
  <c r="L355" i="2"/>
  <c r="T367" i="2"/>
  <c r="O375" i="2"/>
  <c r="K382" i="2"/>
  <c r="T382" i="2"/>
  <c r="O382" i="2"/>
  <c r="L382" i="2"/>
  <c r="J382" i="2"/>
  <c r="I382" i="2"/>
  <c r="H382" i="2"/>
  <c r="L430" i="2"/>
  <c r="J430" i="2"/>
  <c r="Q430" i="2"/>
  <c r="O430" i="2"/>
  <c r="N430" i="2"/>
  <c r="R430" i="2"/>
  <c r="P430" i="2"/>
  <c r="M430" i="2"/>
  <c r="K430" i="2"/>
  <c r="H430" i="2"/>
  <c r="J438" i="2"/>
  <c r="I443" i="2"/>
  <c r="H456" i="2"/>
  <c r="M456" i="2"/>
  <c r="K456" i="2"/>
  <c r="T456" i="2"/>
  <c r="R456" i="2"/>
  <c r="Q456" i="2"/>
  <c r="N456" i="2"/>
  <c r="L456" i="2"/>
  <c r="I529" i="2"/>
  <c r="O608" i="2"/>
  <c r="H660" i="2"/>
  <c r="L400" i="2"/>
  <c r="J400" i="2"/>
  <c r="R400" i="2"/>
  <c r="S400" i="2"/>
  <c r="P400" i="2"/>
  <c r="O400" i="2"/>
  <c r="K400" i="2"/>
  <c r="I400" i="2"/>
  <c r="T465" i="2"/>
  <c r="O465" i="2"/>
  <c r="N465" i="2"/>
  <c r="H465" i="2"/>
  <c r="S465" i="2"/>
  <c r="R465" i="2"/>
  <c r="Q465" i="2"/>
  <c r="M465" i="2"/>
  <c r="K465" i="2"/>
  <c r="J465" i="2"/>
  <c r="T488" i="2"/>
  <c r="R488" i="2"/>
  <c r="M488" i="2"/>
  <c r="S488" i="2"/>
  <c r="N488" i="2"/>
  <c r="Q488" i="2"/>
  <c r="P488" i="2"/>
  <c r="O488" i="2"/>
  <c r="L488" i="2"/>
  <c r="K488" i="2"/>
  <c r="I488" i="2"/>
  <c r="H488" i="2"/>
  <c r="J496" i="2"/>
  <c r="H496" i="2"/>
  <c r="T496" i="2"/>
  <c r="R496" i="2"/>
  <c r="Q496" i="2"/>
  <c r="M496" i="2"/>
  <c r="L496" i="2"/>
  <c r="S496" i="2"/>
  <c r="P496" i="2"/>
  <c r="O496" i="2"/>
  <c r="N496" i="2"/>
  <c r="H499" i="2"/>
  <c r="T499" i="2"/>
  <c r="S499" i="2"/>
  <c r="O499" i="2"/>
  <c r="Q499" i="2"/>
  <c r="L499" i="2"/>
  <c r="J499" i="2"/>
  <c r="P499" i="2"/>
  <c r="N499" i="2"/>
  <c r="H661" i="2"/>
  <c r="N661" i="2"/>
  <c r="M661" i="2"/>
  <c r="K661" i="2"/>
  <c r="J661" i="2"/>
  <c r="I661" i="2"/>
  <c r="R661" i="2"/>
  <c r="Q661" i="2"/>
  <c r="P661" i="2"/>
  <c r="O661" i="2"/>
  <c r="L661" i="2"/>
  <c r="T661" i="2"/>
  <c r="H400" i="2"/>
  <c r="R461" i="2"/>
  <c r="P461" i="2"/>
  <c r="K461" i="2"/>
  <c r="N461" i="2"/>
  <c r="L461" i="2"/>
  <c r="M461" i="2"/>
  <c r="J461" i="2"/>
  <c r="I461" i="2"/>
  <c r="H461" i="2"/>
  <c r="I465" i="2"/>
  <c r="J488" i="2"/>
  <c r="I496" i="2"/>
  <c r="I499" i="2"/>
  <c r="S661" i="2"/>
  <c r="N712" i="2"/>
  <c r="L712" i="2"/>
  <c r="J712" i="2"/>
  <c r="T712" i="2"/>
  <c r="P712" i="2"/>
  <c r="S712" i="2"/>
  <c r="M712" i="2"/>
  <c r="K712" i="2"/>
  <c r="I712" i="2"/>
  <c r="R712" i="2"/>
  <c r="Q712" i="2"/>
  <c r="O712" i="2"/>
  <c r="H712" i="2"/>
  <c r="S172" i="2"/>
  <c r="O172" i="2"/>
  <c r="N172" i="2"/>
  <c r="R225" i="2"/>
  <c r="R234" i="2"/>
  <c r="O236" i="2"/>
  <c r="K243" i="2"/>
  <c r="P251" i="2"/>
  <c r="O251" i="2"/>
  <c r="N251" i="2"/>
  <c r="M251" i="2"/>
  <c r="I251" i="2"/>
  <c r="H251" i="2"/>
  <c r="R281" i="2"/>
  <c r="P281" i="2"/>
  <c r="I281" i="2"/>
  <c r="T281" i="2"/>
  <c r="N281" i="2"/>
  <c r="M281" i="2"/>
  <c r="O285" i="2"/>
  <c r="Q316" i="2"/>
  <c r="R326" i="2"/>
  <c r="Q333" i="2"/>
  <c r="M338" i="2"/>
  <c r="R355" i="2"/>
  <c r="I379" i="2"/>
  <c r="R379" i="2"/>
  <c r="P379" i="2"/>
  <c r="K379" i="2"/>
  <c r="T379" i="2"/>
  <c r="Q379" i="2"/>
  <c r="O379" i="2"/>
  <c r="L379" i="2"/>
  <c r="J379" i="2"/>
  <c r="Q382" i="2"/>
  <c r="N400" i="2"/>
  <c r="R431" i="2"/>
  <c r="P431" i="2"/>
  <c r="M431" i="2"/>
  <c r="J431" i="2"/>
  <c r="H431" i="2"/>
  <c r="Q431" i="2"/>
  <c r="O431" i="2"/>
  <c r="R443" i="2"/>
  <c r="P456" i="2"/>
  <c r="Q461" i="2"/>
  <c r="P465" i="2"/>
  <c r="P497" i="2"/>
  <c r="N497" i="2"/>
  <c r="T497" i="2"/>
  <c r="M497" i="2"/>
  <c r="K497" i="2"/>
  <c r="S497" i="2"/>
  <c r="O497" i="2"/>
  <c r="L497" i="2"/>
  <c r="M499" i="2"/>
  <c r="P537" i="2"/>
  <c r="N537" i="2"/>
  <c r="Q537" i="2"/>
  <c r="T537" i="2"/>
  <c r="S537" i="2"/>
  <c r="R537" i="2"/>
  <c r="O537" i="2"/>
  <c r="L537" i="2"/>
  <c r="K537" i="2"/>
  <c r="J537" i="2"/>
  <c r="I537" i="2"/>
  <c r="H537" i="2"/>
  <c r="T541" i="2"/>
  <c r="R541" i="2"/>
  <c r="L541" i="2"/>
  <c r="J541" i="2"/>
  <c r="I541" i="2"/>
  <c r="H541" i="2"/>
  <c r="S541" i="2"/>
  <c r="Q541" i="2"/>
  <c r="H172" i="2"/>
  <c r="R188" i="2"/>
  <c r="Q188" i="2"/>
  <c r="O188" i="2"/>
  <c r="K188" i="2"/>
  <c r="J188" i="2"/>
  <c r="T195" i="2"/>
  <c r="S195" i="2"/>
  <c r="Q195" i="2"/>
  <c r="M195" i="2"/>
  <c r="L195" i="2"/>
  <c r="S225" i="2"/>
  <c r="T234" i="2"/>
  <c r="R236" i="2"/>
  <c r="L243" i="2"/>
  <c r="J251" i="2"/>
  <c r="O279" i="2"/>
  <c r="S279" i="2"/>
  <c r="R279" i="2"/>
  <c r="H281" i="2"/>
  <c r="J283" i="2"/>
  <c r="H283" i="2"/>
  <c r="R283" i="2"/>
  <c r="Q283" i="2"/>
  <c r="P283" i="2"/>
  <c r="O283" i="2"/>
  <c r="K283" i="2"/>
  <c r="I283" i="2"/>
  <c r="P285" i="2"/>
  <c r="P314" i="2"/>
  <c r="N314" i="2"/>
  <c r="M314" i="2"/>
  <c r="S314" i="2"/>
  <c r="R314" i="2"/>
  <c r="L314" i="2"/>
  <c r="K314" i="2"/>
  <c r="R316" i="2"/>
  <c r="M322" i="2"/>
  <c r="K322" i="2"/>
  <c r="N322" i="2"/>
  <c r="L322" i="2"/>
  <c r="J322" i="2"/>
  <c r="I322" i="2"/>
  <c r="R333" i="2"/>
  <c r="N338" i="2"/>
  <c r="S355" i="2"/>
  <c r="R361" i="2"/>
  <c r="P361" i="2"/>
  <c r="S361" i="2"/>
  <c r="O361" i="2"/>
  <c r="N361" i="2"/>
  <c r="K361" i="2"/>
  <c r="J361" i="2"/>
  <c r="J363" i="2"/>
  <c r="H363" i="2"/>
  <c r="Q363" i="2"/>
  <c r="O363" i="2"/>
  <c r="T363" i="2"/>
  <c r="S363" i="2"/>
  <c r="R363" i="2"/>
  <c r="N363" i="2"/>
  <c r="L363" i="2"/>
  <c r="K363" i="2"/>
  <c r="R382" i="2"/>
  <c r="Q400" i="2"/>
  <c r="I431" i="2"/>
  <c r="T443" i="2"/>
  <c r="S456" i="2"/>
  <c r="S461" i="2"/>
  <c r="R481" i="2"/>
  <c r="P481" i="2"/>
  <c r="K481" i="2"/>
  <c r="S481" i="2"/>
  <c r="Q481" i="2"/>
  <c r="O481" i="2"/>
  <c r="N481" i="2"/>
  <c r="T481" i="2"/>
  <c r="J481" i="2"/>
  <c r="I481" i="2"/>
  <c r="R499" i="2"/>
  <c r="T697" i="2"/>
  <c r="S697" i="2"/>
  <c r="R697" i="2"/>
  <c r="N697" i="2"/>
  <c r="Q697" i="2"/>
  <c r="P697" i="2"/>
  <c r="O697" i="2"/>
  <c r="K697" i="2"/>
  <c r="J697" i="2"/>
  <c r="M697" i="2"/>
  <c r="I697" i="2"/>
  <c r="L697" i="2"/>
  <c r="H697" i="2"/>
  <c r="S206" i="2"/>
  <c r="R206" i="2"/>
  <c r="S236" i="2"/>
  <c r="N243" i="2"/>
  <c r="O270" i="2"/>
  <c r="T270" i="2"/>
  <c r="S270" i="2"/>
  <c r="N270" i="2"/>
  <c r="M270" i="2"/>
  <c r="Q285" i="2"/>
  <c r="T288" i="2"/>
  <c r="R288" i="2"/>
  <c r="Q288" i="2"/>
  <c r="P288" i="2"/>
  <c r="O288" i="2"/>
  <c r="N288" i="2"/>
  <c r="J288" i="2"/>
  <c r="I288" i="2"/>
  <c r="P334" i="2"/>
  <c r="N334" i="2"/>
  <c r="M334" i="2"/>
  <c r="L334" i="2"/>
  <c r="K334" i="2"/>
  <c r="J334" i="2"/>
  <c r="H334" i="2"/>
  <c r="O338" i="2"/>
  <c r="P344" i="2"/>
  <c r="N344" i="2"/>
  <c r="Q344" i="2"/>
  <c r="M344" i="2"/>
  <c r="T344" i="2"/>
  <c r="S344" i="2"/>
  <c r="R344" i="2"/>
  <c r="L344" i="2"/>
  <c r="J344" i="2"/>
  <c r="I344" i="2"/>
  <c r="H356" i="2"/>
  <c r="T356" i="2"/>
  <c r="S356" i="2"/>
  <c r="R356" i="2"/>
  <c r="P356" i="2"/>
  <c r="N356" i="2"/>
  <c r="M356" i="2"/>
  <c r="J356" i="2"/>
  <c r="I356" i="2"/>
  <c r="S369" i="2"/>
  <c r="K369" i="2"/>
  <c r="J369" i="2"/>
  <c r="I369" i="2"/>
  <c r="H369" i="2"/>
  <c r="T369" i="2"/>
  <c r="R371" i="2"/>
  <c r="P371" i="2"/>
  <c r="O371" i="2"/>
  <c r="M371" i="2"/>
  <c r="H371" i="2"/>
  <c r="T371" i="2"/>
  <c r="S371" i="2"/>
  <c r="S382" i="2"/>
  <c r="R391" i="2"/>
  <c r="P391" i="2"/>
  <c r="S391" i="2"/>
  <c r="L391" i="2"/>
  <c r="J391" i="2"/>
  <c r="T391" i="2"/>
  <c r="Q391" i="2"/>
  <c r="O391" i="2"/>
  <c r="M391" i="2"/>
  <c r="I391" i="2"/>
  <c r="H391" i="2"/>
  <c r="T400" i="2"/>
  <c r="P419" i="2"/>
  <c r="N419" i="2"/>
  <c r="I419" i="2"/>
  <c r="S419" i="2"/>
  <c r="Q419" i="2"/>
  <c r="O419" i="2"/>
  <c r="K419" i="2"/>
  <c r="J419" i="2"/>
  <c r="T461" i="2"/>
  <c r="N500" i="2"/>
  <c r="L500" i="2"/>
  <c r="H500" i="2"/>
  <c r="J500" i="2"/>
  <c r="S500" i="2"/>
  <c r="R500" i="2"/>
  <c r="Q500" i="2"/>
  <c r="P500" i="2"/>
  <c r="O500" i="2"/>
  <c r="K500" i="2"/>
  <c r="I500" i="2"/>
  <c r="K167" i="2"/>
  <c r="I167" i="2"/>
  <c r="J172" i="2"/>
  <c r="P181" i="2"/>
  <c r="O181" i="2"/>
  <c r="M181" i="2"/>
  <c r="I181" i="2"/>
  <c r="H181" i="2"/>
  <c r="I188" i="2"/>
  <c r="I195" i="2"/>
  <c r="H206" i="2"/>
  <c r="S224" i="2"/>
  <c r="Q224" i="2"/>
  <c r="P224" i="2"/>
  <c r="N224" i="2"/>
  <c r="J224" i="2"/>
  <c r="I224" i="2"/>
  <c r="M233" i="2"/>
  <c r="Q233" i="2"/>
  <c r="P233" i="2"/>
  <c r="N233" i="2"/>
  <c r="I233" i="2"/>
  <c r="H233" i="2"/>
  <c r="T236" i="2"/>
  <c r="Q243" i="2"/>
  <c r="L251" i="2"/>
  <c r="T255" i="2"/>
  <c r="S255" i="2"/>
  <c r="O255" i="2"/>
  <c r="N255" i="2"/>
  <c r="H270" i="2"/>
  <c r="I279" i="2"/>
  <c r="K281" i="2"/>
  <c r="M283" i="2"/>
  <c r="R285" i="2"/>
  <c r="H288" i="2"/>
  <c r="I314" i="2"/>
  <c r="O322" i="2"/>
  <c r="I334" i="2"/>
  <c r="S338" i="2"/>
  <c r="S342" i="2"/>
  <c r="T342" i="2"/>
  <c r="Q342" i="2"/>
  <c r="O342" i="2"/>
  <c r="N342" i="2"/>
  <c r="K342" i="2"/>
  <c r="J342" i="2"/>
  <c r="H344" i="2"/>
  <c r="K356" i="2"/>
  <c r="I361" i="2"/>
  <c r="M363" i="2"/>
  <c r="H366" i="2"/>
  <c r="S366" i="2"/>
  <c r="Q366" i="2"/>
  <c r="T366" i="2"/>
  <c r="R366" i="2"/>
  <c r="N366" i="2"/>
  <c r="M366" i="2"/>
  <c r="L369" i="2"/>
  <c r="I371" i="2"/>
  <c r="N377" i="2"/>
  <c r="L377" i="2"/>
  <c r="O377" i="2"/>
  <c r="P377" i="2"/>
  <c r="S377" i="2"/>
  <c r="R377" i="2"/>
  <c r="K377" i="2"/>
  <c r="J377" i="2"/>
  <c r="N379" i="2"/>
  <c r="J383" i="2"/>
  <c r="H383" i="2"/>
  <c r="S383" i="2"/>
  <c r="I383" i="2"/>
  <c r="R383" i="2"/>
  <c r="P383" i="2"/>
  <c r="O383" i="2"/>
  <c r="L383" i="2"/>
  <c r="K383" i="2"/>
  <c r="K391" i="2"/>
  <c r="H419" i="2"/>
  <c r="L431" i="2"/>
  <c r="Q462" i="2"/>
  <c r="J462" i="2"/>
  <c r="P462" i="2"/>
  <c r="N462" i="2"/>
  <c r="M462" i="2"/>
  <c r="T462" i="2"/>
  <c r="S462" i="2"/>
  <c r="L462" i="2"/>
  <c r="K462" i="2"/>
  <c r="T468" i="2"/>
  <c r="R468" i="2"/>
  <c r="M468" i="2"/>
  <c r="S468" i="2"/>
  <c r="L468" i="2"/>
  <c r="J468" i="2"/>
  <c r="Q468" i="2"/>
  <c r="P468" i="2"/>
  <c r="R471" i="2"/>
  <c r="P471" i="2"/>
  <c r="K471" i="2"/>
  <c r="S471" i="2"/>
  <c r="L471" i="2"/>
  <c r="I471" i="2"/>
  <c r="H471" i="2"/>
  <c r="Q471" i="2"/>
  <c r="N471" i="2"/>
  <c r="M471" i="2"/>
  <c r="L481" i="2"/>
  <c r="J497" i="2"/>
  <c r="M500" i="2"/>
  <c r="R514" i="2"/>
  <c r="P514" i="2"/>
  <c r="L514" i="2"/>
  <c r="J514" i="2"/>
  <c r="I514" i="2"/>
  <c r="H514" i="2"/>
  <c r="T514" i="2"/>
  <c r="Q514" i="2"/>
  <c r="O514" i="2"/>
  <c r="N541" i="2"/>
  <c r="T852" i="2"/>
  <c r="S852" i="2"/>
  <c r="R852" i="2"/>
  <c r="P852" i="2"/>
  <c r="Q852" i="2"/>
  <c r="O852" i="2"/>
  <c r="K852" i="2"/>
  <c r="H852" i="2"/>
  <c r="N852" i="2"/>
  <c r="M852" i="2"/>
  <c r="L852" i="2"/>
  <c r="J852" i="2"/>
  <c r="L874" i="2"/>
  <c r="K874" i="2"/>
  <c r="T874" i="2"/>
  <c r="O874" i="2"/>
  <c r="M874" i="2"/>
  <c r="J874" i="2"/>
  <c r="S874" i="2"/>
  <c r="Q874" i="2"/>
  <c r="R874" i="2"/>
  <c r="P874" i="2"/>
  <c r="N874" i="2"/>
  <c r="I874" i="2"/>
  <c r="H874" i="2"/>
  <c r="N896" i="2"/>
  <c r="M896" i="2"/>
  <c r="L896" i="2"/>
  <c r="T896" i="2"/>
  <c r="S896" i="2"/>
  <c r="H896" i="2"/>
  <c r="I896" i="2"/>
  <c r="R896" i="2"/>
  <c r="Q896" i="2"/>
  <c r="P896" i="2"/>
  <c r="O896" i="2"/>
  <c r="K896" i="2"/>
  <c r="P1039" i="2"/>
  <c r="L1039" i="2"/>
  <c r="R1039" i="2"/>
  <c r="K1039" i="2"/>
  <c r="J1039" i="2"/>
  <c r="N1039" i="2"/>
  <c r="M1039" i="2"/>
  <c r="H1039" i="2"/>
  <c r="T1039" i="2"/>
  <c r="S1039" i="2"/>
  <c r="Q1039" i="2"/>
  <c r="I1039" i="2"/>
  <c r="T1053" i="2"/>
  <c r="P1053" i="2"/>
  <c r="H1053" i="2"/>
  <c r="Q1053" i="2"/>
  <c r="S1053" i="2"/>
  <c r="M1053" i="2"/>
  <c r="L1053" i="2"/>
  <c r="R1053" i="2"/>
  <c r="O1053" i="2"/>
  <c r="N1053" i="2"/>
  <c r="K1053" i="2"/>
  <c r="J1053" i="2"/>
  <c r="J896" i="2"/>
  <c r="O1039" i="2"/>
  <c r="I1053" i="2"/>
  <c r="T628" i="2"/>
  <c r="S628" i="2"/>
  <c r="R628" i="2"/>
  <c r="O628" i="2"/>
  <c r="M628" i="2"/>
  <c r="K628" i="2"/>
  <c r="T588" i="2"/>
  <c r="R588" i="2"/>
  <c r="Q588" i="2"/>
  <c r="M588" i="2"/>
  <c r="S588" i="2"/>
  <c r="P588" i="2"/>
  <c r="O588" i="2"/>
  <c r="N588" i="2"/>
  <c r="L588" i="2"/>
  <c r="K588" i="2"/>
  <c r="H628" i="2"/>
  <c r="N662" i="2"/>
  <c r="L662" i="2"/>
  <c r="T662" i="2"/>
  <c r="S662" i="2"/>
  <c r="Q662" i="2"/>
  <c r="O662" i="2"/>
  <c r="M662" i="2"/>
  <c r="H662" i="2"/>
  <c r="R662" i="2"/>
  <c r="P662" i="2"/>
  <c r="J662" i="2"/>
  <c r="R667" i="2"/>
  <c r="T667" i="2"/>
  <c r="S667" i="2"/>
  <c r="Q667" i="2"/>
  <c r="O667" i="2"/>
  <c r="P667" i="2"/>
  <c r="N667" i="2"/>
  <c r="M667" i="2"/>
  <c r="L667" i="2"/>
  <c r="J667" i="2"/>
  <c r="I667" i="2"/>
  <c r="H681" i="2"/>
  <c r="M681" i="2"/>
  <c r="K681" i="2"/>
  <c r="J681" i="2"/>
  <c r="S681" i="2"/>
  <c r="R681" i="2"/>
  <c r="N681" i="2"/>
  <c r="L681" i="2"/>
  <c r="T681" i="2"/>
  <c r="Q681" i="2"/>
  <c r="P681" i="2"/>
  <c r="I681" i="2"/>
  <c r="N831" i="2"/>
  <c r="M831" i="2"/>
  <c r="J831" i="2"/>
  <c r="T831" i="2"/>
  <c r="O831" i="2"/>
  <c r="K831" i="2"/>
  <c r="H831" i="2"/>
  <c r="Q831" i="2"/>
  <c r="L831" i="2"/>
  <c r="I831" i="2"/>
  <c r="H306" i="2"/>
  <c r="O306" i="2"/>
  <c r="R311" i="2"/>
  <c r="P311" i="2"/>
  <c r="K311" i="2"/>
  <c r="T329" i="2"/>
  <c r="T408" i="2"/>
  <c r="R408" i="2"/>
  <c r="H408" i="2"/>
  <c r="N427" i="2"/>
  <c r="L427" i="2"/>
  <c r="T427" i="2"/>
  <c r="R427" i="2"/>
  <c r="K427" i="2"/>
  <c r="I427" i="2"/>
  <c r="H427" i="2"/>
  <c r="L460" i="2"/>
  <c r="J460" i="2"/>
  <c r="O460" i="2"/>
  <c r="T460" i="2"/>
  <c r="R460" i="2"/>
  <c r="Q460" i="2"/>
  <c r="R494" i="2"/>
  <c r="P494" i="2"/>
  <c r="S494" i="2"/>
  <c r="L494" i="2"/>
  <c r="H494" i="2"/>
  <c r="N494" i="2"/>
  <c r="M494" i="2"/>
  <c r="K494" i="2"/>
  <c r="J494" i="2"/>
  <c r="H588" i="2"/>
  <c r="M603" i="2"/>
  <c r="Q603" i="2"/>
  <c r="O603" i="2"/>
  <c r="L603" i="2"/>
  <c r="J603" i="2"/>
  <c r="I603" i="2"/>
  <c r="T603" i="2"/>
  <c r="S603" i="2"/>
  <c r="R603" i="2"/>
  <c r="P615" i="2"/>
  <c r="N615" i="2"/>
  <c r="T615" i="2"/>
  <c r="S615" i="2"/>
  <c r="R615" i="2"/>
  <c r="Q615" i="2"/>
  <c r="J615" i="2"/>
  <c r="H615" i="2"/>
  <c r="I628" i="2"/>
  <c r="I662" i="2"/>
  <c r="H667" i="2"/>
  <c r="O681" i="2"/>
  <c r="P831" i="2"/>
  <c r="I306" i="2"/>
  <c r="T318" i="2"/>
  <c r="R318" i="2"/>
  <c r="L330" i="2"/>
  <c r="J330" i="2"/>
  <c r="M330" i="2"/>
  <c r="I330" i="2"/>
  <c r="N337" i="2"/>
  <c r="L337" i="2"/>
  <c r="P404" i="2"/>
  <c r="N404" i="2"/>
  <c r="M404" i="2"/>
  <c r="R404" i="2"/>
  <c r="O404" i="2"/>
  <c r="H404" i="2"/>
  <c r="H406" i="2"/>
  <c r="I406" i="2"/>
  <c r="M406" i="2"/>
  <c r="K406" i="2"/>
  <c r="L410" i="2"/>
  <c r="J410" i="2"/>
  <c r="S410" i="2"/>
  <c r="R410" i="2"/>
  <c r="M412" i="2"/>
  <c r="S412" i="2"/>
  <c r="N412" i="2"/>
  <c r="T425" i="2"/>
  <c r="I425" i="2"/>
  <c r="P425" i="2"/>
  <c r="N425" i="2"/>
  <c r="M425" i="2"/>
  <c r="J427" i="2"/>
  <c r="H460" i="2"/>
  <c r="J473" i="2"/>
  <c r="H473" i="2"/>
  <c r="S473" i="2"/>
  <c r="Q473" i="2"/>
  <c r="O473" i="2"/>
  <c r="I473" i="2"/>
  <c r="I494" i="2"/>
  <c r="P555" i="2"/>
  <c r="N555" i="2"/>
  <c r="M555" i="2"/>
  <c r="I555" i="2"/>
  <c r="T555" i="2"/>
  <c r="S555" i="2"/>
  <c r="R555" i="2"/>
  <c r="O555" i="2"/>
  <c r="L555" i="2"/>
  <c r="K555" i="2"/>
  <c r="J555" i="2"/>
  <c r="T572" i="2"/>
  <c r="S572" i="2"/>
  <c r="O572" i="2"/>
  <c r="R572" i="2"/>
  <c r="Q572" i="2"/>
  <c r="P572" i="2"/>
  <c r="N572" i="2"/>
  <c r="M572" i="2"/>
  <c r="T578" i="2"/>
  <c r="S578" i="2"/>
  <c r="R578" i="2"/>
  <c r="M578" i="2"/>
  <c r="K578" i="2"/>
  <c r="I588" i="2"/>
  <c r="I615" i="2"/>
  <c r="J628" i="2"/>
  <c r="K662" i="2"/>
  <c r="K667" i="2"/>
  <c r="T693" i="2"/>
  <c r="R693" i="2"/>
  <c r="J693" i="2"/>
  <c r="H693" i="2"/>
  <c r="Q693" i="2"/>
  <c r="P693" i="2"/>
  <c r="O693" i="2"/>
  <c r="M693" i="2"/>
  <c r="R831" i="2"/>
  <c r="P618" i="2"/>
  <c r="N618" i="2"/>
  <c r="H618" i="2"/>
  <c r="Q618" i="2"/>
  <c r="O618" i="2"/>
  <c r="M618" i="2"/>
  <c r="L618" i="2"/>
  <c r="K618" i="2"/>
  <c r="L628" i="2"/>
  <c r="I639" i="2"/>
  <c r="O639" i="2"/>
  <c r="M639" i="2"/>
  <c r="L639" i="2"/>
  <c r="N639" i="2"/>
  <c r="J639" i="2"/>
  <c r="H639" i="2"/>
  <c r="R639" i="2"/>
  <c r="P639" i="2"/>
  <c r="T663" i="2"/>
  <c r="R663" i="2"/>
  <c r="H663" i="2"/>
  <c r="I663" i="2"/>
  <c r="O663" i="2"/>
  <c r="M663" i="2"/>
  <c r="L663" i="2"/>
  <c r="K663" i="2"/>
  <c r="S663" i="2"/>
  <c r="T724" i="2"/>
  <c r="R724" i="2"/>
  <c r="P724" i="2"/>
  <c r="O724" i="2"/>
  <c r="K724" i="2"/>
  <c r="S724" i="2"/>
  <c r="Q724" i="2"/>
  <c r="N724" i="2"/>
  <c r="M724" i="2"/>
  <c r="I724" i="2"/>
  <c r="H724" i="2"/>
  <c r="L724" i="2"/>
  <c r="P749" i="2"/>
  <c r="N749" i="2"/>
  <c r="T749" i="2"/>
  <c r="R749" i="2"/>
  <c r="Q749" i="2"/>
  <c r="K749" i="2"/>
  <c r="J749" i="2"/>
  <c r="O749" i="2"/>
  <c r="M749" i="2"/>
  <c r="L749" i="2"/>
  <c r="H749" i="2"/>
  <c r="S831" i="2"/>
  <c r="S532" i="2"/>
  <c r="T532" i="2"/>
  <c r="Q532" i="2"/>
  <c r="O532" i="2"/>
  <c r="M532" i="2"/>
  <c r="K532" i="2"/>
  <c r="P547" i="2"/>
  <c r="N547" i="2"/>
  <c r="R547" i="2"/>
  <c r="O547" i="2"/>
  <c r="M547" i="2"/>
  <c r="I547" i="2"/>
  <c r="K547" i="2"/>
  <c r="H547" i="2"/>
  <c r="T561" i="2"/>
  <c r="R561" i="2"/>
  <c r="S561" i="2"/>
  <c r="Q561" i="2"/>
  <c r="M561" i="2"/>
  <c r="P561" i="2"/>
  <c r="O561" i="2"/>
  <c r="N561" i="2"/>
  <c r="N628" i="2"/>
  <c r="K646" i="2"/>
  <c r="S646" i="2"/>
  <c r="R646" i="2"/>
  <c r="H646" i="2"/>
  <c r="O646" i="2"/>
  <c r="M646" i="2"/>
  <c r="L646" i="2"/>
  <c r="J646" i="2"/>
  <c r="T646" i="2"/>
  <c r="Q646" i="2"/>
  <c r="N646" i="2"/>
  <c r="I646" i="2"/>
  <c r="N742" i="2"/>
  <c r="L742" i="2"/>
  <c r="M742" i="2"/>
  <c r="Q742" i="2"/>
  <c r="T742" i="2"/>
  <c r="S742" i="2"/>
  <c r="R742" i="2"/>
  <c r="K742" i="2"/>
  <c r="J742" i="2"/>
  <c r="O742" i="2"/>
  <c r="I742" i="2"/>
  <c r="H742" i="2"/>
  <c r="J303" i="2"/>
  <c r="H303" i="2"/>
  <c r="M303" i="2"/>
  <c r="L306" i="2"/>
  <c r="T308" i="2"/>
  <c r="R308" i="2"/>
  <c r="I308" i="2"/>
  <c r="L311" i="2"/>
  <c r="J313" i="2"/>
  <c r="H313" i="2"/>
  <c r="J318" i="2"/>
  <c r="N330" i="2"/>
  <c r="J337" i="2"/>
  <c r="T365" i="2"/>
  <c r="K365" i="2"/>
  <c r="I365" i="2"/>
  <c r="K404" i="2"/>
  <c r="N406" i="2"/>
  <c r="L408" i="2"/>
  <c r="K410" i="2"/>
  <c r="J412" i="2"/>
  <c r="K425" i="2"/>
  <c r="P427" i="2"/>
  <c r="S432" i="2"/>
  <c r="Q432" i="2"/>
  <c r="L432" i="2"/>
  <c r="J432" i="2"/>
  <c r="I432" i="2"/>
  <c r="L440" i="2"/>
  <c r="J440" i="2"/>
  <c r="P440" i="2"/>
  <c r="N440" i="2"/>
  <c r="M440" i="2"/>
  <c r="P444" i="2"/>
  <c r="N444" i="2"/>
  <c r="I444" i="2"/>
  <c r="M444" i="2"/>
  <c r="K444" i="2"/>
  <c r="M460" i="2"/>
  <c r="M473" i="2"/>
  <c r="T494" i="2"/>
  <c r="T515" i="2"/>
  <c r="R515" i="2"/>
  <c r="Q515" i="2"/>
  <c r="M515" i="2"/>
  <c r="S515" i="2"/>
  <c r="L515" i="2"/>
  <c r="N515" i="2"/>
  <c r="K515" i="2"/>
  <c r="J515" i="2"/>
  <c r="I515" i="2"/>
  <c r="H532" i="2"/>
  <c r="L543" i="2"/>
  <c r="J543" i="2"/>
  <c r="O543" i="2"/>
  <c r="M543" i="2"/>
  <c r="T545" i="2"/>
  <c r="S545" i="2"/>
  <c r="O545" i="2"/>
  <c r="K545" i="2"/>
  <c r="I545" i="2"/>
  <c r="J547" i="2"/>
  <c r="J556" i="2"/>
  <c r="H556" i="2"/>
  <c r="Q556" i="2"/>
  <c r="I556" i="2"/>
  <c r="O556" i="2"/>
  <c r="M556" i="2"/>
  <c r="H561" i="2"/>
  <c r="J572" i="2"/>
  <c r="J578" i="2"/>
  <c r="P603" i="2"/>
  <c r="M615" i="2"/>
  <c r="J618" i="2"/>
  <c r="P628" i="2"/>
  <c r="Q639" i="2"/>
  <c r="P646" i="2"/>
  <c r="N663" i="2"/>
  <c r="L693" i="2"/>
  <c r="P742" i="2"/>
  <c r="S749" i="2"/>
  <c r="H254" i="2"/>
  <c r="H257" i="2"/>
  <c r="H260" i="2"/>
  <c r="I303" i="2"/>
  <c r="M306" i="2"/>
  <c r="H308" i="2"/>
  <c r="M311" i="2"/>
  <c r="I313" i="2"/>
  <c r="K318" i="2"/>
  <c r="L320" i="2"/>
  <c r="J320" i="2"/>
  <c r="S320" i="2"/>
  <c r="Q320" i="2"/>
  <c r="O330" i="2"/>
  <c r="K337" i="2"/>
  <c r="H346" i="2"/>
  <c r="K346" i="2"/>
  <c r="I346" i="2"/>
  <c r="J353" i="2"/>
  <c r="H353" i="2"/>
  <c r="H365" i="2"/>
  <c r="L404" i="2"/>
  <c r="O406" i="2"/>
  <c r="M408" i="2"/>
  <c r="M410" i="2"/>
  <c r="K412" i="2"/>
  <c r="L425" i="2"/>
  <c r="Q427" i="2"/>
  <c r="H432" i="2"/>
  <c r="P434" i="2"/>
  <c r="N434" i="2"/>
  <c r="Q434" i="2"/>
  <c r="M434" i="2"/>
  <c r="K434" i="2"/>
  <c r="H440" i="2"/>
  <c r="H444" i="2"/>
  <c r="L450" i="2"/>
  <c r="J450" i="2"/>
  <c r="O450" i="2"/>
  <c r="T450" i="2"/>
  <c r="N450" i="2"/>
  <c r="K450" i="2"/>
  <c r="I450" i="2"/>
  <c r="N460" i="2"/>
  <c r="N473" i="2"/>
  <c r="Q482" i="2"/>
  <c r="J482" i="2"/>
  <c r="M482" i="2"/>
  <c r="K482" i="2"/>
  <c r="L495" i="2"/>
  <c r="J495" i="2"/>
  <c r="I495" i="2"/>
  <c r="T495" i="2"/>
  <c r="M495" i="2"/>
  <c r="H495" i="2"/>
  <c r="H515" i="2"/>
  <c r="I532" i="2"/>
  <c r="H543" i="2"/>
  <c r="H545" i="2"/>
  <c r="L547" i="2"/>
  <c r="K556" i="2"/>
  <c r="I561" i="2"/>
  <c r="N570" i="2"/>
  <c r="L570" i="2"/>
  <c r="T570" i="2"/>
  <c r="S570" i="2"/>
  <c r="R570" i="2"/>
  <c r="Q570" i="2"/>
  <c r="P570" i="2"/>
  <c r="K572" i="2"/>
  <c r="L578" i="2"/>
  <c r="O615" i="2"/>
  <c r="R618" i="2"/>
  <c r="Q628" i="2"/>
  <c r="M633" i="2"/>
  <c r="O633" i="2"/>
  <c r="L633" i="2"/>
  <c r="S633" i="2"/>
  <c r="R633" i="2"/>
  <c r="Q633" i="2"/>
  <c r="P633" i="2"/>
  <c r="N633" i="2"/>
  <c r="K633" i="2"/>
  <c r="I633" i="2"/>
  <c r="H633" i="2"/>
  <c r="S639" i="2"/>
  <c r="P663" i="2"/>
  <c r="N693" i="2"/>
  <c r="T750" i="2"/>
  <c r="L750" i="2"/>
  <c r="S750" i="2"/>
  <c r="M750" i="2"/>
  <c r="K750" i="2"/>
  <c r="J750" i="2"/>
  <c r="I750" i="2"/>
  <c r="R750" i="2"/>
  <c r="Q750" i="2"/>
  <c r="N750" i="2"/>
  <c r="H750" i="2"/>
  <c r="P750" i="2"/>
  <c r="O750" i="2"/>
  <c r="L522" i="2"/>
  <c r="J522" i="2"/>
  <c r="I522" i="2"/>
  <c r="T522" i="2"/>
  <c r="H522" i="2"/>
  <c r="P527" i="2"/>
  <c r="N527" i="2"/>
  <c r="H527" i="2"/>
  <c r="J527" i="2"/>
  <c r="Q527" i="2"/>
  <c r="O527" i="2"/>
  <c r="M527" i="2"/>
  <c r="L527" i="2"/>
  <c r="J532" i="2"/>
  <c r="Q547" i="2"/>
  <c r="J561" i="2"/>
  <c r="K616" i="2"/>
  <c r="N616" i="2"/>
  <c r="L616" i="2"/>
  <c r="J616" i="2"/>
  <c r="H616" i="2"/>
  <c r="T616" i="2"/>
  <c r="S616" i="2"/>
  <c r="R616" i="2"/>
  <c r="Q616" i="2"/>
  <c r="P616" i="2"/>
  <c r="S618" i="2"/>
  <c r="T639" i="2"/>
  <c r="Q663" i="2"/>
  <c r="R785" i="2"/>
  <c r="M785" i="2"/>
  <c r="K785" i="2"/>
  <c r="L785" i="2"/>
  <c r="I785" i="2"/>
  <c r="H785" i="2"/>
  <c r="P785" i="2"/>
  <c r="N785" i="2"/>
  <c r="J785" i="2"/>
  <c r="T785" i="2"/>
  <c r="S785" i="2"/>
  <c r="O785" i="2"/>
  <c r="Q330" i="2"/>
  <c r="O337" i="2"/>
  <c r="R341" i="2"/>
  <c r="P341" i="2"/>
  <c r="M341" i="2"/>
  <c r="K341" i="2"/>
  <c r="L360" i="2"/>
  <c r="J360" i="2"/>
  <c r="O360" i="2"/>
  <c r="M360" i="2"/>
  <c r="N397" i="2"/>
  <c r="L397" i="2"/>
  <c r="S397" i="2"/>
  <c r="M397" i="2"/>
  <c r="S404" i="2"/>
  <c r="Q406" i="2"/>
  <c r="O408" i="2"/>
  <c r="O410" i="2"/>
  <c r="O412" i="2"/>
  <c r="H416" i="2"/>
  <c r="L416" i="2"/>
  <c r="J416" i="2"/>
  <c r="Q425" i="2"/>
  <c r="T428" i="2"/>
  <c r="R428" i="2"/>
  <c r="K428" i="2"/>
  <c r="S428" i="2"/>
  <c r="Q428" i="2"/>
  <c r="S460" i="2"/>
  <c r="R473" i="2"/>
  <c r="P515" i="2"/>
  <c r="K522" i="2"/>
  <c r="I527" i="2"/>
  <c r="L532" i="2"/>
  <c r="K543" i="2"/>
  <c r="L545" i="2"/>
  <c r="S547" i="2"/>
  <c r="T551" i="2"/>
  <c r="R551" i="2"/>
  <c r="S551" i="2"/>
  <c r="Q551" i="2"/>
  <c r="L551" i="2"/>
  <c r="K551" i="2"/>
  <c r="J551" i="2"/>
  <c r="I551" i="2"/>
  <c r="N556" i="2"/>
  <c r="K561" i="2"/>
  <c r="L573" i="2"/>
  <c r="J573" i="2"/>
  <c r="H573" i="2"/>
  <c r="O573" i="2"/>
  <c r="M573" i="2"/>
  <c r="K573" i="2"/>
  <c r="I573" i="2"/>
  <c r="T573" i="2"/>
  <c r="R573" i="2"/>
  <c r="O578" i="2"/>
  <c r="K596" i="2"/>
  <c r="J596" i="2"/>
  <c r="H596" i="2"/>
  <c r="S596" i="2"/>
  <c r="R596" i="2"/>
  <c r="N596" i="2"/>
  <c r="T596" i="2"/>
  <c r="P596" i="2"/>
  <c r="O596" i="2"/>
  <c r="M596" i="2"/>
  <c r="I599" i="2"/>
  <c r="K599" i="2"/>
  <c r="H599" i="2"/>
  <c r="R599" i="2"/>
  <c r="S599" i="2"/>
  <c r="Q599" i="2"/>
  <c r="P599" i="2"/>
  <c r="O599" i="2"/>
  <c r="N599" i="2"/>
  <c r="I616" i="2"/>
  <c r="T618" i="2"/>
  <c r="O640" i="2"/>
  <c r="T640" i="2"/>
  <c r="S640" i="2"/>
  <c r="N640" i="2"/>
  <c r="R640" i="2"/>
  <c r="Q640" i="2"/>
  <c r="L640" i="2"/>
  <c r="P640" i="2"/>
  <c r="K640" i="2"/>
  <c r="J640" i="2"/>
  <c r="P659" i="2"/>
  <c r="N659" i="2"/>
  <c r="T659" i="2"/>
  <c r="R659" i="2"/>
  <c r="O659" i="2"/>
  <c r="M659" i="2"/>
  <c r="L659" i="2"/>
  <c r="J659" i="2"/>
  <c r="R694" i="2"/>
  <c r="Q694" i="2"/>
  <c r="O694" i="2"/>
  <c r="N694" i="2"/>
  <c r="J694" i="2"/>
  <c r="M694" i="2"/>
  <c r="K694" i="2"/>
  <c r="I694" i="2"/>
  <c r="S694" i="2"/>
  <c r="P694" i="2"/>
  <c r="Q785" i="2"/>
  <c r="P689" i="2"/>
  <c r="N689" i="2"/>
  <c r="R689" i="2"/>
  <c r="O689" i="2"/>
  <c r="M689" i="2"/>
  <c r="I689" i="2"/>
  <c r="Q689" i="2"/>
  <c r="L689" i="2"/>
  <c r="S689" i="2"/>
  <c r="K689" i="2"/>
  <c r="J689" i="2"/>
  <c r="T689" i="2"/>
  <c r="K174" i="2"/>
  <c r="K184" i="2"/>
  <c r="K194" i="2"/>
  <c r="K204" i="2"/>
  <c r="K214" i="2"/>
  <c r="L254" i="2"/>
  <c r="L257" i="2"/>
  <c r="L260" i="2"/>
  <c r="K263" i="2"/>
  <c r="L266" i="2"/>
  <c r="L269" i="2"/>
  <c r="K275" i="2"/>
  <c r="O303" i="2"/>
  <c r="R306" i="2"/>
  <c r="M308" i="2"/>
  <c r="S311" i="2"/>
  <c r="N313" i="2"/>
  <c r="O318" i="2"/>
  <c r="M320" i="2"/>
  <c r="I329" i="2"/>
  <c r="S330" i="2"/>
  <c r="Q337" i="2"/>
  <c r="I341" i="2"/>
  <c r="N346" i="2"/>
  <c r="M353" i="2"/>
  <c r="I360" i="2"/>
  <c r="N365" i="2"/>
  <c r="P384" i="2"/>
  <c r="N384" i="2"/>
  <c r="S384" i="2"/>
  <c r="Q384" i="2"/>
  <c r="J384" i="2"/>
  <c r="H386" i="2"/>
  <c r="N386" i="2"/>
  <c r="L386" i="2"/>
  <c r="I397" i="2"/>
  <c r="R401" i="2"/>
  <c r="P401" i="2"/>
  <c r="K401" i="2"/>
  <c r="L401" i="2"/>
  <c r="I401" i="2"/>
  <c r="T405" i="2"/>
  <c r="Q405" i="2"/>
  <c r="S406" i="2"/>
  <c r="Q408" i="2"/>
  <c r="Q410" i="2"/>
  <c r="Q412" i="2"/>
  <c r="K416" i="2"/>
  <c r="L420" i="2"/>
  <c r="J420" i="2"/>
  <c r="M420" i="2"/>
  <c r="R420" i="2"/>
  <c r="O420" i="2"/>
  <c r="S425" i="2"/>
  <c r="I428" i="2"/>
  <c r="O432" i="2"/>
  <c r="L434" i="2"/>
  <c r="Q440" i="2"/>
  <c r="Q444" i="2"/>
  <c r="Q450" i="2"/>
  <c r="T455" i="2"/>
  <c r="O455" i="2"/>
  <c r="N455" i="2"/>
  <c r="R455" i="2"/>
  <c r="P455" i="2"/>
  <c r="M455" i="2"/>
  <c r="P474" i="2"/>
  <c r="N474" i="2"/>
  <c r="I474" i="2"/>
  <c r="T474" i="2"/>
  <c r="R474" i="2"/>
  <c r="Q474" i="2"/>
  <c r="N482" i="2"/>
  <c r="P495" i="2"/>
  <c r="T501" i="2"/>
  <c r="R501" i="2"/>
  <c r="P501" i="2"/>
  <c r="N501" i="2"/>
  <c r="M501" i="2"/>
  <c r="I501" i="2"/>
  <c r="S501" i="2"/>
  <c r="O501" i="2"/>
  <c r="K501" i="2"/>
  <c r="N522" i="2"/>
  <c r="R527" i="2"/>
  <c r="P532" i="2"/>
  <c r="P543" i="2"/>
  <c r="N545" i="2"/>
  <c r="T548" i="2"/>
  <c r="Q548" i="2"/>
  <c r="L548" i="2"/>
  <c r="J548" i="2"/>
  <c r="I548" i="2"/>
  <c r="H548" i="2"/>
  <c r="S548" i="2"/>
  <c r="R548" i="2"/>
  <c r="P548" i="2"/>
  <c r="M551" i="2"/>
  <c r="R556" i="2"/>
  <c r="H562" i="2"/>
  <c r="I562" i="2"/>
  <c r="T562" i="2"/>
  <c r="O562" i="2"/>
  <c r="N562" i="2"/>
  <c r="M562" i="2"/>
  <c r="L562" i="2"/>
  <c r="K570" i="2"/>
  <c r="P573" i="2"/>
  <c r="Q578" i="2"/>
  <c r="L596" i="2"/>
  <c r="L599" i="2"/>
  <c r="O616" i="2"/>
  <c r="I640" i="2"/>
  <c r="I659" i="2"/>
  <c r="H689" i="2"/>
  <c r="L694" i="2"/>
  <c r="M254" i="2"/>
  <c r="M257" i="2"/>
  <c r="M260" i="2"/>
  <c r="L263" i="2"/>
  <c r="M266" i="2"/>
  <c r="M269" i="2"/>
  <c r="L275" i="2"/>
  <c r="N277" i="2"/>
  <c r="L277" i="2"/>
  <c r="P303" i="2"/>
  <c r="S306" i="2"/>
  <c r="N308" i="2"/>
  <c r="T311" i="2"/>
  <c r="O313" i="2"/>
  <c r="P318" i="2"/>
  <c r="N320" i="2"/>
  <c r="J329" i="2"/>
  <c r="T330" i="2"/>
  <c r="H336" i="2"/>
  <c r="Q336" i="2"/>
  <c r="O336" i="2"/>
  <c r="R337" i="2"/>
  <c r="J341" i="2"/>
  <c r="O346" i="2"/>
  <c r="L350" i="2"/>
  <c r="J350" i="2"/>
  <c r="S350" i="2"/>
  <c r="N353" i="2"/>
  <c r="K360" i="2"/>
  <c r="O365" i="2"/>
  <c r="H384" i="2"/>
  <c r="I386" i="2"/>
  <c r="J397" i="2"/>
  <c r="H401" i="2"/>
  <c r="H405" i="2"/>
  <c r="T406" i="2"/>
  <c r="S408" i="2"/>
  <c r="T410" i="2"/>
  <c r="R412" i="2"/>
  <c r="M416" i="2"/>
  <c r="H420" i="2"/>
  <c r="H426" i="2"/>
  <c r="Q426" i="2"/>
  <c r="K426" i="2"/>
  <c r="I426" i="2"/>
  <c r="J428" i="2"/>
  <c r="P432" i="2"/>
  <c r="O434" i="2"/>
  <c r="R440" i="2"/>
  <c r="R444" i="2"/>
  <c r="R450" i="2"/>
  <c r="H455" i="2"/>
  <c r="H474" i="2"/>
  <c r="O482" i="2"/>
  <c r="Q495" i="2"/>
  <c r="H501" i="2"/>
  <c r="O522" i="2"/>
  <c r="S527" i="2"/>
  <c r="R532" i="2"/>
  <c r="Q543" i="2"/>
  <c r="P545" i="2"/>
  <c r="K548" i="2"/>
  <c r="N551" i="2"/>
  <c r="S556" i="2"/>
  <c r="J562" i="2"/>
  <c r="M570" i="2"/>
  <c r="Q573" i="2"/>
  <c r="Q596" i="2"/>
  <c r="M599" i="2"/>
  <c r="M640" i="2"/>
  <c r="K659" i="2"/>
  <c r="P669" i="2"/>
  <c r="N669" i="2"/>
  <c r="L669" i="2"/>
  <c r="S669" i="2"/>
  <c r="Q669" i="2"/>
  <c r="O669" i="2"/>
  <c r="R669" i="2"/>
  <c r="M669" i="2"/>
  <c r="T694" i="2"/>
  <c r="N734" i="2"/>
  <c r="S734" i="2"/>
  <c r="Q734" i="2"/>
  <c r="P734" i="2"/>
  <c r="K734" i="2"/>
  <c r="T734" i="2"/>
  <c r="R734" i="2"/>
  <c r="J734" i="2"/>
  <c r="O734" i="2"/>
  <c r="M734" i="2"/>
  <c r="H244" i="2"/>
  <c r="N254" i="2"/>
  <c r="N257" i="2"/>
  <c r="N260" i="2"/>
  <c r="N263" i="2"/>
  <c r="N266" i="2"/>
  <c r="N269" i="2"/>
  <c r="M275" i="2"/>
  <c r="H277" i="2"/>
  <c r="N287" i="2"/>
  <c r="L287" i="2"/>
  <c r="O287" i="2"/>
  <c r="Q303" i="2"/>
  <c r="T306" i="2"/>
  <c r="O308" i="2"/>
  <c r="P313" i="2"/>
  <c r="N317" i="2"/>
  <c r="L317" i="2"/>
  <c r="Q317" i="2"/>
  <c r="O317" i="2"/>
  <c r="Q318" i="2"/>
  <c r="O320" i="2"/>
  <c r="K329" i="2"/>
  <c r="R331" i="2"/>
  <c r="P331" i="2"/>
  <c r="S331" i="2"/>
  <c r="S337" i="2"/>
  <c r="L341" i="2"/>
  <c r="P346" i="2"/>
  <c r="O353" i="2"/>
  <c r="N360" i="2"/>
  <c r="P365" i="2"/>
  <c r="I384" i="2"/>
  <c r="J386" i="2"/>
  <c r="K397" i="2"/>
  <c r="J401" i="2"/>
  <c r="I405" i="2"/>
  <c r="N407" i="2"/>
  <c r="L407" i="2"/>
  <c r="Q407" i="2"/>
  <c r="T407" i="2"/>
  <c r="M407" i="2"/>
  <c r="K409" i="2"/>
  <c r="Q409" i="2"/>
  <c r="O409" i="2"/>
  <c r="I409" i="2"/>
  <c r="R411" i="2"/>
  <c r="P411" i="2"/>
  <c r="L411" i="2"/>
  <c r="J411" i="2"/>
  <c r="T412" i="2"/>
  <c r="N416" i="2"/>
  <c r="I420" i="2"/>
  <c r="L428" i="2"/>
  <c r="R432" i="2"/>
  <c r="R434" i="2"/>
  <c r="S440" i="2"/>
  <c r="S444" i="2"/>
  <c r="S450" i="2"/>
  <c r="J453" i="2"/>
  <c r="H453" i="2"/>
  <c r="S453" i="2"/>
  <c r="R453" i="2"/>
  <c r="Q453" i="2"/>
  <c r="I455" i="2"/>
  <c r="J474" i="2"/>
  <c r="P482" i="2"/>
  <c r="T491" i="2"/>
  <c r="R491" i="2"/>
  <c r="O491" i="2"/>
  <c r="J491" i="2"/>
  <c r="H491" i="2"/>
  <c r="R495" i="2"/>
  <c r="J501" i="2"/>
  <c r="N520" i="2"/>
  <c r="L520" i="2"/>
  <c r="R520" i="2"/>
  <c r="P520" i="2"/>
  <c r="O520" i="2"/>
  <c r="I520" i="2"/>
  <c r="P522" i="2"/>
  <c r="T527" i="2"/>
  <c r="L533" i="2"/>
  <c r="J533" i="2"/>
  <c r="N533" i="2"/>
  <c r="K533" i="2"/>
  <c r="I533" i="2"/>
  <c r="T533" i="2"/>
  <c r="S533" i="2"/>
  <c r="R533" i="2"/>
  <c r="R543" i="2"/>
  <c r="Q545" i="2"/>
  <c r="M548" i="2"/>
  <c r="O551" i="2"/>
  <c r="T556" i="2"/>
  <c r="H559" i="2"/>
  <c r="S559" i="2"/>
  <c r="T559" i="2"/>
  <c r="Q559" i="2"/>
  <c r="P559" i="2"/>
  <c r="O559" i="2"/>
  <c r="R559" i="2"/>
  <c r="N559" i="2"/>
  <c r="O570" i="2"/>
  <c r="S573" i="2"/>
  <c r="T599" i="2"/>
  <c r="S624" i="2"/>
  <c r="O624" i="2"/>
  <c r="M624" i="2"/>
  <c r="N624" i="2"/>
  <c r="K624" i="2"/>
  <c r="J624" i="2"/>
  <c r="R624" i="2"/>
  <c r="P624" i="2"/>
  <c r="Q659" i="2"/>
  <c r="H669" i="2"/>
  <c r="H734" i="2"/>
  <c r="L755" i="2"/>
  <c r="J755" i="2"/>
  <c r="H755" i="2"/>
  <c r="T755" i="2"/>
  <c r="N755" i="2"/>
  <c r="Q755" i="2"/>
  <c r="P755" i="2"/>
  <c r="I755" i="2"/>
  <c r="R755" i="2"/>
  <c r="O755" i="2"/>
  <c r="M755" i="2"/>
  <c r="K755" i="2"/>
  <c r="O254" i="2"/>
  <c r="O257" i="2"/>
  <c r="P260" i="2"/>
  <c r="O263" i="2"/>
  <c r="O266" i="2"/>
  <c r="O269" i="2"/>
  <c r="N275" i="2"/>
  <c r="R303" i="2"/>
  <c r="N307" i="2"/>
  <c r="L307" i="2"/>
  <c r="P308" i="2"/>
  <c r="Q313" i="2"/>
  <c r="S318" i="2"/>
  <c r="P320" i="2"/>
  <c r="H331" i="2"/>
  <c r="J336" i="2"/>
  <c r="T337" i="2"/>
  <c r="N341" i="2"/>
  <c r="Q346" i="2"/>
  <c r="I350" i="2"/>
  <c r="P353" i="2"/>
  <c r="N357" i="2"/>
  <c r="L357" i="2"/>
  <c r="K357" i="2"/>
  <c r="I357" i="2"/>
  <c r="P360" i="2"/>
  <c r="P364" i="2"/>
  <c r="N364" i="2"/>
  <c r="Q365" i="2"/>
  <c r="K384" i="2"/>
  <c r="K386" i="2"/>
  <c r="T388" i="2"/>
  <c r="R388" i="2"/>
  <c r="O388" i="2"/>
  <c r="H388" i="2"/>
  <c r="S392" i="2"/>
  <c r="N392" i="2"/>
  <c r="O397" i="2"/>
  <c r="M401" i="2"/>
  <c r="J405" i="2"/>
  <c r="H407" i="2"/>
  <c r="H409" i="2"/>
  <c r="H411" i="2"/>
  <c r="O416" i="2"/>
  <c r="K420" i="2"/>
  <c r="L426" i="2"/>
  <c r="M428" i="2"/>
  <c r="T432" i="2"/>
  <c r="S434" i="2"/>
  <c r="T440" i="2"/>
  <c r="T444" i="2"/>
  <c r="R451" i="2"/>
  <c r="P451" i="2"/>
  <c r="K451" i="2"/>
  <c r="H451" i="2"/>
  <c r="I453" i="2"/>
  <c r="J455" i="2"/>
  <c r="K474" i="2"/>
  <c r="R482" i="2"/>
  <c r="T485" i="2"/>
  <c r="O485" i="2"/>
  <c r="N485" i="2"/>
  <c r="R485" i="2"/>
  <c r="K485" i="2"/>
  <c r="J485" i="2"/>
  <c r="I485" i="2"/>
  <c r="H485" i="2"/>
  <c r="I491" i="2"/>
  <c r="S495" i="2"/>
  <c r="L501" i="2"/>
  <c r="H520" i="2"/>
  <c r="Q522" i="2"/>
  <c r="T528" i="2"/>
  <c r="P528" i="2"/>
  <c r="N528" i="2"/>
  <c r="M528" i="2"/>
  <c r="I528" i="2"/>
  <c r="R528" i="2"/>
  <c r="K528" i="2"/>
  <c r="H528" i="2"/>
  <c r="H533" i="2"/>
  <c r="S543" i="2"/>
  <c r="R545" i="2"/>
  <c r="N548" i="2"/>
  <c r="P551" i="2"/>
  <c r="I559" i="2"/>
  <c r="P562" i="2"/>
  <c r="R574" i="2"/>
  <c r="P574" i="2"/>
  <c r="Q574" i="2"/>
  <c r="N574" i="2"/>
  <c r="M574" i="2"/>
  <c r="I574" i="2"/>
  <c r="O600" i="2"/>
  <c r="R600" i="2"/>
  <c r="P600" i="2"/>
  <c r="K600" i="2"/>
  <c r="I600" i="2"/>
  <c r="H600" i="2"/>
  <c r="S600" i="2"/>
  <c r="Q600" i="2"/>
  <c r="N600" i="2"/>
  <c r="M600" i="2"/>
  <c r="H624" i="2"/>
  <c r="S659" i="2"/>
  <c r="I669" i="2"/>
  <c r="R676" i="2"/>
  <c r="P676" i="2"/>
  <c r="L676" i="2"/>
  <c r="J676" i="2"/>
  <c r="I676" i="2"/>
  <c r="H676" i="2"/>
  <c r="S676" i="2"/>
  <c r="Q676" i="2"/>
  <c r="T676" i="2"/>
  <c r="O676" i="2"/>
  <c r="M676" i="2"/>
  <c r="K676" i="2"/>
  <c r="J718" i="2"/>
  <c r="H718" i="2"/>
  <c r="P718" i="2"/>
  <c r="I718" i="2"/>
  <c r="Q718" i="2"/>
  <c r="O718" i="2"/>
  <c r="N718" i="2"/>
  <c r="T718" i="2"/>
  <c r="S718" i="2"/>
  <c r="R718" i="2"/>
  <c r="M718" i="2"/>
  <c r="L718" i="2"/>
  <c r="K718" i="2"/>
  <c r="I734" i="2"/>
  <c r="S755" i="2"/>
  <c r="J768" i="2"/>
  <c r="H768" i="2"/>
  <c r="R768" i="2"/>
  <c r="P768" i="2"/>
  <c r="O768" i="2"/>
  <c r="K768" i="2"/>
  <c r="I768" i="2"/>
  <c r="T768" i="2"/>
  <c r="S768" i="2"/>
  <c r="Q768" i="2"/>
  <c r="N768" i="2"/>
  <c r="M768" i="2"/>
  <c r="L685" i="2"/>
  <c r="J685" i="2"/>
  <c r="K685" i="2"/>
  <c r="S685" i="2"/>
  <c r="T685" i="2"/>
  <c r="O685" i="2"/>
  <c r="N685" i="2"/>
  <c r="H685" i="2"/>
  <c r="L695" i="2"/>
  <c r="J695" i="2"/>
  <c r="S695" i="2"/>
  <c r="R695" i="2"/>
  <c r="Q695" i="2"/>
  <c r="N695" i="2"/>
  <c r="K695" i="2"/>
  <c r="I695" i="2"/>
  <c r="H695" i="2"/>
  <c r="J728" i="2"/>
  <c r="H728" i="2"/>
  <c r="I728" i="2"/>
  <c r="K728" i="2"/>
  <c r="T728" i="2"/>
  <c r="S728" i="2"/>
  <c r="R728" i="2"/>
  <c r="L728" i="2"/>
  <c r="N732" i="2"/>
  <c r="L732" i="2"/>
  <c r="T732" i="2"/>
  <c r="P732" i="2"/>
  <c r="S732" i="2"/>
  <c r="Q732" i="2"/>
  <c r="O732" i="2"/>
  <c r="I732" i="2"/>
  <c r="N762" i="2"/>
  <c r="L762" i="2"/>
  <c r="T762" i="2"/>
  <c r="S762" i="2"/>
  <c r="R762" i="2"/>
  <c r="J762" i="2"/>
  <c r="P762" i="2"/>
  <c r="Q762" i="2"/>
  <c r="L844" i="2"/>
  <c r="K844" i="2"/>
  <c r="Q844" i="2"/>
  <c r="O844" i="2"/>
  <c r="T844" i="2"/>
  <c r="N844" i="2"/>
  <c r="I844" i="2"/>
  <c r="M844" i="2"/>
  <c r="J844" i="2"/>
  <c r="P844" i="2"/>
  <c r="H844" i="2"/>
  <c r="R885" i="2"/>
  <c r="Q885" i="2"/>
  <c r="O885" i="2"/>
  <c r="N885" i="2"/>
  <c r="L885" i="2"/>
  <c r="K885" i="2"/>
  <c r="S885" i="2"/>
  <c r="P885" i="2"/>
  <c r="T885" i="2"/>
  <c r="P664" i="2"/>
  <c r="R664" i="2"/>
  <c r="O664" i="2"/>
  <c r="N664" i="2"/>
  <c r="S664" i="2"/>
  <c r="M664" i="2"/>
  <c r="L664" i="2"/>
  <c r="H664" i="2"/>
  <c r="I685" i="2"/>
  <c r="H691" i="2"/>
  <c r="P691" i="2"/>
  <c r="M691" i="2"/>
  <c r="K691" i="2"/>
  <c r="J691" i="2"/>
  <c r="R691" i="2"/>
  <c r="Q691" i="2"/>
  <c r="S691" i="2"/>
  <c r="O691" i="2"/>
  <c r="M695" i="2"/>
  <c r="P769" i="2"/>
  <c r="N769" i="2"/>
  <c r="L769" i="2"/>
  <c r="J769" i="2"/>
  <c r="I769" i="2"/>
  <c r="M769" i="2"/>
  <c r="T769" i="2"/>
  <c r="S769" i="2"/>
  <c r="K769" i="2"/>
  <c r="P818" i="2"/>
  <c r="O818" i="2"/>
  <c r="R818" i="2"/>
  <c r="N818" i="2"/>
  <c r="H818" i="2"/>
  <c r="L818" i="2"/>
  <c r="J818" i="2"/>
  <c r="I818" i="2"/>
  <c r="T818" i="2"/>
  <c r="S818" i="2"/>
  <c r="Q818" i="2"/>
  <c r="M818" i="2"/>
  <c r="K818" i="2"/>
  <c r="R844" i="2"/>
  <c r="R564" i="2"/>
  <c r="P564" i="2"/>
  <c r="O564" i="2"/>
  <c r="Q575" i="2"/>
  <c r="M575" i="2"/>
  <c r="K575" i="2"/>
  <c r="J575" i="2"/>
  <c r="I575" i="2"/>
  <c r="J586" i="2"/>
  <c r="H586" i="2"/>
  <c r="S586" i="2"/>
  <c r="T586" i="2"/>
  <c r="R586" i="2"/>
  <c r="Q586" i="2"/>
  <c r="K606" i="2"/>
  <c r="Q606" i="2"/>
  <c r="O606" i="2"/>
  <c r="S606" i="2"/>
  <c r="P606" i="2"/>
  <c r="N606" i="2"/>
  <c r="I606" i="2"/>
  <c r="R606" i="2"/>
  <c r="M606" i="2"/>
  <c r="L606" i="2"/>
  <c r="T625" i="2"/>
  <c r="S625" i="2"/>
  <c r="O625" i="2"/>
  <c r="L625" i="2"/>
  <c r="J625" i="2"/>
  <c r="I625" i="2"/>
  <c r="H625" i="2"/>
  <c r="H638" i="2"/>
  <c r="R638" i="2"/>
  <c r="T638" i="2"/>
  <c r="Q638" i="2"/>
  <c r="P638" i="2"/>
  <c r="O638" i="2"/>
  <c r="L638" i="2"/>
  <c r="J664" i="2"/>
  <c r="T683" i="2"/>
  <c r="R683" i="2"/>
  <c r="P683" i="2"/>
  <c r="H683" i="2"/>
  <c r="S683" i="2"/>
  <c r="M683" i="2"/>
  <c r="L683" i="2"/>
  <c r="P685" i="2"/>
  <c r="L691" i="2"/>
  <c r="P695" i="2"/>
  <c r="P699" i="2"/>
  <c r="N699" i="2"/>
  <c r="O699" i="2"/>
  <c r="S699" i="2"/>
  <c r="Q699" i="2"/>
  <c r="M699" i="2"/>
  <c r="I699" i="2"/>
  <c r="T699" i="2"/>
  <c r="L705" i="2"/>
  <c r="J705" i="2"/>
  <c r="T705" i="2"/>
  <c r="S705" i="2"/>
  <c r="Q705" i="2"/>
  <c r="P705" i="2"/>
  <c r="O705" i="2"/>
  <c r="K705" i="2"/>
  <c r="I705" i="2"/>
  <c r="J708" i="2"/>
  <c r="H708" i="2"/>
  <c r="I708" i="2"/>
  <c r="T708" i="2"/>
  <c r="R708" i="2"/>
  <c r="Q708" i="2"/>
  <c r="M708" i="2"/>
  <c r="L708" i="2"/>
  <c r="K708" i="2"/>
  <c r="P708" i="2"/>
  <c r="O708" i="2"/>
  <c r="N708" i="2"/>
  <c r="O728" i="2"/>
  <c r="K732" i="2"/>
  <c r="J747" i="2"/>
  <c r="T747" i="2"/>
  <c r="P747" i="2"/>
  <c r="O747" i="2"/>
  <c r="S747" i="2"/>
  <c r="M747" i="2"/>
  <c r="L747" i="2"/>
  <c r="K747" i="2"/>
  <c r="R747" i="2"/>
  <c r="I747" i="2"/>
  <c r="H747" i="2"/>
  <c r="K762" i="2"/>
  <c r="O769" i="2"/>
  <c r="J885" i="2"/>
  <c r="N901" i="2"/>
  <c r="M901" i="2"/>
  <c r="K901" i="2"/>
  <c r="J901" i="2"/>
  <c r="I901" i="2"/>
  <c r="H901" i="2"/>
  <c r="P901" i="2"/>
  <c r="L901" i="2"/>
  <c r="Q901" i="2"/>
  <c r="S901" i="2"/>
  <c r="R901" i="2"/>
  <c r="T901" i="2"/>
  <c r="O901" i="2"/>
  <c r="N437" i="2"/>
  <c r="L437" i="2"/>
  <c r="S437" i="2"/>
  <c r="Q452" i="2"/>
  <c r="J452" i="2"/>
  <c r="T478" i="2"/>
  <c r="R478" i="2"/>
  <c r="M478" i="2"/>
  <c r="S478" i="2"/>
  <c r="L513" i="2"/>
  <c r="J513" i="2"/>
  <c r="S513" i="2"/>
  <c r="R513" i="2"/>
  <c r="N513" i="2"/>
  <c r="T521" i="2"/>
  <c r="R521" i="2"/>
  <c r="Q521" i="2"/>
  <c r="L521" i="2"/>
  <c r="H521" i="2"/>
  <c r="H564" i="2"/>
  <c r="H575" i="2"/>
  <c r="I586" i="2"/>
  <c r="H606" i="2"/>
  <c r="I609" i="2"/>
  <c r="Q609" i="2"/>
  <c r="O609" i="2"/>
  <c r="T609" i="2"/>
  <c r="N609" i="2"/>
  <c r="K625" i="2"/>
  <c r="I638" i="2"/>
  <c r="R656" i="2"/>
  <c r="Q656" i="2"/>
  <c r="M656" i="2"/>
  <c r="K656" i="2"/>
  <c r="J656" i="2"/>
  <c r="T656" i="2"/>
  <c r="S656" i="2"/>
  <c r="L656" i="2"/>
  <c r="O656" i="2"/>
  <c r="N656" i="2"/>
  <c r="I656" i="2"/>
  <c r="K664" i="2"/>
  <c r="I683" i="2"/>
  <c r="Q685" i="2"/>
  <c r="N691" i="2"/>
  <c r="T695" i="2"/>
  <c r="H699" i="2"/>
  <c r="H705" i="2"/>
  <c r="S708" i="2"/>
  <c r="P728" i="2"/>
  <c r="M732" i="2"/>
  <c r="N747" i="2"/>
  <c r="M762" i="2"/>
  <c r="Q769" i="2"/>
  <c r="L775" i="2"/>
  <c r="J775" i="2"/>
  <c r="R775" i="2"/>
  <c r="P775" i="2"/>
  <c r="O775" i="2"/>
  <c r="T775" i="2"/>
  <c r="M775" i="2"/>
  <c r="K775" i="2"/>
  <c r="Q775" i="2"/>
  <c r="N775" i="2"/>
  <c r="I775" i="2"/>
  <c r="H775" i="2"/>
  <c r="M885" i="2"/>
  <c r="N447" i="2"/>
  <c r="L447" i="2"/>
  <c r="K447" i="2"/>
  <c r="H509" i="2"/>
  <c r="P509" i="2"/>
  <c r="N509" i="2"/>
  <c r="M509" i="2"/>
  <c r="I509" i="2"/>
  <c r="Q509" i="2"/>
  <c r="L553" i="2"/>
  <c r="J553" i="2"/>
  <c r="T553" i="2"/>
  <c r="S553" i="2"/>
  <c r="O553" i="2"/>
  <c r="R553" i="2"/>
  <c r="Q553" i="2"/>
  <c r="I564" i="2"/>
  <c r="L575" i="2"/>
  <c r="K586" i="2"/>
  <c r="J606" i="2"/>
  <c r="M625" i="2"/>
  <c r="O630" i="2"/>
  <c r="P630" i="2"/>
  <c r="M630" i="2"/>
  <c r="Q630" i="2"/>
  <c r="R630" i="2"/>
  <c r="J638" i="2"/>
  <c r="Q664" i="2"/>
  <c r="L677" i="2"/>
  <c r="S677" i="2"/>
  <c r="R677" i="2"/>
  <c r="T677" i="2"/>
  <c r="Q677" i="2"/>
  <c r="M677" i="2"/>
  <c r="K677" i="2"/>
  <c r="O677" i="2"/>
  <c r="J677" i="2"/>
  <c r="I677" i="2"/>
  <c r="H677" i="2"/>
  <c r="J683" i="2"/>
  <c r="R685" i="2"/>
  <c r="T691" i="2"/>
  <c r="R696" i="2"/>
  <c r="P696" i="2"/>
  <c r="L696" i="2"/>
  <c r="M696" i="2"/>
  <c r="J696" i="2"/>
  <c r="I696" i="2"/>
  <c r="Q696" i="2"/>
  <c r="N696" i="2"/>
  <c r="K696" i="2"/>
  <c r="J699" i="2"/>
  <c r="M705" i="2"/>
  <c r="N722" i="2"/>
  <c r="L722" i="2"/>
  <c r="T722" i="2"/>
  <c r="P722" i="2"/>
  <c r="R722" i="2"/>
  <c r="Q722" i="2"/>
  <c r="O722" i="2"/>
  <c r="S722" i="2"/>
  <c r="K722" i="2"/>
  <c r="J722" i="2"/>
  <c r="I722" i="2"/>
  <c r="Q728" i="2"/>
  <c r="R732" i="2"/>
  <c r="Q747" i="2"/>
  <c r="O762" i="2"/>
  <c r="R769" i="2"/>
  <c r="O886" i="2"/>
  <c r="N886" i="2"/>
  <c r="M886" i="2"/>
  <c r="J886" i="2"/>
  <c r="H886" i="2"/>
  <c r="T886" i="2"/>
  <c r="P886" i="2"/>
  <c r="I886" i="2"/>
  <c r="S886" i="2"/>
  <c r="Q886" i="2"/>
  <c r="L886" i="2"/>
  <c r="R886" i="2"/>
  <c r="K886" i="2"/>
  <c r="S505" i="2"/>
  <c r="T505" i="2"/>
  <c r="O505" i="2"/>
  <c r="P507" i="2"/>
  <c r="N507" i="2"/>
  <c r="T507" i="2"/>
  <c r="S507" i="2"/>
  <c r="M507" i="2"/>
  <c r="O507" i="2"/>
  <c r="N540" i="2"/>
  <c r="L540" i="2"/>
  <c r="S540" i="2"/>
  <c r="P540" i="2"/>
  <c r="M540" i="2"/>
  <c r="K540" i="2"/>
  <c r="J540" i="2"/>
  <c r="N560" i="2"/>
  <c r="L560" i="2"/>
  <c r="M560" i="2"/>
  <c r="J560" i="2"/>
  <c r="I560" i="2"/>
  <c r="J564" i="2"/>
  <c r="J566" i="2"/>
  <c r="H566" i="2"/>
  <c r="R566" i="2"/>
  <c r="P566" i="2"/>
  <c r="O566" i="2"/>
  <c r="K566" i="2"/>
  <c r="N575" i="2"/>
  <c r="P582" i="2"/>
  <c r="N582" i="2"/>
  <c r="M582" i="2"/>
  <c r="I582" i="2"/>
  <c r="T582" i="2"/>
  <c r="L586" i="2"/>
  <c r="S604" i="2"/>
  <c r="T604" i="2"/>
  <c r="R604" i="2"/>
  <c r="N604" i="2"/>
  <c r="P604" i="2"/>
  <c r="M604" i="2"/>
  <c r="L604" i="2"/>
  <c r="K604" i="2"/>
  <c r="T606" i="2"/>
  <c r="J611" i="2"/>
  <c r="H611" i="2"/>
  <c r="R611" i="2"/>
  <c r="P611" i="2"/>
  <c r="O611" i="2"/>
  <c r="K611" i="2"/>
  <c r="N625" i="2"/>
  <c r="K638" i="2"/>
  <c r="H651" i="2"/>
  <c r="Q651" i="2"/>
  <c r="O651" i="2"/>
  <c r="N651" i="2"/>
  <c r="L651" i="2"/>
  <c r="J651" i="2"/>
  <c r="I651" i="2"/>
  <c r="T651" i="2"/>
  <c r="T664" i="2"/>
  <c r="K683" i="2"/>
  <c r="N692" i="2"/>
  <c r="L692" i="2"/>
  <c r="T692" i="2"/>
  <c r="S692" i="2"/>
  <c r="O692" i="2"/>
  <c r="K692" i="2"/>
  <c r="I692" i="2"/>
  <c r="H692" i="2"/>
  <c r="R692" i="2"/>
  <c r="P692" i="2"/>
  <c r="M692" i="2"/>
  <c r="J692" i="2"/>
  <c r="H696" i="2"/>
  <c r="K699" i="2"/>
  <c r="N705" i="2"/>
  <c r="H722" i="2"/>
  <c r="P729" i="2"/>
  <c r="N729" i="2"/>
  <c r="R729" i="2"/>
  <c r="T729" i="2"/>
  <c r="Q729" i="2"/>
  <c r="O729" i="2"/>
  <c r="J729" i="2"/>
  <c r="S729" i="2"/>
  <c r="L729" i="2"/>
  <c r="K729" i="2"/>
  <c r="I729" i="2"/>
  <c r="H744" i="2"/>
  <c r="S744" i="2"/>
  <c r="Q744" i="2"/>
  <c r="P744" i="2"/>
  <c r="L744" i="2"/>
  <c r="K744" i="2"/>
  <c r="T744" i="2"/>
  <c r="N744" i="2"/>
  <c r="M744" i="2"/>
  <c r="T826" i="2"/>
  <c r="O826" i="2"/>
  <c r="M826" i="2"/>
  <c r="L826" i="2"/>
  <c r="S826" i="2"/>
  <c r="R826" i="2"/>
  <c r="K826" i="2"/>
  <c r="J826" i="2"/>
  <c r="Q826" i="2"/>
  <c r="P826" i="2"/>
  <c r="N826" i="2"/>
  <c r="I826" i="2"/>
  <c r="J839" i="2"/>
  <c r="R839" i="2"/>
  <c r="P839" i="2"/>
  <c r="L839" i="2"/>
  <c r="I839" i="2"/>
  <c r="H839" i="2"/>
  <c r="T839" i="2"/>
  <c r="K839" i="2"/>
  <c r="S839" i="2"/>
  <c r="Q839" i="2"/>
  <c r="O839" i="2"/>
  <c r="N839" i="2"/>
  <c r="P424" i="2"/>
  <c r="N424" i="2"/>
  <c r="J437" i="2"/>
  <c r="J442" i="2"/>
  <c r="I447" i="2"/>
  <c r="K452" i="2"/>
  <c r="P454" i="2"/>
  <c r="N454" i="2"/>
  <c r="I454" i="2"/>
  <c r="J459" i="2"/>
  <c r="K466" i="2"/>
  <c r="J478" i="2"/>
  <c r="L480" i="2"/>
  <c r="J480" i="2"/>
  <c r="O480" i="2"/>
  <c r="H505" i="2"/>
  <c r="H507" i="2"/>
  <c r="K509" i="2"/>
  <c r="K513" i="2"/>
  <c r="K521" i="2"/>
  <c r="R534" i="2"/>
  <c r="P534" i="2"/>
  <c r="T534" i="2"/>
  <c r="S534" i="2"/>
  <c r="M534" i="2"/>
  <c r="Q534" i="2"/>
  <c r="O534" i="2"/>
  <c r="N534" i="2"/>
  <c r="H540" i="2"/>
  <c r="H549" i="2"/>
  <c r="L549" i="2"/>
  <c r="J549" i="2"/>
  <c r="I549" i="2"/>
  <c r="T549" i="2"/>
  <c r="I553" i="2"/>
  <c r="H560" i="2"/>
  <c r="K564" i="2"/>
  <c r="I566" i="2"/>
  <c r="O575" i="2"/>
  <c r="N580" i="2"/>
  <c r="L580" i="2"/>
  <c r="T580" i="2"/>
  <c r="S580" i="2"/>
  <c r="O580" i="2"/>
  <c r="H582" i="2"/>
  <c r="M586" i="2"/>
  <c r="L595" i="2"/>
  <c r="J595" i="2"/>
  <c r="I595" i="2"/>
  <c r="H604" i="2"/>
  <c r="K609" i="2"/>
  <c r="I611" i="2"/>
  <c r="P625" i="2"/>
  <c r="I630" i="2"/>
  <c r="M638" i="2"/>
  <c r="K651" i="2"/>
  <c r="L665" i="2"/>
  <c r="J665" i="2"/>
  <c r="T665" i="2"/>
  <c r="S665" i="2"/>
  <c r="Q665" i="2"/>
  <c r="P665" i="2"/>
  <c r="O665" i="2"/>
  <c r="K665" i="2"/>
  <c r="P677" i="2"/>
  <c r="N683" i="2"/>
  <c r="Q692" i="2"/>
  <c r="O696" i="2"/>
  <c r="L699" i="2"/>
  <c r="R705" i="2"/>
  <c r="M722" i="2"/>
  <c r="R726" i="2"/>
  <c r="P726" i="2"/>
  <c r="N726" i="2"/>
  <c r="M726" i="2"/>
  <c r="K726" i="2"/>
  <c r="J726" i="2"/>
  <c r="T726" i="2"/>
  <c r="S726" i="2"/>
  <c r="L726" i="2"/>
  <c r="H729" i="2"/>
  <c r="I744" i="2"/>
  <c r="H826" i="2"/>
  <c r="M839" i="2"/>
  <c r="P859" i="2"/>
  <c r="O859" i="2"/>
  <c r="N859" i="2"/>
  <c r="H859" i="2"/>
  <c r="Q859" i="2"/>
  <c r="L859" i="2"/>
  <c r="K859" i="2"/>
  <c r="T859" i="2"/>
  <c r="J859" i="2"/>
  <c r="I859" i="2"/>
  <c r="S859" i="2"/>
  <c r="R859" i="2"/>
  <c r="M859" i="2"/>
  <c r="T730" i="2"/>
  <c r="S730" i="2"/>
  <c r="R730" i="2"/>
  <c r="Q730" i="2"/>
  <c r="O730" i="2"/>
  <c r="N730" i="2"/>
  <c r="M730" i="2"/>
  <c r="J730" i="2"/>
  <c r="I730" i="2"/>
  <c r="L794" i="2"/>
  <c r="N794" i="2"/>
  <c r="K794" i="2"/>
  <c r="T794" i="2"/>
  <c r="R794" i="2"/>
  <c r="Q794" i="2"/>
  <c r="J794" i="2"/>
  <c r="I794" i="2"/>
  <c r="S794" i="2"/>
  <c r="P794" i="2"/>
  <c r="O794" i="2"/>
  <c r="H794" i="2"/>
  <c r="T882" i="2"/>
  <c r="S882" i="2"/>
  <c r="L882" i="2"/>
  <c r="J882" i="2"/>
  <c r="M882" i="2"/>
  <c r="I882" i="2"/>
  <c r="H882" i="2"/>
  <c r="R882" i="2"/>
  <c r="Q882" i="2"/>
  <c r="P882" i="2"/>
  <c r="O882" i="2"/>
  <c r="N882" i="2"/>
  <c r="K882" i="2"/>
  <c r="N752" i="2"/>
  <c r="L752" i="2"/>
  <c r="Q752" i="2"/>
  <c r="P752" i="2"/>
  <c r="H752" i="2"/>
  <c r="O752" i="2"/>
  <c r="M752" i="2"/>
  <c r="K752" i="2"/>
  <c r="J752" i="2"/>
  <c r="I752" i="2"/>
  <c r="M794" i="2"/>
  <c r="J797" i="2"/>
  <c r="N797" i="2"/>
  <c r="L797" i="2"/>
  <c r="S797" i="2"/>
  <c r="R797" i="2"/>
  <c r="I797" i="2"/>
  <c r="Q797" i="2"/>
  <c r="P797" i="2"/>
  <c r="O797" i="2"/>
  <c r="M797" i="2"/>
  <c r="T797" i="2"/>
  <c r="T812" i="2"/>
  <c r="S812" i="2"/>
  <c r="Q812" i="2"/>
  <c r="L812" i="2"/>
  <c r="J812" i="2"/>
  <c r="O812" i="2"/>
  <c r="M812" i="2"/>
  <c r="K812" i="2"/>
  <c r="H812" i="2"/>
  <c r="R812" i="2"/>
  <c r="P812" i="2"/>
  <c r="N812" i="2"/>
  <c r="I812" i="2"/>
  <c r="N856" i="2"/>
  <c r="M856" i="2"/>
  <c r="L856" i="2"/>
  <c r="Q856" i="2"/>
  <c r="O856" i="2"/>
  <c r="T856" i="2"/>
  <c r="P856" i="2"/>
  <c r="S856" i="2"/>
  <c r="R856" i="2"/>
  <c r="K856" i="2"/>
  <c r="J856" i="2"/>
  <c r="I856" i="2"/>
  <c r="H856" i="2"/>
  <c r="N327" i="2"/>
  <c r="L327" i="2"/>
  <c r="P354" i="2"/>
  <c r="N354" i="2"/>
  <c r="J373" i="2"/>
  <c r="H373" i="2"/>
  <c r="T378" i="2"/>
  <c r="R378" i="2"/>
  <c r="L424" i="2"/>
  <c r="H436" i="2"/>
  <c r="K436" i="2"/>
  <c r="Q437" i="2"/>
  <c r="L439" i="2"/>
  <c r="P442" i="2"/>
  <c r="Q447" i="2"/>
  <c r="P452" i="2"/>
  <c r="M454" i="2"/>
  <c r="O459" i="2"/>
  <c r="P466" i="2"/>
  <c r="L470" i="2"/>
  <c r="J470" i="2"/>
  <c r="O470" i="2"/>
  <c r="P478" i="2"/>
  <c r="N480" i="2"/>
  <c r="P484" i="2"/>
  <c r="N484" i="2"/>
  <c r="I484" i="2"/>
  <c r="M505" i="2"/>
  <c r="Q507" i="2"/>
  <c r="T509" i="2"/>
  <c r="T513" i="2"/>
  <c r="T518" i="2"/>
  <c r="S518" i="2"/>
  <c r="O518" i="2"/>
  <c r="S521" i="2"/>
  <c r="L534" i="2"/>
  <c r="T540" i="2"/>
  <c r="P549" i="2"/>
  <c r="R560" i="2"/>
  <c r="S564" i="2"/>
  <c r="S566" i="2"/>
  <c r="M580" i="2"/>
  <c r="Q582" i="2"/>
  <c r="L593" i="2"/>
  <c r="J593" i="2"/>
  <c r="R593" i="2"/>
  <c r="P593" i="2"/>
  <c r="O593" i="2"/>
  <c r="I593" i="2"/>
  <c r="O595" i="2"/>
  <c r="J605" i="2"/>
  <c r="H605" i="2"/>
  <c r="I605" i="2"/>
  <c r="S609" i="2"/>
  <c r="S611" i="2"/>
  <c r="S630" i="2"/>
  <c r="N645" i="2"/>
  <c r="L645" i="2"/>
  <c r="K645" i="2"/>
  <c r="T645" i="2"/>
  <c r="S645" i="2"/>
  <c r="O645" i="2"/>
  <c r="R645" i="2"/>
  <c r="N652" i="2"/>
  <c r="J652" i="2"/>
  <c r="T652" i="2"/>
  <c r="P652" i="2"/>
  <c r="O652" i="2"/>
  <c r="L652" i="2"/>
  <c r="K652" i="2"/>
  <c r="I652" i="2"/>
  <c r="R665" i="2"/>
  <c r="T710" i="2"/>
  <c r="P710" i="2"/>
  <c r="S710" i="2"/>
  <c r="R710" i="2"/>
  <c r="Q710" i="2"/>
  <c r="L710" i="2"/>
  <c r="K710" i="2"/>
  <c r="J710" i="2"/>
  <c r="O710" i="2"/>
  <c r="L730" i="2"/>
  <c r="R752" i="2"/>
  <c r="L784" i="2"/>
  <c r="R784" i="2"/>
  <c r="Q784" i="2"/>
  <c r="J784" i="2"/>
  <c r="T784" i="2"/>
  <c r="S784" i="2"/>
  <c r="P784" i="2"/>
  <c r="O784" i="2"/>
  <c r="N784" i="2"/>
  <c r="H797" i="2"/>
  <c r="N851" i="2"/>
  <c r="M851" i="2"/>
  <c r="R851" i="2"/>
  <c r="Q851" i="2"/>
  <c r="S851" i="2"/>
  <c r="O851" i="2"/>
  <c r="H851" i="2"/>
  <c r="T851" i="2"/>
  <c r="L851" i="2"/>
  <c r="K851" i="2"/>
  <c r="P851" i="2"/>
  <c r="T872" i="2"/>
  <c r="S872" i="2"/>
  <c r="J872" i="2"/>
  <c r="I872" i="2"/>
  <c r="H872" i="2"/>
  <c r="P872" i="2"/>
  <c r="N872" i="2"/>
  <c r="M872" i="2"/>
  <c r="R872" i="2"/>
  <c r="L872" i="2"/>
  <c r="O872" i="2"/>
  <c r="K872" i="2"/>
  <c r="P730" i="2"/>
  <c r="S752" i="2"/>
  <c r="T789" i="2"/>
  <c r="R789" i="2"/>
  <c r="M789" i="2"/>
  <c r="K789" i="2"/>
  <c r="J789" i="2"/>
  <c r="S789" i="2"/>
  <c r="Q789" i="2"/>
  <c r="P789" i="2"/>
  <c r="I789" i="2"/>
  <c r="K797" i="2"/>
  <c r="L834" i="2"/>
  <c r="K834" i="2"/>
  <c r="N834" i="2"/>
  <c r="S834" i="2"/>
  <c r="Q834" i="2"/>
  <c r="J834" i="2"/>
  <c r="P834" i="2"/>
  <c r="T834" i="2"/>
  <c r="R834" i="2"/>
  <c r="O834" i="2"/>
  <c r="M834" i="2"/>
  <c r="T278" i="2"/>
  <c r="R278" i="2"/>
  <c r="N297" i="2"/>
  <c r="L297" i="2"/>
  <c r="P324" i="2"/>
  <c r="N324" i="2"/>
  <c r="I327" i="2"/>
  <c r="I335" i="2"/>
  <c r="J343" i="2"/>
  <c r="H343" i="2"/>
  <c r="R351" i="2"/>
  <c r="P351" i="2"/>
  <c r="I354" i="2"/>
  <c r="L370" i="2"/>
  <c r="J370" i="2"/>
  <c r="K373" i="2"/>
  <c r="I378" i="2"/>
  <c r="J393" i="2"/>
  <c r="H393" i="2"/>
  <c r="M393" i="2"/>
  <c r="T398" i="2"/>
  <c r="R398" i="2"/>
  <c r="I398" i="2"/>
  <c r="J403" i="2"/>
  <c r="H403" i="2"/>
  <c r="J413" i="2"/>
  <c r="H413" i="2"/>
  <c r="T418" i="2"/>
  <c r="R418" i="2"/>
  <c r="Q418" i="2"/>
  <c r="O424" i="2"/>
  <c r="J436" i="2"/>
  <c r="T437" i="2"/>
  <c r="O439" i="2"/>
  <c r="R442" i="2"/>
  <c r="J446" i="2"/>
  <c r="S447" i="2"/>
  <c r="S452" i="2"/>
  <c r="Q454" i="2"/>
  <c r="T458" i="2"/>
  <c r="R458" i="2"/>
  <c r="M458" i="2"/>
  <c r="S458" i="2"/>
  <c r="Q459" i="2"/>
  <c r="R466" i="2"/>
  <c r="I470" i="2"/>
  <c r="Q472" i="2"/>
  <c r="J472" i="2"/>
  <c r="Q480" i="2"/>
  <c r="J484" i="2"/>
  <c r="L493" i="2"/>
  <c r="J493" i="2"/>
  <c r="R493" i="2"/>
  <c r="P493" i="2"/>
  <c r="O493" i="2"/>
  <c r="I493" i="2"/>
  <c r="P505" i="2"/>
  <c r="T508" i="2"/>
  <c r="H508" i="2"/>
  <c r="I508" i="2"/>
  <c r="R512" i="2"/>
  <c r="P512" i="2"/>
  <c r="O512" i="2"/>
  <c r="K512" i="2"/>
  <c r="I518" i="2"/>
  <c r="R549" i="2"/>
  <c r="T560" i="2"/>
  <c r="P567" i="2"/>
  <c r="N567" i="2"/>
  <c r="S567" i="2"/>
  <c r="O567" i="2"/>
  <c r="L567" i="2"/>
  <c r="K567" i="2"/>
  <c r="J567" i="2"/>
  <c r="Q580" i="2"/>
  <c r="S582" i="2"/>
  <c r="K593" i="2"/>
  <c r="Q595" i="2"/>
  <c r="L605" i="2"/>
  <c r="I645" i="2"/>
  <c r="M652" i="2"/>
  <c r="T673" i="2"/>
  <c r="R673" i="2"/>
  <c r="H673" i="2"/>
  <c r="S673" i="2"/>
  <c r="N673" i="2"/>
  <c r="M673" i="2"/>
  <c r="S687" i="2"/>
  <c r="R687" i="2"/>
  <c r="N687" i="2"/>
  <c r="O687" i="2"/>
  <c r="M687" i="2"/>
  <c r="P687" i="2"/>
  <c r="K687" i="2"/>
  <c r="J687" i="2"/>
  <c r="I687" i="2"/>
  <c r="I710" i="2"/>
  <c r="T752" i="2"/>
  <c r="I784" i="2"/>
  <c r="H789" i="2"/>
  <c r="H834" i="2"/>
  <c r="J851" i="2"/>
  <c r="H721" i="2"/>
  <c r="R721" i="2"/>
  <c r="N721" i="2"/>
  <c r="L721" i="2"/>
  <c r="K721" i="2"/>
  <c r="O721" i="2"/>
  <c r="J721" i="2"/>
  <c r="I721" i="2"/>
  <c r="P737" i="2"/>
  <c r="T737" i="2"/>
  <c r="O737" i="2"/>
  <c r="S737" i="2"/>
  <c r="Q737" i="2"/>
  <c r="N737" i="2"/>
  <c r="J737" i="2"/>
  <c r="I737" i="2"/>
  <c r="H737" i="2"/>
  <c r="T740" i="2"/>
  <c r="R740" i="2"/>
  <c r="H740" i="2"/>
  <c r="T760" i="2"/>
  <c r="H760" i="2"/>
  <c r="N760" i="2"/>
  <c r="Q760" i="2"/>
  <c r="P760" i="2"/>
  <c r="O760" i="2"/>
  <c r="L760" i="2"/>
  <c r="T792" i="2"/>
  <c r="R792" i="2"/>
  <c r="H792" i="2"/>
  <c r="P792" i="2"/>
  <c r="O792" i="2"/>
  <c r="I792" i="2"/>
  <c r="S792" i="2"/>
  <c r="Q792" i="2"/>
  <c r="N792" i="2"/>
  <c r="K819" i="2"/>
  <c r="I819" i="2"/>
  <c r="T819" i="2"/>
  <c r="R819" i="2"/>
  <c r="Q819" i="2"/>
  <c r="H819" i="2"/>
  <c r="S819" i="2"/>
  <c r="J819" i="2"/>
  <c r="P819" i="2"/>
  <c r="O819" i="2"/>
  <c r="N819" i="2"/>
  <c r="Q829" i="2"/>
  <c r="S829" i="2"/>
  <c r="P829" i="2"/>
  <c r="L829" i="2"/>
  <c r="J829" i="2"/>
  <c r="I829" i="2"/>
  <c r="O829" i="2"/>
  <c r="M829" i="2"/>
  <c r="K829" i="2"/>
  <c r="T829" i="2"/>
  <c r="R829" i="2"/>
  <c r="N829" i="2"/>
  <c r="S721" i="2"/>
  <c r="R737" i="2"/>
  <c r="L740" i="2"/>
  <c r="M760" i="2"/>
  <c r="M792" i="2"/>
  <c r="R863" i="2"/>
  <c r="P863" i="2"/>
  <c r="M863" i="2"/>
  <c r="K863" i="2"/>
  <c r="J863" i="2"/>
  <c r="O863" i="2"/>
  <c r="N863" i="2"/>
  <c r="R873" i="2"/>
  <c r="Q873" i="2"/>
  <c r="P873" i="2"/>
  <c r="K873" i="2"/>
  <c r="I873" i="2"/>
  <c r="O873" i="2"/>
  <c r="M873" i="2"/>
  <c r="L873" i="2"/>
  <c r="T873" i="2"/>
  <c r="N873" i="2"/>
  <c r="J873" i="2"/>
  <c r="P621" i="2"/>
  <c r="N621" i="2"/>
  <c r="K621" i="2"/>
  <c r="I621" i="2"/>
  <c r="H621" i="2"/>
  <c r="S654" i="2"/>
  <c r="Q654" i="2"/>
  <c r="P654" i="2"/>
  <c r="T654" i="2"/>
  <c r="M654" i="2"/>
  <c r="P679" i="2"/>
  <c r="N679" i="2"/>
  <c r="R679" i="2"/>
  <c r="O679" i="2"/>
  <c r="M679" i="2"/>
  <c r="T679" i="2"/>
  <c r="S679" i="2"/>
  <c r="J679" i="2"/>
  <c r="I679" i="2"/>
  <c r="T700" i="2"/>
  <c r="R700" i="2"/>
  <c r="P700" i="2"/>
  <c r="N700" i="2"/>
  <c r="M700" i="2"/>
  <c r="I700" i="2"/>
  <c r="H700" i="2"/>
  <c r="H711" i="2"/>
  <c r="N711" i="2"/>
  <c r="L711" i="2"/>
  <c r="K711" i="2"/>
  <c r="I711" i="2"/>
  <c r="R716" i="2"/>
  <c r="P716" i="2"/>
  <c r="M716" i="2"/>
  <c r="K716" i="2"/>
  <c r="J716" i="2"/>
  <c r="O716" i="2"/>
  <c r="N716" i="2"/>
  <c r="L716" i="2"/>
  <c r="T721" i="2"/>
  <c r="M740" i="2"/>
  <c r="R760" i="2"/>
  <c r="P798" i="2"/>
  <c r="S798" i="2"/>
  <c r="N798" i="2"/>
  <c r="L798" i="2"/>
  <c r="K798" i="2"/>
  <c r="O798" i="2"/>
  <c r="J798" i="2"/>
  <c r="I798" i="2"/>
  <c r="H863" i="2"/>
  <c r="H873" i="2"/>
  <c r="I942" i="2"/>
  <c r="S942" i="2"/>
  <c r="Q942" i="2"/>
  <c r="L942" i="2"/>
  <c r="J942" i="2"/>
  <c r="P942" i="2"/>
  <c r="O942" i="2"/>
  <c r="N942" i="2"/>
  <c r="M942" i="2"/>
  <c r="R942" i="2"/>
  <c r="K942" i="2"/>
  <c r="H942" i="2"/>
  <c r="J546" i="2"/>
  <c r="H546" i="2"/>
  <c r="I546" i="2"/>
  <c r="T581" i="2"/>
  <c r="R581" i="2"/>
  <c r="H581" i="2"/>
  <c r="M621" i="2"/>
  <c r="M623" i="2"/>
  <c r="H623" i="2"/>
  <c r="T623" i="2"/>
  <c r="J654" i="2"/>
  <c r="L679" i="2"/>
  <c r="L700" i="2"/>
  <c r="O711" i="2"/>
  <c r="Q716" i="2"/>
  <c r="P740" i="2"/>
  <c r="J787" i="2"/>
  <c r="H787" i="2"/>
  <c r="O787" i="2"/>
  <c r="M787" i="2"/>
  <c r="L787" i="2"/>
  <c r="S787" i="2"/>
  <c r="R787" i="2"/>
  <c r="Q787" i="2"/>
  <c r="P787" i="2"/>
  <c r="N787" i="2"/>
  <c r="Q798" i="2"/>
  <c r="L804" i="2"/>
  <c r="K804" i="2"/>
  <c r="T804" i="2"/>
  <c r="O804" i="2"/>
  <c r="J804" i="2"/>
  <c r="N804" i="2"/>
  <c r="S804" i="2"/>
  <c r="R804" i="2"/>
  <c r="Q804" i="2"/>
  <c r="P804" i="2"/>
  <c r="T823" i="2"/>
  <c r="R823" i="2"/>
  <c r="M823" i="2"/>
  <c r="K823" i="2"/>
  <c r="O823" i="2"/>
  <c r="L823" i="2"/>
  <c r="J823" i="2"/>
  <c r="P823" i="2"/>
  <c r="S823" i="2"/>
  <c r="Q823" i="2"/>
  <c r="Q863" i="2"/>
  <c r="T942" i="2"/>
  <c r="N550" i="2"/>
  <c r="L550" i="2"/>
  <c r="T550" i="2"/>
  <c r="R550" i="2"/>
  <c r="Q550" i="2"/>
  <c r="K550" i="2"/>
  <c r="P577" i="2"/>
  <c r="N577" i="2"/>
  <c r="T577" i="2"/>
  <c r="R577" i="2"/>
  <c r="Q577" i="2"/>
  <c r="K577" i="2"/>
  <c r="H579" i="2"/>
  <c r="N579" i="2"/>
  <c r="L579" i="2"/>
  <c r="K579" i="2"/>
  <c r="L583" i="2"/>
  <c r="J583" i="2"/>
  <c r="Q583" i="2"/>
  <c r="O621" i="2"/>
  <c r="I629" i="2"/>
  <c r="H629" i="2"/>
  <c r="O629" i="2"/>
  <c r="M629" i="2"/>
  <c r="L629" i="2"/>
  <c r="J648" i="2"/>
  <c r="O648" i="2"/>
  <c r="M648" i="2"/>
  <c r="L648" i="2"/>
  <c r="K654" i="2"/>
  <c r="Q679" i="2"/>
  <c r="O700" i="2"/>
  <c r="P711" i="2"/>
  <c r="R714" i="2"/>
  <c r="P714" i="2"/>
  <c r="O714" i="2"/>
  <c r="K714" i="2"/>
  <c r="T714" i="2"/>
  <c r="M714" i="2"/>
  <c r="L714" i="2"/>
  <c r="J714" i="2"/>
  <c r="S716" i="2"/>
  <c r="L725" i="2"/>
  <c r="J725" i="2"/>
  <c r="T725" i="2"/>
  <c r="O725" i="2"/>
  <c r="M725" i="2"/>
  <c r="K725" i="2"/>
  <c r="Q740" i="2"/>
  <c r="L745" i="2"/>
  <c r="J745" i="2"/>
  <c r="P745" i="2"/>
  <c r="T745" i="2"/>
  <c r="S745" i="2"/>
  <c r="R745" i="2"/>
  <c r="M745" i="2"/>
  <c r="K745" i="2"/>
  <c r="I745" i="2"/>
  <c r="R767" i="2"/>
  <c r="P767" i="2"/>
  <c r="H767" i="2"/>
  <c r="N767" i="2"/>
  <c r="T767" i="2"/>
  <c r="S767" i="2"/>
  <c r="Q767" i="2"/>
  <c r="M767" i="2"/>
  <c r="T773" i="2"/>
  <c r="R773" i="2"/>
  <c r="O773" i="2"/>
  <c r="N773" i="2"/>
  <c r="H773" i="2"/>
  <c r="M773" i="2"/>
  <c r="L773" i="2"/>
  <c r="K773" i="2"/>
  <c r="J773" i="2"/>
  <c r="I787" i="2"/>
  <c r="R798" i="2"/>
  <c r="H804" i="2"/>
  <c r="H823" i="2"/>
  <c r="S863" i="2"/>
  <c r="H550" i="2"/>
  <c r="R554" i="2"/>
  <c r="P554" i="2"/>
  <c r="H554" i="2"/>
  <c r="H577" i="2"/>
  <c r="I579" i="2"/>
  <c r="H583" i="2"/>
  <c r="R585" i="2"/>
  <c r="P585" i="2"/>
  <c r="O585" i="2"/>
  <c r="K585" i="2"/>
  <c r="Q621" i="2"/>
  <c r="Q627" i="2"/>
  <c r="O627" i="2"/>
  <c r="M627" i="2"/>
  <c r="T627" i="2"/>
  <c r="R627" i="2"/>
  <c r="P627" i="2"/>
  <c r="J627" i="2"/>
  <c r="J629" i="2"/>
  <c r="H648" i="2"/>
  <c r="L654" i="2"/>
  <c r="T680" i="2"/>
  <c r="N680" i="2"/>
  <c r="R680" i="2"/>
  <c r="H680" i="2"/>
  <c r="Q700" i="2"/>
  <c r="Q711" i="2"/>
  <c r="H714" i="2"/>
  <c r="T716" i="2"/>
  <c r="H725" i="2"/>
  <c r="S740" i="2"/>
  <c r="H745" i="2"/>
  <c r="I767" i="2"/>
  <c r="I773" i="2"/>
  <c r="P779" i="2"/>
  <c r="N779" i="2"/>
  <c r="S779" i="2"/>
  <c r="Q779" i="2"/>
  <c r="O779" i="2"/>
  <c r="J779" i="2"/>
  <c r="I779" i="2"/>
  <c r="T779" i="2"/>
  <c r="R779" i="2"/>
  <c r="M779" i="2"/>
  <c r="L779" i="2"/>
  <c r="K779" i="2"/>
  <c r="K787" i="2"/>
  <c r="T798" i="2"/>
  <c r="I804" i="2"/>
  <c r="I823" i="2"/>
  <c r="T863" i="2"/>
  <c r="N387" i="2"/>
  <c r="L387" i="2"/>
  <c r="P414" i="2"/>
  <c r="N414" i="2"/>
  <c r="J433" i="2"/>
  <c r="H433" i="2"/>
  <c r="R441" i="2"/>
  <c r="P441" i="2"/>
  <c r="R504" i="2"/>
  <c r="P504" i="2"/>
  <c r="T504" i="2"/>
  <c r="Q504" i="2"/>
  <c r="O504" i="2"/>
  <c r="K504" i="2"/>
  <c r="N510" i="2"/>
  <c r="L510" i="2"/>
  <c r="Q510" i="2"/>
  <c r="T531" i="2"/>
  <c r="R531" i="2"/>
  <c r="S531" i="2"/>
  <c r="P531" i="2"/>
  <c r="O531" i="2"/>
  <c r="K531" i="2"/>
  <c r="N546" i="2"/>
  <c r="J550" i="2"/>
  <c r="J554" i="2"/>
  <c r="T558" i="2"/>
  <c r="R558" i="2"/>
  <c r="P558" i="2"/>
  <c r="O558" i="2"/>
  <c r="K558" i="2"/>
  <c r="J577" i="2"/>
  <c r="M579" i="2"/>
  <c r="L581" i="2"/>
  <c r="K583" i="2"/>
  <c r="I585" i="2"/>
  <c r="T591" i="2"/>
  <c r="R591" i="2"/>
  <c r="O591" i="2"/>
  <c r="T601" i="2"/>
  <c r="R601" i="2"/>
  <c r="Q601" i="2"/>
  <c r="M601" i="2"/>
  <c r="Q607" i="2"/>
  <c r="S607" i="2"/>
  <c r="S621" i="2"/>
  <c r="L623" i="2"/>
  <c r="I627" i="2"/>
  <c r="N629" i="2"/>
  <c r="H635" i="2"/>
  <c r="S635" i="2"/>
  <c r="R635" i="2"/>
  <c r="N635" i="2"/>
  <c r="K648" i="2"/>
  <c r="O654" i="2"/>
  <c r="S657" i="2"/>
  <c r="R657" i="2"/>
  <c r="H657" i="2"/>
  <c r="R666" i="2"/>
  <c r="P666" i="2"/>
  <c r="J666" i="2"/>
  <c r="M666" i="2"/>
  <c r="K666" i="2"/>
  <c r="I666" i="2"/>
  <c r="S666" i="2"/>
  <c r="O666" i="2"/>
  <c r="N666" i="2"/>
  <c r="L675" i="2"/>
  <c r="J675" i="2"/>
  <c r="R675" i="2"/>
  <c r="T675" i="2"/>
  <c r="S675" i="2"/>
  <c r="N675" i="2"/>
  <c r="M675" i="2"/>
  <c r="J680" i="2"/>
  <c r="T690" i="2"/>
  <c r="H690" i="2"/>
  <c r="R690" i="2"/>
  <c r="L690" i="2"/>
  <c r="J690" i="2"/>
  <c r="I690" i="2"/>
  <c r="H701" i="2"/>
  <c r="J701" i="2"/>
  <c r="N701" i="2"/>
  <c r="L701" i="2"/>
  <c r="K701" i="2"/>
  <c r="P709" i="2"/>
  <c r="N709" i="2"/>
  <c r="H709" i="2"/>
  <c r="S709" i="2"/>
  <c r="Q709" i="2"/>
  <c r="O709" i="2"/>
  <c r="J709" i="2"/>
  <c r="S711" i="2"/>
  <c r="N714" i="2"/>
  <c r="T720" i="2"/>
  <c r="J720" i="2"/>
  <c r="S720" i="2"/>
  <c r="P720" i="2"/>
  <c r="O720" i="2"/>
  <c r="N720" i="2"/>
  <c r="N725" i="2"/>
  <c r="R736" i="2"/>
  <c r="P736" i="2"/>
  <c r="H736" i="2"/>
  <c r="N736" i="2"/>
  <c r="L736" i="2"/>
  <c r="K736" i="2"/>
  <c r="O745" i="2"/>
  <c r="K767" i="2"/>
  <c r="Q773" i="2"/>
  <c r="T780" i="2"/>
  <c r="N780" i="2"/>
  <c r="L780" i="2"/>
  <c r="K780" i="2"/>
  <c r="M780" i="2"/>
  <c r="Q780" i="2"/>
  <c r="P780" i="2"/>
  <c r="O780" i="2"/>
  <c r="J780" i="2"/>
  <c r="R815" i="2"/>
  <c r="Q815" i="2"/>
  <c r="N815" i="2"/>
  <c r="L815" i="2"/>
  <c r="J815" i="2"/>
  <c r="P815" i="2"/>
  <c r="O815" i="2"/>
  <c r="P848" i="2"/>
  <c r="O848" i="2"/>
  <c r="Q848" i="2"/>
  <c r="M848" i="2"/>
  <c r="K848" i="2"/>
  <c r="T848" i="2"/>
  <c r="L848" i="2"/>
  <c r="H848" i="2"/>
  <c r="I848" i="2"/>
  <c r="S848" i="2"/>
  <c r="R848" i="2"/>
  <c r="N848" i="2"/>
  <c r="M930" i="2"/>
  <c r="T930" i="2"/>
  <c r="R930" i="2"/>
  <c r="S930" i="2"/>
  <c r="Q930" i="2"/>
  <c r="N930" i="2"/>
  <c r="K930" i="2"/>
  <c r="P930" i="2"/>
  <c r="O930" i="2"/>
  <c r="L930" i="2"/>
  <c r="J930" i="2"/>
  <c r="T998" i="2"/>
  <c r="O998" i="2"/>
  <c r="R998" i="2"/>
  <c r="S998" i="2"/>
  <c r="Q998" i="2"/>
  <c r="P998" i="2"/>
  <c r="J998" i="2"/>
  <c r="M998" i="2"/>
  <c r="K998" i="2"/>
  <c r="I998" i="2"/>
  <c r="P1009" i="2"/>
  <c r="L1009" i="2"/>
  <c r="O1009" i="2"/>
  <c r="R1009" i="2"/>
  <c r="Q1009" i="2"/>
  <c r="T1009" i="2"/>
  <c r="S1009" i="2"/>
  <c r="K1009" i="2"/>
  <c r="J1009" i="2"/>
  <c r="I1009" i="2"/>
  <c r="N1009" i="2"/>
  <c r="H1009" i="2"/>
  <c r="M1009" i="2"/>
  <c r="N19" i="3"/>
  <c r="N772" i="2"/>
  <c r="L772" i="2"/>
  <c r="P772" i="2"/>
  <c r="M772" i="2"/>
  <c r="K772" i="2"/>
  <c r="O772" i="2"/>
  <c r="I772" i="2"/>
  <c r="H772" i="2"/>
  <c r="N811" i="2"/>
  <c r="M811" i="2"/>
  <c r="K811" i="2"/>
  <c r="I811" i="2"/>
  <c r="Q811" i="2"/>
  <c r="T811" i="2"/>
  <c r="S811" i="2"/>
  <c r="L811" i="2"/>
  <c r="J811" i="2"/>
  <c r="T832" i="2"/>
  <c r="S832" i="2"/>
  <c r="R832" i="2"/>
  <c r="H832" i="2"/>
  <c r="K832" i="2"/>
  <c r="L832" i="2"/>
  <c r="J943" i="2"/>
  <c r="P943" i="2"/>
  <c r="L943" i="2"/>
  <c r="K943" i="2"/>
  <c r="H943" i="2"/>
  <c r="N943" i="2"/>
  <c r="M943" i="2"/>
  <c r="I943" i="2"/>
  <c r="S943" i="2"/>
  <c r="R943" i="2"/>
  <c r="Q943" i="2"/>
  <c r="O943" i="2"/>
  <c r="P949" i="2"/>
  <c r="Q949" i="2"/>
  <c r="O949" i="2"/>
  <c r="M949" i="2"/>
  <c r="H949" i="2"/>
  <c r="T949" i="2"/>
  <c r="S949" i="2"/>
  <c r="L949" i="2"/>
  <c r="J949" i="2"/>
  <c r="I949" i="2"/>
  <c r="N782" i="2"/>
  <c r="L782" i="2"/>
  <c r="H782" i="2"/>
  <c r="T782" i="2"/>
  <c r="S782" i="2"/>
  <c r="K782" i="2"/>
  <c r="J807" i="2"/>
  <c r="I807" i="2"/>
  <c r="Q807" i="2"/>
  <c r="H807" i="2"/>
  <c r="T807" i="2"/>
  <c r="O807" i="2"/>
  <c r="N807" i="2"/>
  <c r="R706" i="2"/>
  <c r="P706" i="2"/>
  <c r="M706" i="2"/>
  <c r="K706" i="2"/>
  <c r="J706" i="2"/>
  <c r="L735" i="2"/>
  <c r="J735" i="2"/>
  <c r="T735" i="2"/>
  <c r="T763" i="2"/>
  <c r="R763" i="2"/>
  <c r="H763" i="2"/>
  <c r="N763" i="2"/>
  <c r="L763" i="2"/>
  <c r="K763" i="2"/>
  <c r="Q772" i="2"/>
  <c r="I782" i="2"/>
  <c r="K807" i="2"/>
  <c r="O811" i="2"/>
  <c r="L824" i="2"/>
  <c r="K824" i="2"/>
  <c r="S824" i="2"/>
  <c r="O824" i="2"/>
  <c r="T824" i="2"/>
  <c r="R824" i="2"/>
  <c r="M824" i="2"/>
  <c r="J824" i="2"/>
  <c r="J832" i="2"/>
  <c r="T842" i="2"/>
  <c r="S842" i="2"/>
  <c r="K842" i="2"/>
  <c r="R842" i="2"/>
  <c r="Q842" i="2"/>
  <c r="M842" i="2"/>
  <c r="I842" i="2"/>
  <c r="P842" i="2"/>
  <c r="N842" i="2"/>
  <c r="L842" i="2"/>
  <c r="K883" i="2"/>
  <c r="J883" i="2"/>
  <c r="I883" i="2"/>
  <c r="P883" i="2"/>
  <c r="N883" i="2"/>
  <c r="M883" i="2"/>
  <c r="T883" i="2"/>
  <c r="Q883" i="2"/>
  <c r="R883" i="2"/>
  <c r="O883" i="2"/>
  <c r="N949" i="2"/>
  <c r="N702" i="2"/>
  <c r="L702" i="2"/>
  <c r="R702" i="2"/>
  <c r="T702" i="2"/>
  <c r="O702" i="2"/>
  <c r="L704" i="2"/>
  <c r="R704" i="2"/>
  <c r="P704" i="2"/>
  <c r="O704" i="2"/>
  <c r="J704" i="2"/>
  <c r="H706" i="2"/>
  <c r="H735" i="2"/>
  <c r="P739" i="2"/>
  <c r="N739" i="2"/>
  <c r="J739" i="2"/>
  <c r="T739" i="2"/>
  <c r="R739" i="2"/>
  <c r="Q739" i="2"/>
  <c r="K739" i="2"/>
  <c r="I763" i="2"/>
  <c r="R772" i="2"/>
  <c r="J782" i="2"/>
  <c r="R795" i="2"/>
  <c r="S795" i="2"/>
  <c r="K795" i="2"/>
  <c r="I795" i="2"/>
  <c r="H795" i="2"/>
  <c r="O795" i="2"/>
  <c r="L807" i="2"/>
  <c r="P811" i="2"/>
  <c r="H824" i="2"/>
  <c r="M832" i="2"/>
  <c r="H842" i="2"/>
  <c r="L853" i="2"/>
  <c r="K853" i="2"/>
  <c r="J853" i="2"/>
  <c r="P853" i="2"/>
  <c r="N853" i="2"/>
  <c r="H853" i="2"/>
  <c r="S853" i="2"/>
  <c r="R853" i="2"/>
  <c r="J867" i="2"/>
  <c r="I867" i="2"/>
  <c r="O867" i="2"/>
  <c r="N867" i="2"/>
  <c r="M867" i="2"/>
  <c r="P867" i="2"/>
  <c r="K867" i="2"/>
  <c r="S867" i="2"/>
  <c r="Q867" i="2"/>
  <c r="L867" i="2"/>
  <c r="R875" i="2"/>
  <c r="Q875" i="2"/>
  <c r="L875" i="2"/>
  <c r="K875" i="2"/>
  <c r="J875" i="2"/>
  <c r="H875" i="2"/>
  <c r="T875" i="2"/>
  <c r="S875" i="2"/>
  <c r="M875" i="2"/>
  <c r="P875" i="2"/>
  <c r="H883" i="2"/>
  <c r="S889" i="2"/>
  <c r="R889" i="2"/>
  <c r="Q889" i="2"/>
  <c r="P889" i="2"/>
  <c r="T889" i="2"/>
  <c r="K889" i="2"/>
  <c r="I889" i="2"/>
  <c r="H889" i="2"/>
  <c r="J889" i="2"/>
  <c r="O889" i="2"/>
  <c r="R949" i="2"/>
  <c r="L960" i="2"/>
  <c r="I960" i="2"/>
  <c r="R960" i="2"/>
  <c r="Q960" i="2"/>
  <c r="O960" i="2"/>
  <c r="T960" i="2"/>
  <c r="K960" i="2"/>
  <c r="S960" i="2"/>
  <c r="N960" i="2"/>
  <c r="M960" i="2"/>
  <c r="P960" i="2"/>
  <c r="N490" i="2"/>
  <c r="L490" i="2"/>
  <c r="P517" i="2"/>
  <c r="N517" i="2"/>
  <c r="J536" i="2"/>
  <c r="H536" i="2"/>
  <c r="R544" i="2"/>
  <c r="P544" i="2"/>
  <c r="L563" i="2"/>
  <c r="J563" i="2"/>
  <c r="T571" i="2"/>
  <c r="R571" i="2"/>
  <c r="N590" i="2"/>
  <c r="L590" i="2"/>
  <c r="P649" i="2"/>
  <c r="J649" i="2"/>
  <c r="T649" i="2"/>
  <c r="J668" i="2"/>
  <c r="H668" i="2"/>
  <c r="I668" i="2"/>
  <c r="H670" i="2"/>
  <c r="J698" i="2"/>
  <c r="H698" i="2"/>
  <c r="I698" i="2"/>
  <c r="H702" i="2"/>
  <c r="H704" i="2"/>
  <c r="I706" i="2"/>
  <c r="T727" i="2"/>
  <c r="S727" i="2"/>
  <c r="O727" i="2"/>
  <c r="H731" i="2"/>
  <c r="L731" i="2"/>
  <c r="O731" i="2"/>
  <c r="M731" i="2"/>
  <c r="K731" i="2"/>
  <c r="I735" i="2"/>
  <c r="H739" i="2"/>
  <c r="S754" i="2"/>
  <c r="Q754" i="2"/>
  <c r="P754" i="2"/>
  <c r="L754" i="2"/>
  <c r="K754" i="2"/>
  <c r="J763" i="2"/>
  <c r="S772" i="2"/>
  <c r="L777" i="2"/>
  <c r="J777" i="2"/>
  <c r="I777" i="2"/>
  <c r="T777" i="2"/>
  <c r="R777" i="2"/>
  <c r="Q777" i="2"/>
  <c r="M777" i="2"/>
  <c r="K777" i="2"/>
  <c r="M782" i="2"/>
  <c r="J795" i="2"/>
  <c r="M807" i="2"/>
  <c r="R811" i="2"/>
  <c r="I824" i="2"/>
  <c r="J827" i="2"/>
  <c r="I827" i="2"/>
  <c r="H827" i="2"/>
  <c r="N827" i="2"/>
  <c r="L827" i="2"/>
  <c r="K827" i="2"/>
  <c r="M827" i="2"/>
  <c r="T827" i="2"/>
  <c r="N832" i="2"/>
  <c r="R835" i="2"/>
  <c r="Q835" i="2"/>
  <c r="L835" i="2"/>
  <c r="J835" i="2"/>
  <c r="M835" i="2"/>
  <c r="I835" i="2"/>
  <c r="H835" i="2"/>
  <c r="P835" i="2"/>
  <c r="O835" i="2"/>
  <c r="J842" i="2"/>
  <c r="I853" i="2"/>
  <c r="J857" i="2"/>
  <c r="I857" i="2"/>
  <c r="T857" i="2"/>
  <c r="L857" i="2"/>
  <c r="H857" i="2"/>
  <c r="Q857" i="2"/>
  <c r="O857" i="2"/>
  <c r="N857" i="2"/>
  <c r="R857" i="2"/>
  <c r="P857" i="2"/>
  <c r="H867" i="2"/>
  <c r="I875" i="2"/>
  <c r="L883" i="2"/>
  <c r="L889" i="2"/>
  <c r="S909" i="2"/>
  <c r="O909" i="2"/>
  <c r="N909" i="2"/>
  <c r="M909" i="2"/>
  <c r="J909" i="2"/>
  <c r="H909" i="2"/>
  <c r="I909" i="2"/>
  <c r="P909" i="2"/>
  <c r="L909" i="2"/>
  <c r="H960" i="2"/>
  <c r="S968" i="2"/>
  <c r="H968" i="2"/>
  <c r="T968" i="2"/>
  <c r="Q968" i="2"/>
  <c r="R968" i="2"/>
  <c r="N968" i="2"/>
  <c r="L968" i="2"/>
  <c r="O968" i="2"/>
  <c r="K968" i="2"/>
  <c r="I968" i="2"/>
  <c r="L894" i="2"/>
  <c r="K894" i="2"/>
  <c r="I894" i="2"/>
  <c r="S894" i="2"/>
  <c r="R894" i="2"/>
  <c r="Q894" i="2"/>
  <c r="P894" i="2"/>
  <c r="H894" i="2"/>
  <c r="I939" i="2"/>
  <c r="T939" i="2"/>
  <c r="P939" i="2"/>
  <c r="O939" i="2"/>
  <c r="N939" i="2"/>
  <c r="K939" i="2"/>
  <c r="H939" i="2"/>
  <c r="S939" i="2"/>
  <c r="Q939" i="2"/>
  <c r="R939" i="2"/>
  <c r="M939" i="2"/>
  <c r="L939" i="2"/>
  <c r="J939" i="2"/>
  <c r="J982" i="2"/>
  <c r="P982" i="2"/>
  <c r="M982" i="2"/>
  <c r="T982" i="2"/>
  <c r="R982" i="2"/>
  <c r="O982" i="2"/>
  <c r="L982" i="2"/>
  <c r="Q982" i="2"/>
  <c r="K982" i="2"/>
  <c r="S982" i="2"/>
  <c r="N982" i="2"/>
  <c r="I982" i="2"/>
  <c r="H982" i="2"/>
  <c r="H1034" i="2"/>
  <c r="T1034" i="2"/>
  <c r="L1034" i="2"/>
  <c r="K1034" i="2"/>
  <c r="S1034" i="2"/>
  <c r="N1034" i="2"/>
  <c r="M1034" i="2"/>
  <c r="J1034" i="2"/>
  <c r="I1034" i="2"/>
  <c r="R1034" i="2"/>
  <c r="Q1034" i="2"/>
  <c r="P1034" i="2"/>
  <c r="L503" i="2"/>
  <c r="J503" i="2"/>
  <c r="T511" i="2"/>
  <c r="R511" i="2"/>
  <c r="N530" i="2"/>
  <c r="L530" i="2"/>
  <c r="P557" i="2"/>
  <c r="N557" i="2"/>
  <c r="K571" i="2"/>
  <c r="J576" i="2"/>
  <c r="H576" i="2"/>
  <c r="R584" i="2"/>
  <c r="P584" i="2"/>
  <c r="K590" i="2"/>
  <c r="L649" i="2"/>
  <c r="N668" i="2"/>
  <c r="L670" i="2"/>
  <c r="N698" i="2"/>
  <c r="M702" i="2"/>
  <c r="N704" i="2"/>
  <c r="Q706" i="2"/>
  <c r="H717" i="2"/>
  <c r="T717" i="2"/>
  <c r="S717" i="2"/>
  <c r="O717" i="2"/>
  <c r="P719" i="2"/>
  <c r="N719" i="2"/>
  <c r="S719" i="2"/>
  <c r="Q719" i="2"/>
  <c r="O719" i="2"/>
  <c r="J719" i="2"/>
  <c r="K727" i="2"/>
  <c r="P731" i="2"/>
  <c r="O735" i="2"/>
  <c r="O739" i="2"/>
  <c r="M754" i="2"/>
  <c r="Q763" i="2"/>
  <c r="P777" i="2"/>
  <c r="R782" i="2"/>
  <c r="P795" i="2"/>
  <c r="R827" i="2"/>
  <c r="T835" i="2"/>
  <c r="S846" i="2"/>
  <c r="Q846" i="2"/>
  <c r="L846" i="2"/>
  <c r="J846" i="2"/>
  <c r="O846" i="2"/>
  <c r="K846" i="2"/>
  <c r="T846" i="2"/>
  <c r="H846" i="2"/>
  <c r="T853" i="2"/>
  <c r="N894" i="2"/>
  <c r="T909" i="2"/>
  <c r="I945" i="2"/>
  <c r="L945" i="2"/>
  <c r="K945" i="2"/>
  <c r="J945" i="2"/>
  <c r="T945" i="2"/>
  <c r="R945" i="2"/>
  <c r="Q945" i="2"/>
  <c r="P945" i="2"/>
  <c r="O945" i="2"/>
  <c r="N945" i="2"/>
  <c r="R1006" i="2"/>
  <c r="N1006" i="2"/>
  <c r="S1006" i="2"/>
  <c r="L1006" i="2"/>
  <c r="H1006" i="2"/>
  <c r="Q1006" i="2"/>
  <c r="O1006" i="2"/>
  <c r="M1006" i="2"/>
  <c r="K1006" i="2"/>
  <c r="J1006" i="2"/>
  <c r="T1006" i="2"/>
  <c r="O1034" i="2"/>
  <c r="L457" i="2"/>
  <c r="L467" i="2"/>
  <c r="L477" i="2"/>
  <c r="L487" i="2"/>
  <c r="M490" i="2"/>
  <c r="H492" i="2"/>
  <c r="L498" i="2"/>
  <c r="H503" i="2"/>
  <c r="H511" i="2"/>
  <c r="L517" i="2"/>
  <c r="L525" i="2"/>
  <c r="H530" i="2"/>
  <c r="N536" i="2"/>
  <c r="H538" i="2"/>
  <c r="L544" i="2"/>
  <c r="L552" i="2"/>
  <c r="H557" i="2"/>
  <c r="N563" i="2"/>
  <c r="H565" i="2"/>
  <c r="L571" i="2"/>
  <c r="I576" i="2"/>
  <c r="H584" i="2"/>
  <c r="M590" i="2"/>
  <c r="H592" i="2"/>
  <c r="H613" i="2"/>
  <c r="K626" i="2"/>
  <c r="H626" i="2"/>
  <c r="H631" i="2"/>
  <c r="I641" i="2"/>
  <c r="M649" i="2"/>
  <c r="T653" i="2"/>
  <c r="Q653" i="2"/>
  <c r="K653" i="2"/>
  <c r="I653" i="2"/>
  <c r="H653" i="2"/>
  <c r="L655" i="2"/>
  <c r="J655" i="2"/>
  <c r="O668" i="2"/>
  <c r="M670" i="2"/>
  <c r="N672" i="2"/>
  <c r="L672" i="2"/>
  <c r="P672" i="2"/>
  <c r="T672" i="2"/>
  <c r="S672" i="2"/>
  <c r="J674" i="2"/>
  <c r="Q674" i="2"/>
  <c r="O674" i="2"/>
  <c r="N674" i="2"/>
  <c r="Q684" i="2"/>
  <c r="O684" i="2"/>
  <c r="N684" i="2"/>
  <c r="J684" i="2"/>
  <c r="R686" i="2"/>
  <c r="P686" i="2"/>
  <c r="T686" i="2"/>
  <c r="L686" i="2"/>
  <c r="J686" i="2"/>
  <c r="I686" i="2"/>
  <c r="O698" i="2"/>
  <c r="P702" i="2"/>
  <c r="Q704" i="2"/>
  <c r="S706" i="2"/>
  <c r="L715" i="2"/>
  <c r="J715" i="2"/>
  <c r="N715" i="2"/>
  <c r="T715" i="2"/>
  <c r="I717" i="2"/>
  <c r="H719" i="2"/>
  <c r="L727" i="2"/>
  <c r="Q731" i="2"/>
  <c r="P735" i="2"/>
  <c r="S739" i="2"/>
  <c r="N754" i="2"/>
  <c r="S763" i="2"/>
  <c r="R766" i="2"/>
  <c r="P766" i="2"/>
  <c r="J766" i="2"/>
  <c r="H766" i="2"/>
  <c r="T766" i="2"/>
  <c r="S766" i="2"/>
  <c r="M766" i="2"/>
  <c r="L766" i="2"/>
  <c r="S777" i="2"/>
  <c r="T783" i="2"/>
  <c r="R783" i="2"/>
  <c r="P783" i="2"/>
  <c r="N783" i="2"/>
  <c r="M783" i="2"/>
  <c r="O783" i="2"/>
  <c r="K783" i="2"/>
  <c r="J783" i="2"/>
  <c r="N791" i="2"/>
  <c r="M791" i="2"/>
  <c r="K791" i="2"/>
  <c r="T791" i="2"/>
  <c r="S791" i="2"/>
  <c r="L791" i="2"/>
  <c r="I791" i="2"/>
  <c r="H791" i="2"/>
  <c r="Q795" i="2"/>
  <c r="S827" i="2"/>
  <c r="H836" i="2"/>
  <c r="S836" i="2"/>
  <c r="N836" i="2"/>
  <c r="L836" i="2"/>
  <c r="M836" i="2"/>
  <c r="O836" i="2"/>
  <c r="J836" i="2"/>
  <c r="I836" i="2"/>
  <c r="I846" i="2"/>
  <c r="L854" i="2"/>
  <c r="K854" i="2"/>
  <c r="T854" i="2"/>
  <c r="S854" i="2"/>
  <c r="R854" i="2"/>
  <c r="Q854" i="2"/>
  <c r="O854" i="2"/>
  <c r="N854" i="2"/>
  <c r="I854" i="2"/>
  <c r="M854" i="2"/>
  <c r="J854" i="2"/>
  <c r="O894" i="2"/>
  <c r="H945" i="2"/>
  <c r="I1006" i="2"/>
  <c r="T757" i="2"/>
  <c r="P757" i="2"/>
  <c r="O757" i="2"/>
  <c r="I757" i="2"/>
  <c r="P759" i="2"/>
  <c r="N759" i="2"/>
  <c r="T759" i="2"/>
  <c r="R759" i="2"/>
  <c r="S759" i="2"/>
  <c r="Q759" i="2"/>
  <c r="K759" i="2"/>
  <c r="J759" i="2"/>
  <c r="P764" i="2"/>
  <c r="N764" i="2"/>
  <c r="Q764" i="2"/>
  <c r="O764" i="2"/>
  <c r="H764" i="2"/>
  <c r="J778" i="2"/>
  <c r="H778" i="2"/>
  <c r="T778" i="2"/>
  <c r="R778" i="2"/>
  <c r="Q778" i="2"/>
  <c r="N778" i="2"/>
  <c r="T786" i="2"/>
  <c r="R786" i="2"/>
  <c r="S786" i="2"/>
  <c r="Q786" i="2"/>
  <c r="P786" i="2"/>
  <c r="O786" i="2"/>
  <c r="I786" i="2"/>
  <c r="T894" i="2"/>
  <c r="P490" i="2"/>
  <c r="N498" i="2"/>
  <c r="K503" i="2"/>
  <c r="J511" i="2"/>
  <c r="O517" i="2"/>
  <c r="J530" i="2"/>
  <c r="P536" i="2"/>
  <c r="J538" i="2"/>
  <c r="N544" i="2"/>
  <c r="J557" i="2"/>
  <c r="P563" i="2"/>
  <c r="N571" i="2"/>
  <c r="L576" i="2"/>
  <c r="J584" i="2"/>
  <c r="P590" i="2"/>
  <c r="Q597" i="2"/>
  <c r="R597" i="2"/>
  <c r="O597" i="2"/>
  <c r="J613" i="2"/>
  <c r="J631" i="2"/>
  <c r="K636" i="2"/>
  <c r="O636" i="2"/>
  <c r="M636" i="2"/>
  <c r="K641" i="2"/>
  <c r="O649" i="2"/>
  <c r="Q668" i="2"/>
  <c r="O670" i="2"/>
  <c r="N682" i="2"/>
  <c r="L682" i="2"/>
  <c r="H682" i="2"/>
  <c r="T682" i="2"/>
  <c r="S682" i="2"/>
  <c r="O682" i="2"/>
  <c r="Q698" i="2"/>
  <c r="S702" i="2"/>
  <c r="T704" i="2"/>
  <c r="N707" i="2"/>
  <c r="T707" i="2"/>
  <c r="S707" i="2"/>
  <c r="O707" i="2"/>
  <c r="K717" i="2"/>
  <c r="K719" i="2"/>
  <c r="N727" i="2"/>
  <c r="S731" i="2"/>
  <c r="R735" i="2"/>
  <c r="R754" i="2"/>
  <c r="H757" i="2"/>
  <c r="H759" i="2"/>
  <c r="I764" i="2"/>
  <c r="I778" i="2"/>
  <c r="H786" i="2"/>
  <c r="N846" i="2"/>
  <c r="J877" i="2"/>
  <c r="I877" i="2"/>
  <c r="H877" i="2"/>
  <c r="T877" i="2"/>
  <c r="Q877" i="2"/>
  <c r="N877" i="2"/>
  <c r="K877" i="2"/>
  <c r="S877" i="2"/>
  <c r="S945" i="2"/>
  <c r="P788" i="2"/>
  <c r="M788" i="2"/>
  <c r="K788" i="2"/>
  <c r="R788" i="2"/>
  <c r="O788" i="2"/>
  <c r="N788" i="2"/>
  <c r="H790" i="2"/>
  <c r="M790" i="2"/>
  <c r="K790" i="2"/>
  <c r="J790" i="2"/>
  <c r="N821" i="2"/>
  <c r="M821" i="2"/>
  <c r="S821" i="2"/>
  <c r="Q821" i="2"/>
  <c r="O821" i="2"/>
  <c r="K821" i="2"/>
  <c r="J821" i="2"/>
  <c r="P908" i="2"/>
  <c r="O908" i="2"/>
  <c r="M908" i="2"/>
  <c r="T908" i="2"/>
  <c r="L908" i="2"/>
  <c r="J908" i="2"/>
  <c r="I908" i="2"/>
  <c r="S908" i="2"/>
  <c r="R908" i="2"/>
  <c r="H908" i="2"/>
  <c r="N935" i="2"/>
  <c r="M935" i="2"/>
  <c r="K935" i="2"/>
  <c r="T935" i="2"/>
  <c r="Q935" i="2"/>
  <c r="O935" i="2"/>
  <c r="R935" i="2"/>
  <c r="L935" i="2"/>
  <c r="P935" i="2"/>
  <c r="J935" i="2"/>
  <c r="S1056" i="2"/>
  <c r="R1056" i="2"/>
  <c r="N1056" i="2"/>
  <c r="K1056" i="2"/>
  <c r="H1056" i="2"/>
  <c r="O1056" i="2"/>
  <c r="M1056" i="2"/>
  <c r="J1056" i="2"/>
  <c r="Q1056" i="2"/>
  <c r="P1056" i="2"/>
  <c r="L1056" i="2"/>
  <c r="H761" i="2"/>
  <c r="N761" i="2"/>
  <c r="L761" i="2"/>
  <c r="T770" i="2"/>
  <c r="R770" i="2"/>
  <c r="Q770" i="2"/>
  <c r="H781" i="2"/>
  <c r="T781" i="2"/>
  <c r="S781" i="2"/>
  <c r="S788" i="2"/>
  <c r="Q790" i="2"/>
  <c r="T821" i="2"/>
  <c r="L904" i="2"/>
  <c r="K904" i="2"/>
  <c r="I904" i="2"/>
  <c r="Q904" i="2"/>
  <c r="P904" i="2"/>
  <c r="O904" i="2"/>
  <c r="J904" i="2"/>
  <c r="T904" i="2"/>
  <c r="R904" i="2"/>
  <c r="N904" i="2"/>
  <c r="M904" i="2"/>
  <c r="H904" i="2"/>
  <c r="O927" i="2"/>
  <c r="S927" i="2"/>
  <c r="T927" i="2"/>
  <c r="R927" i="2"/>
  <c r="Q927" i="2"/>
  <c r="M927" i="2"/>
  <c r="K927" i="2"/>
  <c r="L927" i="2"/>
  <c r="I927" i="2"/>
  <c r="H927" i="2"/>
  <c r="P927" i="2"/>
  <c r="N927" i="2"/>
  <c r="T938" i="2"/>
  <c r="O938" i="2"/>
  <c r="N938" i="2"/>
  <c r="L938" i="2"/>
  <c r="S938" i="2"/>
  <c r="Q938" i="2"/>
  <c r="P938" i="2"/>
  <c r="R746" i="2"/>
  <c r="P746" i="2"/>
  <c r="H751" i="2"/>
  <c r="T751" i="2"/>
  <c r="R756" i="2"/>
  <c r="P756" i="2"/>
  <c r="Q756" i="2"/>
  <c r="I761" i="2"/>
  <c r="H770" i="2"/>
  <c r="I781" i="2"/>
  <c r="T788" i="2"/>
  <c r="R790" i="2"/>
  <c r="T822" i="2"/>
  <c r="S822" i="2"/>
  <c r="L822" i="2"/>
  <c r="J822" i="2"/>
  <c r="O822" i="2"/>
  <c r="T876" i="2"/>
  <c r="S876" i="2"/>
  <c r="R876" i="2"/>
  <c r="Q876" i="2"/>
  <c r="L876" i="2"/>
  <c r="J876" i="2"/>
  <c r="I876" i="2"/>
  <c r="H876" i="2"/>
  <c r="S904" i="2"/>
  <c r="J927" i="2"/>
  <c r="H938" i="2"/>
  <c r="N966" i="2"/>
  <c r="H966" i="2"/>
  <c r="L966" i="2"/>
  <c r="T966" i="2"/>
  <c r="S966" i="2"/>
  <c r="P966" i="2"/>
  <c r="M966" i="2"/>
  <c r="I966" i="2"/>
  <c r="R966" i="2"/>
  <c r="Q966" i="2"/>
  <c r="O966" i="2"/>
  <c r="T1033" i="2"/>
  <c r="P1033" i="2"/>
  <c r="R1033" i="2"/>
  <c r="L1033" i="2"/>
  <c r="S1033" i="2"/>
  <c r="Q1033" i="2"/>
  <c r="J1033" i="2"/>
  <c r="I1033" i="2"/>
  <c r="H1033" i="2"/>
  <c r="N1033" i="2"/>
  <c r="M1033" i="2"/>
  <c r="K1033" i="2"/>
  <c r="T733" i="2"/>
  <c r="R733" i="2"/>
  <c r="L741" i="2"/>
  <c r="T743" i="2"/>
  <c r="R743" i="2"/>
  <c r="K746" i="2"/>
  <c r="L751" i="2"/>
  <c r="T753" i="2"/>
  <c r="R753" i="2"/>
  <c r="N753" i="2"/>
  <c r="K756" i="2"/>
  <c r="O761" i="2"/>
  <c r="L765" i="2"/>
  <c r="J765" i="2"/>
  <c r="L770" i="2"/>
  <c r="M781" i="2"/>
  <c r="M822" i="2"/>
  <c r="L864" i="2"/>
  <c r="K864" i="2"/>
  <c r="M864" i="2"/>
  <c r="J864" i="2"/>
  <c r="I864" i="2"/>
  <c r="P864" i="2"/>
  <c r="N864" i="2"/>
  <c r="R864" i="2"/>
  <c r="O876" i="2"/>
  <c r="M938" i="2"/>
  <c r="P952" i="2"/>
  <c r="S952" i="2"/>
  <c r="R952" i="2"/>
  <c r="O952" i="2"/>
  <c r="M952" i="2"/>
  <c r="L952" i="2"/>
  <c r="K952" i="2"/>
  <c r="H952" i="2"/>
  <c r="Q952" i="2"/>
  <c r="N952" i="2"/>
  <c r="T952" i="2"/>
  <c r="T703" i="2"/>
  <c r="R703" i="2"/>
  <c r="T713" i="2"/>
  <c r="R713" i="2"/>
  <c r="S713" i="2"/>
  <c r="T723" i="2"/>
  <c r="R723" i="2"/>
  <c r="L723" i="2"/>
  <c r="H733" i="2"/>
  <c r="J738" i="2"/>
  <c r="H738" i="2"/>
  <c r="M741" i="2"/>
  <c r="H743" i="2"/>
  <c r="L746" i="2"/>
  <c r="J748" i="2"/>
  <c r="H748" i="2"/>
  <c r="R748" i="2"/>
  <c r="M751" i="2"/>
  <c r="H753" i="2"/>
  <c r="L756" i="2"/>
  <c r="J758" i="2"/>
  <c r="H758" i="2"/>
  <c r="L758" i="2"/>
  <c r="P761" i="2"/>
  <c r="H765" i="2"/>
  <c r="M770" i="2"/>
  <c r="R776" i="2"/>
  <c r="P776" i="2"/>
  <c r="N781" i="2"/>
  <c r="H800" i="2"/>
  <c r="N800" i="2"/>
  <c r="L800" i="2"/>
  <c r="I800" i="2"/>
  <c r="N822" i="2"/>
  <c r="H864" i="2"/>
  <c r="P876" i="2"/>
  <c r="S912" i="2"/>
  <c r="T912" i="2"/>
  <c r="R912" i="2"/>
  <c r="Q912" i="2"/>
  <c r="N912" i="2"/>
  <c r="K912" i="2"/>
  <c r="I912" i="2"/>
  <c r="H912" i="2"/>
  <c r="P912" i="2"/>
  <c r="M912" i="2"/>
  <c r="L912" i="2"/>
  <c r="R938" i="2"/>
  <c r="I952" i="2"/>
  <c r="T987" i="2"/>
  <c r="I987" i="2"/>
  <c r="L987" i="2"/>
  <c r="K987" i="2"/>
  <c r="J987" i="2"/>
  <c r="Q987" i="2"/>
  <c r="O987" i="2"/>
  <c r="I614" i="2"/>
  <c r="I617" i="2"/>
  <c r="I620" i="2"/>
  <c r="I650" i="2"/>
  <c r="J658" i="2"/>
  <c r="H658" i="2"/>
  <c r="L658" i="2"/>
  <c r="J678" i="2"/>
  <c r="H678" i="2"/>
  <c r="T678" i="2"/>
  <c r="J688" i="2"/>
  <c r="H688" i="2"/>
  <c r="N688" i="2"/>
  <c r="I703" i="2"/>
  <c r="I713" i="2"/>
  <c r="I723" i="2"/>
  <c r="J733" i="2"/>
  <c r="K738" i="2"/>
  <c r="O741" i="2"/>
  <c r="J743" i="2"/>
  <c r="N746" i="2"/>
  <c r="K748" i="2"/>
  <c r="O751" i="2"/>
  <c r="J753" i="2"/>
  <c r="N756" i="2"/>
  <c r="K758" i="2"/>
  <c r="R761" i="2"/>
  <c r="K765" i="2"/>
  <c r="O770" i="2"/>
  <c r="I776" i="2"/>
  <c r="P781" i="2"/>
  <c r="K800" i="2"/>
  <c r="P806" i="2"/>
  <c r="N806" i="2"/>
  <c r="I806" i="2"/>
  <c r="T806" i="2"/>
  <c r="S806" i="2"/>
  <c r="J806" i="2"/>
  <c r="Q822" i="2"/>
  <c r="R855" i="2"/>
  <c r="Q855" i="2"/>
  <c r="M855" i="2"/>
  <c r="K855" i="2"/>
  <c r="N855" i="2"/>
  <c r="J855" i="2"/>
  <c r="I855" i="2"/>
  <c r="Q864" i="2"/>
  <c r="O912" i="2"/>
  <c r="O917" i="2"/>
  <c r="P917" i="2"/>
  <c r="N917" i="2"/>
  <c r="L917" i="2"/>
  <c r="T917" i="2"/>
  <c r="S917" i="2"/>
  <c r="M917" i="2"/>
  <c r="K917" i="2"/>
  <c r="I917" i="2"/>
  <c r="H917" i="2"/>
  <c r="L940" i="2"/>
  <c r="P940" i="2"/>
  <c r="I940" i="2"/>
  <c r="H940" i="2"/>
  <c r="T940" i="2"/>
  <c r="Q940" i="2"/>
  <c r="N940" i="2"/>
  <c r="M940" i="2"/>
  <c r="M987" i="2"/>
  <c r="N996" i="2"/>
  <c r="I996" i="2"/>
  <c r="T996" i="2"/>
  <c r="S996" i="2"/>
  <c r="R996" i="2"/>
  <c r="Q996" i="2"/>
  <c r="K996" i="2"/>
  <c r="P996" i="2"/>
  <c r="O996" i="2"/>
  <c r="N801" i="2"/>
  <c r="S801" i="2"/>
  <c r="P808" i="2"/>
  <c r="O808" i="2"/>
  <c r="J808" i="2"/>
  <c r="H808" i="2"/>
  <c r="J817" i="2"/>
  <c r="I817" i="2"/>
  <c r="Q817" i="2"/>
  <c r="O817" i="2"/>
  <c r="H817" i="2"/>
  <c r="N881" i="2"/>
  <c r="M881" i="2"/>
  <c r="Q881" i="2"/>
  <c r="P881" i="2"/>
  <c r="O881" i="2"/>
  <c r="S881" i="2"/>
  <c r="L881" i="2"/>
  <c r="K881" i="2"/>
  <c r="S899" i="2"/>
  <c r="Q899" i="2"/>
  <c r="P899" i="2"/>
  <c r="O899" i="2"/>
  <c r="L899" i="2"/>
  <c r="N899" i="2"/>
  <c r="K899" i="2"/>
  <c r="M920" i="2"/>
  <c r="O920" i="2"/>
  <c r="N920" i="2"/>
  <c r="K920" i="2"/>
  <c r="S920" i="2"/>
  <c r="L920" i="2"/>
  <c r="I920" i="2"/>
  <c r="P964" i="2"/>
  <c r="M964" i="2"/>
  <c r="R964" i="2"/>
  <c r="T964" i="2"/>
  <c r="O964" i="2"/>
  <c r="L964" i="2"/>
  <c r="K964" i="2"/>
  <c r="P988" i="2"/>
  <c r="M988" i="2"/>
  <c r="H988" i="2"/>
  <c r="J988" i="2"/>
  <c r="N988" i="2"/>
  <c r="L988" i="2"/>
  <c r="I988" i="2"/>
  <c r="T988" i="2"/>
  <c r="S988" i="2"/>
  <c r="O988" i="2"/>
  <c r="N1042" i="2"/>
  <c r="J1042" i="2"/>
  <c r="T1042" i="2"/>
  <c r="O1042" i="2"/>
  <c r="P1042" i="2"/>
  <c r="M1042" i="2"/>
  <c r="L1042" i="2"/>
  <c r="L950" i="2"/>
  <c r="Q950" i="2"/>
  <c r="P950" i="2"/>
  <c r="O950" i="2"/>
  <c r="K950" i="2"/>
  <c r="I950" i="2"/>
  <c r="N950" i="2"/>
  <c r="J950" i="2"/>
  <c r="H950" i="2"/>
  <c r="J972" i="2"/>
  <c r="H972" i="2"/>
  <c r="O972" i="2"/>
  <c r="N972" i="2"/>
  <c r="L972" i="2"/>
  <c r="T972" i="2"/>
  <c r="Q972" i="2"/>
  <c r="M972" i="2"/>
  <c r="R972" i="2"/>
  <c r="P972" i="2"/>
  <c r="K972" i="2"/>
  <c r="I972" i="2"/>
  <c r="R980" i="2"/>
  <c r="T980" i="2"/>
  <c r="S980" i="2"/>
  <c r="O980" i="2"/>
  <c r="M980" i="2"/>
  <c r="K980" i="2"/>
  <c r="I980" i="2"/>
  <c r="R865" i="2"/>
  <c r="Q865" i="2"/>
  <c r="T865" i="2"/>
  <c r="S865" i="2"/>
  <c r="O865" i="2"/>
  <c r="M865" i="2"/>
  <c r="S915" i="2"/>
  <c r="R915" i="2"/>
  <c r="J915" i="2"/>
  <c r="H915" i="2"/>
  <c r="M950" i="2"/>
  <c r="S972" i="2"/>
  <c r="H980" i="2"/>
  <c r="R1000" i="2"/>
  <c r="P1000" i="2"/>
  <c r="M1000" i="2"/>
  <c r="H1000" i="2"/>
  <c r="O1000" i="2"/>
  <c r="T1000" i="2"/>
  <c r="L1000" i="2"/>
  <c r="J1000" i="2"/>
  <c r="T1013" i="2"/>
  <c r="P1013" i="2"/>
  <c r="L1013" i="2"/>
  <c r="I1013" i="2"/>
  <c r="M1013" i="2"/>
  <c r="O1013" i="2"/>
  <c r="S1013" i="2"/>
  <c r="R1013" i="2"/>
  <c r="Q1013" i="2"/>
  <c r="H1013" i="2"/>
  <c r="K1042" i="2"/>
  <c r="H1051" i="2"/>
  <c r="N1051" i="2"/>
  <c r="K1051" i="2"/>
  <c r="S1051" i="2"/>
  <c r="Q1051" i="2"/>
  <c r="L1051" i="2"/>
  <c r="J1051" i="2"/>
  <c r="P1051" i="2"/>
  <c r="O1051" i="2"/>
  <c r="M1051" i="2"/>
  <c r="T1051" i="2"/>
  <c r="O801" i="2"/>
  <c r="R805" i="2"/>
  <c r="Q805" i="2"/>
  <c r="H805" i="2"/>
  <c r="R808" i="2"/>
  <c r="L814" i="2"/>
  <c r="K814" i="2"/>
  <c r="O814" i="2"/>
  <c r="M814" i="2"/>
  <c r="S817" i="2"/>
  <c r="Q833" i="2"/>
  <c r="O833" i="2"/>
  <c r="J833" i="2"/>
  <c r="H833" i="2"/>
  <c r="K865" i="2"/>
  <c r="T902" i="2"/>
  <c r="S902" i="2"/>
  <c r="Q902" i="2"/>
  <c r="R902" i="2"/>
  <c r="N902" i="2"/>
  <c r="P902" i="2"/>
  <c r="M902" i="2"/>
  <c r="L902" i="2"/>
  <c r="M915" i="2"/>
  <c r="S921" i="2"/>
  <c r="R921" i="2"/>
  <c r="J921" i="2"/>
  <c r="I921" i="2"/>
  <c r="H921" i="2"/>
  <c r="T921" i="2"/>
  <c r="P921" i="2"/>
  <c r="O921" i="2"/>
  <c r="K923" i="2"/>
  <c r="O923" i="2"/>
  <c r="N923" i="2"/>
  <c r="L923" i="2"/>
  <c r="P923" i="2"/>
  <c r="J923" i="2"/>
  <c r="I923" i="2"/>
  <c r="P980" i="2"/>
  <c r="Q1000" i="2"/>
  <c r="T1014" i="2"/>
  <c r="Q1014" i="2"/>
  <c r="L1014" i="2"/>
  <c r="P1014" i="2"/>
  <c r="O1014" i="2"/>
  <c r="M1014" i="2"/>
  <c r="K1014" i="2"/>
  <c r="J1014" i="2"/>
  <c r="I1014" i="2"/>
  <c r="S1014" i="2"/>
  <c r="R1014" i="2"/>
  <c r="N1014" i="2"/>
  <c r="H1014" i="2"/>
  <c r="J1018" i="2"/>
  <c r="I1018" i="2"/>
  <c r="T1018" i="2"/>
  <c r="S1018" i="2"/>
  <c r="Q1018" i="2"/>
  <c r="P1018" i="2"/>
  <c r="N1018" i="2"/>
  <c r="R1018" i="2"/>
  <c r="O1018" i="2"/>
  <c r="L1018" i="2"/>
  <c r="R1036" i="2"/>
  <c r="N1036" i="2"/>
  <c r="O1036" i="2"/>
  <c r="L1036" i="2"/>
  <c r="K1036" i="2"/>
  <c r="J1036" i="2"/>
  <c r="I1036" i="2"/>
  <c r="H1036" i="2"/>
  <c r="M1036" i="2"/>
  <c r="H774" i="2"/>
  <c r="P801" i="2"/>
  <c r="I805" i="2"/>
  <c r="S808" i="2"/>
  <c r="H814" i="2"/>
  <c r="T817" i="2"/>
  <c r="S843" i="2"/>
  <c r="O843" i="2"/>
  <c r="M843" i="2"/>
  <c r="H843" i="2"/>
  <c r="R845" i="2"/>
  <c r="Q845" i="2"/>
  <c r="M845" i="2"/>
  <c r="J845" i="2"/>
  <c r="H845" i="2"/>
  <c r="T849" i="2"/>
  <c r="O849" i="2"/>
  <c r="M849" i="2"/>
  <c r="L865" i="2"/>
  <c r="N871" i="2"/>
  <c r="M871" i="2"/>
  <c r="L871" i="2"/>
  <c r="J871" i="2"/>
  <c r="N891" i="2"/>
  <c r="M891" i="2"/>
  <c r="K891" i="2"/>
  <c r="O891" i="2"/>
  <c r="L891" i="2"/>
  <c r="J891" i="2"/>
  <c r="S891" i="2"/>
  <c r="H891" i="2"/>
  <c r="H902" i="2"/>
  <c r="N915" i="2"/>
  <c r="K921" i="2"/>
  <c r="H923" i="2"/>
  <c r="I978" i="2"/>
  <c r="H978" i="2"/>
  <c r="T978" i="2"/>
  <c r="S978" i="2"/>
  <c r="P978" i="2"/>
  <c r="N978" i="2"/>
  <c r="M978" i="2"/>
  <c r="Q980" i="2"/>
  <c r="S1000" i="2"/>
  <c r="L1015" i="2"/>
  <c r="H1015" i="2"/>
  <c r="T1015" i="2"/>
  <c r="K1015" i="2"/>
  <c r="O1015" i="2"/>
  <c r="Q1015" i="2"/>
  <c r="N1015" i="2"/>
  <c r="H1018" i="2"/>
  <c r="P1036" i="2"/>
  <c r="R801" i="2"/>
  <c r="K805" i="2"/>
  <c r="R809" i="2"/>
  <c r="P809" i="2"/>
  <c r="K809" i="2"/>
  <c r="J814" i="2"/>
  <c r="L833" i="2"/>
  <c r="N841" i="2"/>
  <c r="M841" i="2"/>
  <c r="T841" i="2"/>
  <c r="R841" i="2"/>
  <c r="K841" i="2"/>
  <c r="I841" i="2"/>
  <c r="J843" i="2"/>
  <c r="K845" i="2"/>
  <c r="I849" i="2"/>
  <c r="P865" i="2"/>
  <c r="I871" i="2"/>
  <c r="P891" i="2"/>
  <c r="J902" i="2"/>
  <c r="R905" i="2"/>
  <c r="Q905" i="2"/>
  <c r="O905" i="2"/>
  <c r="M905" i="2"/>
  <c r="K905" i="2"/>
  <c r="P915" i="2"/>
  <c r="M921" i="2"/>
  <c r="Q923" i="2"/>
  <c r="P954" i="2"/>
  <c r="I954" i="2"/>
  <c r="M954" i="2"/>
  <c r="L954" i="2"/>
  <c r="J954" i="2"/>
  <c r="N954" i="2"/>
  <c r="K954" i="2"/>
  <c r="H954" i="2"/>
  <c r="K978" i="2"/>
  <c r="J1015" i="2"/>
  <c r="M1018" i="2"/>
  <c r="S1036" i="2"/>
  <c r="N976" i="2"/>
  <c r="P976" i="2"/>
  <c r="L976" i="2"/>
  <c r="K976" i="2"/>
  <c r="T976" i="2"/>
  <c r="Q976" i="2"/>
  <c r="M976" i="2"/>
  <c r="P993" i="2"/>
  <c r="I993" i="2"/>
  <c r="N993" i="2"/>
  <c r="T993" i="2"/>
  <c r="S993" i="2"/>
  <c r="Q993" i="2"/>
  <c r="K993" i="2"/>
  <c r="J993" i="2"/>
  <c r="H993" i="2"/>
  <c r="R1020" i="2"/>
  <c r="P1020" i="2"/>
  <c r="S1020" i="2"/>
  <c r="Q1020" i="2"/>
  <c r="T1020" i="2"/>
  <c r="O1020" i="2"/>
  <c r="M1020" i="2"/>
  <c r="L1045" i="2"/>
  <c r="H1045" i="2"/>
  <c r="I1045" i="2"/>
  <c r="S1045" i="2"/>
  <c r="R1045" i="2"/>
  <c r="P1045" i="2"/>
  <c r="T1045" i="2"/>
  <c r="Q1045" i="2"/>
  <c r="O1045" i="2"/>
  <c r="N79" i="3"/>
  <c r="R895" i="2"/>
  <c r="Q895" i="2"/>
  <c r="O895" i="2"/>
  <c r="R941" i="2"/>
  <c r="Q941" i="2"/>
  <c r="P941" i="2"/>
  <c r="N941" i="2"/>
  <c r="M941" i="2"/>
  <c r="L941" i="2"/>
  <c r="K941" i="2"/>
  <c r="H941" i="2"/>
  <c r="P955" i="2"/>
  <c r="T955" i="2"/>
  <c r="R955" i="2"/>
  <c r="Q955" i="2"/>
  <c r="N955" i="2"/>
  <c r="R976" i="2"/>
  <c r="N986" i="2"/>
  <c r="T986" i="2"/>
  <c r="O986" i="2"/>
  <c r="L986" i="2"/>
  <c r="P986" i="2"/>
  <c r="M986" i="2"/>
  <c r="J986" i="2"/>
  <c r="S986" i="2"/>
  <c r="R986" i="2"/>
  <c r="Q986" i="2"/>
  <c r="P994" i="2"/>
  <c r="M994" i="2"/>
  <c r="H994" i="2"/>
  <c r="T994" i="2"/>
  <c r="S994" i="2"/>
  <c r="R994" i="2"/>
  <c r="L999" i="2"/>
  <c r="I999" i="2"/>
  <c r="N999" i="2"/>
  <c r="M999" i="2"/>
  <c r="J999" i="2"/>
  <c r="P999" i="2"/>
  <c r="O999" i="2"/>
  <c r="K999" i="2"/>
  <c r="L1020" i="2"/>
  <c r="R1046" i="2"/>
  <c r="N1046" i="2"/>
  <c r="Q1046" i="2"/>
  <c r="M1046" i="2"/>
  <c r="H1046" i="2"/>
  <c r="T1046" i="2"/>
  <c r="S1046" i="2"/>
  <c r="J1046" i="2"/>
  <c r="O1046" i="2"/>
  <c r="L1046" i="2"/>
  <c r="K1046" i="2"/>
  <c r="N50" i="3"/>
  <c r="P828" i="2"/>
  <c r="O828" i="2"/>
  <c r="I828" i="2"/>
  <c r="P838" i="2"/>
  <c r="O838" i="2"/>
  <c r="P878" i="2"/>
  <c r="O878" i="2"/>
  <c r="N878" i="2"/>
  <c r="M878" i="2"/>
  <c r="L878" i="2"/>
  <c r="J893" i="2"/>
  <c r="I893" i="2"/>
  <c r="H893" i="2"/>
  <c r="H895" i="2"/>
  <c r="Q914" i="2"/>
  <c r="O914" i="2"/>
  <c r="N914" i="2"/>
  <c r="L914" i="2"/>
  <c r="P914" i="2"/>
  <c r="M914" i="2"/>
  <c r="K914" i="2"/>
  <c r="H914" i="2"/>
  <c r="K933" i="2"/>
  <c r="T933" i="2"/>
  <c r="R933" i="2"/>
  <c r="Q933" i="2"/>
  <c r="I941" i="2"/>
  <c r="H946" i="2"/>
  <c r="P946" i="2"/>
  <c r="N946" i="2"/>
  <c r="M946" i="2"/>
  <c r="K946" i="2"/>
  <c r="R946" i="2"/>
  <c r="O946" i="2"/>
  <c r="H955" i="2"/>
  <c r="R961" i="2"/>
  <c r="P961" i="2"/>
  <c r="O961" i="2"/>
  <c r="N961" i="2"/>
  <c r="M961" i="2"/>
  <c r="J961" i="2"/>
  <c r="H961" i="2"/>
  <c r="S976" i="2"/>
  <c r="H986" i="2"/>
  <c r="I994" i="2"/>
  <c r="H999" i="2"/>
  <c r="N1020" i="2"/>
  <c r="I1046" i="2"/>
  <c r="N1052" i="2"/>
  <c r="J1052" i="2"/>
  <c r="S1052" i="2"/>
  <c r="M1052" i="2"/>
  <c r="L1052" i="2"/>
  <c r="K1052" i="2"/>
  <c r="P1052" i="2"/>
  <c r="O1052" i="2"/>
  <c r="H1052" i="2"/>
  <c r="N89" i="3"/>
  <c r="N957" i="2"/>
  <c r="I957" i="2"/>
  <c r="P957" i="2"/>
  <c r="O957" i="2"/>
  <c r="L957" i="2"/>
  <c r="T957" i="2"/>
  <c r="Q957" i="2"/>
  <c r="K957" i="2"/>
  <c r="H1021" i="2"/>
  <c r="L1021" i="2"/>
  <c r="I1021" i="2"/>
  <c r="Q1021" i="2"/>
  <c r="T1021" i="2"/>
  <c r="S1021" i="2"/>
  <c r="O1021" i="2"/>
  <c r="N1021" i="2"/>
  <c r="M1021" i="2"/>
  <c r="R825" i="2"/>
  <c r="Q825" i="2"/>
  <c r="J828" i="2"/>
  <c r="I838" i="2"/>
  <c r="T862" i="2"/>
  <c r="S862" i="2"/>
  <c r="Q862" i="2"/>
  <c r="P862" i="2"/>
  <c r="O862" i="2"/>
  <c r="J895" i="2"/>
  <c r="O941" i="2"/>
  <c r="P944" i="2"/>
  <c r="T944" i="2"/>
  <c r="S944" i="2"/>
  <c r="Q944" i="2"/>
  <c r="R944" i="2"/>
  <c r="N944" i="2"/>
  <c r="J953" i="2"/>
  <c r="S953" i="2"/>
  <c r="Q953" i="2"/>
  <c r="J955" i="2"/>
  <c r="H957" i="2"/>
  <c r="R970" i="2"/>
  <c r="O970" i="2"/>
  <c r="L970" i="2"/>
  <c r="S970" i="2"/>
  <c r="Q970" i="2"/>
  <c r="N970" i="2"/>
  <c r="M970" i="2"/>
  <c r="J970" i="2"/>
  <c r="I984" i="2"/>
  <c r="Q984" i="2"/>
  <c r="R984" i="2"/>
  <c r="P984" i="2"/>
  <c r="N984" i="2"/>
  <c r="O984" i="2"/>
  <c r="M984" i="2"/>
  <c r="L984" i="2"/>
  <c r="K986" i="2"/>
  <c r="K994" i="2"/>
  <c r="R999" i="2"/>
  <c r="H1011" i="2"/>
  <c r="R1011" i="2"/>
  <c r="O1011" i="2"/>
  <c r="J1011" i="2"/>
  <c r="N1011" i="2"/>
  <c r="P1011" i="2"/>
  <c r="T1011" i="2"/>
  <c r="S1011" i="2"/>
  <c r="L1011" i="2"/>
  <c r="K1011" i="2"/>
  <c r="I1011" i="2"/>
  <c r="J1021" i="2"/>
  <c r="N1024" i="2"/>
  <c r="K1024" i="2"/>
  <c r="P1024" i="2"/>
  <c r="O1024" i="2"/>
  <c r="T1024" i="2"/>
  <c r="R1024" i="2"/>
  <c r="L1024" i="2"/>
  <c r="J1024" i="2"/>
  <c r="I1024" i="2"/>
  <c r="R1040" i="2"/>
  <c r="L1040" i="2"/>
  <c r="I1040" i="2"/>
  <c r="P1040" i="2"/>
  <c r="M1040" i="2"/>
  <c r="K1040" i="2"/>
  <c r="T1040" i="2"/>
  <c r="O1040" i="2"/>
  <c r="N1040" i="2"/>
  <c r="J1040" i="2"/>
  <c r="L803" i="2"/>
  <c r="L825" i="2"/>
  <c r="Q828" i="2"/>
  <c r="N838" i="2"/>
  <c r="L862" i="2"/>
  <c r="P868" i="2"/>
  <c r="O868" i="2"/>
  <c r="S878" i="2"/>
  <c r="L884" i="2"/>
  <c r="K884" i="2"/>
  <c r="I884" i="2"/>
  <c r="T884" i="2"/>
  <c r="S884" i="2"/>
  <c r="R884" i="2"/>
  <c r="Q893" i="2"/>
  <c r="P895" i="2"/>
  <c r="O933" i="2"/>
  <c r="L944" i="2"/>
  <c r="M953" i="2"/>
  <c r="S955" i="2"/>
  <c r="L962" i="2"/>
  <c r="K962" i="2"/>
  <c r="I962" i="2"/>
  <c r="S962" i="2"/>
  <c r="T970" i="2"/>
  <c r="T984" i="2"/>
  <c r="H995" i="2"/>
  <c r="T995" i="2"/>
  <c r="O995" i="2"/>
  <c r="K995" i="2"/>
  <c r="R995" i="2"/>
  <c r="Q995" i="2"/>
  <c r="N995" i="2"/>
  <c r="M995" i="2"/>
  <c r="L995" i="2"/>
  <c r="J995" i="2"/>
  <c r="S1044" i="2"/>
  <c r="N1044" i="2"/>
  <c r="T1044" i="2"/>
  <c r="R1044" i="2"/>
  <c r="L1044" i="2"/>
  <c r="P1044" i="2"/>
  <c r="O1044" i="2"/>
  <c r="N825" i="2"/>
  <c r="S828" i="2"/>
  <c r="J837" i="2"/>
  <c r="I837" i="2"/>
  <c r="P837" i="2"/>
  <c r="R838" i="2"/>
  <c r="N862" i="2"/>
  <c r="I868" i="2"/>
  <c r="J884" i="2"/>
  <c r="T892" i="2"/>
  <c r="S892" i="2"/>
  <c r="Q892" i="2"/>
  <c r="S893" i="2"/>
  <c r="T895" i="2"/>
  <c r="S933" i="2"/>
  <c r="O944" i="2"/>
  <c r="O953" i="2"/>
  <c r="J962" i="2"/>
  <c r="P995" i="2"/>
  <c r="I1044" i="2"/>
  <c r="Q924" i="2"/>
  <c r="S924" i="2"/>
  <c r="N932" i="2"/>
  <c r="M932" i="2"/>
  <c r="K932" i="2"/>
  <c r="R1016" i="2"/>
  <c r="N1016" i="2"/>
  <c r="O1016" i="2"/>
  <c r="K1016" i="2"/>
  <c r="Q1016" i="2"/>
  <c r="P1016" i="2"/>
  <c r="L1016" i="2"/>
  <c r="H1001" i="2"/>
  <c r="P1001" i="2"/>
  <c r="L1001" i="2"/>
  <c r="K1001" i="2"/>
  <c r="I1001" i="2"/>
  <c r="R1026" i="2"/>
  <c r="N1026" i="2"/>
  <c r="H1026" i="2"/>
  <c r="M1026" i="2"/>
  <c r="L1026" i="2"/>
  <c r="S1026" i="2"/>
  <c r="N9" i="3"/>
  <c r="Y15" i="2" s="1"/>
  <c r="AD15" i="2" s="1"/>
  <c r="I924" i="2"/>
  <c r="I932" i="2"/>
  <c r="L989" i="2"/>
  <c r="T989" i="2"/>
  <c r="O989" i="2"/>
  <c r="J1001" i="2"/>
  <c r="I1016" i="2"/>
  <c r="P1019" i="2"/>
  <c r="L1019" i="2"/>
  <c r="R1019" i="2"/>
  <c r="N1019" i="2"/>
  <c r="H1019" i="2"/>
  <c r="Q1019" i="2"/>
  <c r="I1026" i="2"/>
  <c r="N861" i="2"/>
  <c r="M861" i="2"/>
  <c r="P888" i="2"/>
  <c r="O888" i="2"/>
  <c r="M888" i="2"/>
  <c r="J906" i="2"/>
  <c r="S911" i="2"/>
  <c r="O911" i="2"/>
  <c r="N911" i="2"/>
  <c r="L911" i="2"/>
  <c r="L924" i="2"/>
  <c r="O932" i="2"/>
  <c r="N947" i="2"/>
  <c r="S947" i="2"/>
  <c r="S971" i="2"/>
  <c r="L971" i="2"/>
  <c r="J989" i="2"/>
  <c r="P991" i="2"/>
  <c r="M991" i="2"/>
  <c r="H991" i="2"/>
  <c r="R991" i="2"/>
  <c r="S991" i="2"/>
  <c r="O1001" i="2"/>
  <c r="S1016" i="2"/>
  <c r="K1019" i="2"/>
  <c r="O1026" i="2"/>
  <c r="J1038" i="2"/>
  <c r="R1038" i="2"/>
  <c r="O1038" i="2"/>
  <c r="I1038" i="2"/>
  <c r="S1038" i="2"/>
  <c r="K1038" i="2"/>
  <c r="H1038" i="2"/>
  <c r="P858" i="2"/>
  <c r="O858" i="2"/>
  <c r="H861" i="2"/>
  <c r="H869" i="2"/>
  <c r="H888" i="2"/>
  <c r="P898" i="2"/>
  <c r="O898" i="2"/>
  <c r="M898" i="2"/>
  <c r="K906" i="2"/>
  <c r="H911" i="2"/>
  <c r="M924" i="2"/>
  <c r="I926" i="2"/>
  <c r="O926" i="2"/>
  <c r="N926" i="2"/>
  <c r="L926" i="2"/>
  <c r="P932" i="2"/>
  <c r="I936" i="2"/>
  <c r="T936" i="2"/>
  <c r="R936" i="2"/>
  <c r="H947" i="2"/>
  <c r="T958" i="2"/>
  <c r="P958" i="2"/>
  <c r="S965" i="2"/>
  <c r="N965" i="2"/>
  <c r="M965" i="2"/>
  <c r="K965" i="2"/>
  <c r="H971" i="2"/>
  <c r="T977" i="2"/>
  <c r="S977" i="2"/>
  <c r="P977" i="2"/>
  <c r="O977" i="2"/>
  <c r="M977" i="2"/>
  <c r="K989" i="2"/>
  <c r="I991" i="2"/>
  <c r="Q1001" i="2"/>
  <c r="T1016" i="2"/>
  <c r="M1019" i="2"/>
  <c r="P1026" i="2"/>
  <c r="L1038" i="2"/>
  <c r="H1041" i="2"/>
  <c r="T1041" i="2"/>
  <c r="Q1041" i="2"/>
  <c r="L1041" i="2"/>
  <c r="J1041" i="2"/>
  <c r="I1041" i="2"/>
  <c r="P1041" i="2"/>
  <c r="O1041" i="2"/>
  <c r="M1041" i="2"/>
  <c r="N84" i="3"/>
  <c r="J847" i="2"/>
  <c r="I847" i="2"/>
  <c r="H858" i="2"/>
  <c r="I861" i="2"/>
  <c r="I888" i="2"/>
  <c r="H898" i="2"/>
  <c r="I911" i="2"/>
  <c r="N924" i="2"/>
  <c r="H926" i="2"/>
  <c r="Q932" i="2"/>
  <c r="H936" i="2"/>
  <c r="I947" i="2"/>
  <c r="I971" i="2"/>
  <c r="H975" i="2"/>
  <c r="I975" i="2"/>
  <c r="T975" i="2"/>
  <c r="S975" i="2"/>
  <c r="Q975" i="2"/>
  <c r="L979" i="2"/>
  <c r="P979" i="2"/>
  <c r="M979" i="2"/>
  <c r="R979" i="2"/>
  <c r="N979" i="2"/>
  <c r="K979" i="2"/>
  <c r="I979" i="2"/>
  <c r="M989" i="2"/>
  <c r="J991" i="2"/>
  <c r="R1001" i="2"/>
  <c r="N1012" i="2"/>
  <c r="J1012" i="2"/>
  <c r="R1012" i="2"/>
  <c r="Q1012" i="2"/>
  <c r="P1012" i="2"/>
  <c r="M1012" i="2"/>
  <c r="T1017" i="2"/>
  <c r="S1017" i="2"/>
  <c r="N1017" i="2"/>
  <c r="I1017" i="2"/>
  <c r="H1017" i="2"/>
  <c r="O1017" i="2"/>
  <c r="O1019" i="2"/>
  <c r="N1022" i="2"/>
  <c r="J1022" i="2"/>
  <c r="T1022" i="2"/>
  <c r="Q1022" i="2"/>
  <c r="K1022" i="2"/>
  <c r="R1022" i="2"/>
  <c r="P1022" i="2"/>
  <c r="O1022" i="2"/>
  <c r="Q1026" i="2"/>
  <c r="M1038" i="2"/>
  <c r="K1041" i="2"/>
  <c r="N18" i="3"/>
  <c r="N60" i="3"/>
  <c r="R1004" i="2"/>
  <c r="K1004" i="2"/>
  <c r="N1032" i="2"/>
  <c r="J1032" i="2"/>
  <c r="M1032" i="2"/>
  <c r="I1032" i="2"/>
  <c r="T1047" i="2"/>
  <c r="P1047" i="2"/>
  <c r="P1049" i="2"/>
  <c r="L1049" i="2"/>
  <c r="T1049" i="2"/>
  <c r="Q1049" i="2"/>
  <c r="J1049" i="2"/>
  <c r="M1055" i="2"/>
  <c r="L1055" i="2"/>
  <c r="H1055" i="2"/>
  <c r="Q1055" i="2"/>
  <c r="T1055" i="2"/>
  <c r="S1055" i="2"/>
  <c r="K1055" i="2"/>
  <c r="J1028" i="2"/>
  <c r="P1028" i="2"/>
  <c r="L1028" i="2"/>
  <c r="K1028" i="2"/>
  <c r="N55" i="3"/>
  <c r="R951" i="2"/>
  <c r="I951" i="2"/>
  <c r="T967" i="2"/>
  <c r="O967" i="2"/>
  <c r="L967" i="2"/>
  <c r="S974" i="2"/>
  <c r="P974" i="2"/>
  <c r="I981" i="2"/>
  <c r="M981" i="2"/>
  <c r="Q1004" i="2"/>
  <c r="S1028" i="2"/>
  <c r="T1032" i="2"/>
  <c r="L1035" i="2"/>
  <c r="H1035" i="2"/>
  <c r="P1035" i="2"/>
  <c r="M1035" i="2"/>
  <c r="R1035" i="2"/>
  <c r="Q1035" i="2"/>
  <c r="I1035" i="2"/>
  <c r="Q1047" i="2"/>
  <c r="R1050" i="2"/>
  <c r="S1050" i="2"/>
  <c r="N1050" i="2"/>
  <c r="M1050" i="2"/>
  <c r="H1050" i="2"/>
  <c r="I887" i="2"/>
  <c r="I897" i="2"/>
  <c r="I907" i="2"/>
  <c r="T948" i="2"/>
  <c r="I948" i="2"/>
  <c r="J951" i="2"/>
  <c r="I959" i="2"/>
  <c r="I967" i="2"/>
  <c r="I974" i="2"/>
  <c r="J981" i="2"/>
  <c r="J992" i="2"/>
  <c r="T992" i="2"/>
  <c r="O992" i="2"/>
  <c r="T1003" i="2"/>
  <c r="P1003" i="2"/>
  <c r="S1003" i="2"/>
  <c r="O1003" i="2"/>
  <c r="J1003" i="2"/>
  <c r="T1004" i="2"/>
  <c r="T1007" i="2"/>
  <c r="H1007" i="2"/>
  <c r="S1007" i="2"/>
  <c r="T1023" i="2"/>
  <c r="P1023" i="2"/>
  <c r="S1023" i="2"/>
  <c r="T1027" i="2"/>
  <c r="P1027" i="2"/>
  <c r="M1027" i="2"/>
  <c r="H1027" i="2"/>
  <c r="H1031" i="2"/>
  <c r="R1031" i="2"/>
  <c r="T1031" i="2"/>
  <c r="S1031" i="2"/>
  <c r="M1031" i="2"/>
  <c r="K1035" i="2"/>
  <c r="S1047" i="2"/>
  <c r="J1050" i="2"/>
  <c r="N937" i="2"/>
  <c r="P937" i="2"/>
  <c r="H948" i="2"/>
  <c r="K951" i="2"/>
  <c r="J967" i="2"/>
  <c r="L969" i="2"/>
  <c r="H969" i="2"/>
  <c r="Q969" i="2"/>
  <c r="J974" i="2"/>
  <c r="K981" i="2"/>
  <c r="P983" i="2"/>
  <c r="T983" i="2"/>
  <c r="H983" i="2"/>
  <c r="H992" i="2"/>
  <c r="H1003" i="2"/>
  <c r="L1005" i="2"/>
  <c r="H1005" i="2"/>
  <c r="N1005" i="2"/>
  <c r="J1005" i="2"/>
  <c r="I1007" i="2"/>
  <c r="H1023" i="2"/>
  <c r="L1025" i="2"/>
  <c r="H1025" i="2"/>
  <c r="S1025" i="2"/>
  <c r="N1025" i="2"/>
  <c r="I1027" i="2"/>
  <c r="I1031" i="2"/>
  <c r="N1035" i="2"/>
  <c r="J1048" i="2"/>
  <c r="L1048" i="2"/>
  <c r="H1048" i="2"/>
  <c r="Q1048" i="2"/>
  <c r="P1048" i="2"/>
  <c r="I1048" i="2"/>
  <c r="K1050" i="2"/>
  <c r="N63" i="3"/>
  <c r="S1059" i="2"/>
  <c r="Q1059" i="2"/>
  <c r="P1059" i="2"/>
  <c r="M1059" i="2"/>
  <c r="L1059" i="2"/>
  <c r="O1059" i="2"/>
  <c r="I1059" i="2"/>
  <c r="H1059" i="2"/>
  <c r="N24" i="3"/>
  <c r="R1030" i="2"/>
  <c r="S1030" i="2"/>
  <c r="O1030" i="2"/>
  <c r="J1030" i="2"/>
  <c r="T1043" i="2"/>
  <c r="P1043" i="2"/>
  <c r="N1043" i="2"/>
  <c r="K1043" i="2"/>
  <c r="T1059" i="2"/>
  <c r="P973" i="2"/>
  <c r="O973" i="2"/>
  <c r="L973" i="2"/>
  <c r="R990" i="2"/>
  <c r="I990" i="2"/>
  <c r="T997" i="2"/>
  <c r="P997" i="2"/>
  <c r="M997" i="2"/>
  <c r="H997" i="2"/>
  <c r="H1030" i="2"/>
  <c r="H1043" i="2"/>
  <c r="N4" i="3"/>
  <c r="M985" i="2"/>
  <c r="N1002" i="2"/>
  <c r="J1002" i="2"/>
  <c r="M1008" i="2"/>
  <c r="P1029" i="2"/>
  <c r="L1029" i="2"/>
  <c r="P985" i="2"/>
  <c r="K1002" i="2"/>
  <c r="P1008" i="2"/>
  <c r="J1010" i="2"/>
  <c r="J1029" i="2"/>
  <c r="J1037" i="2"/>
  <c r="J1058" i="2"/>
  <c r="K1058" i="2"/>
  <c r="J99" i="2" l="1"/>
  <c r="O99" i="2"/>
  <c r="R99" i="2"/>
  <c r="H28" i="2"/>
  <c r="R28" i="2"/>
  <c r="Q28" i="2"/>
  <c r="N28" i="2"/>
  <c r="I28" i="2"/>
  <c r="O28" i="2"/>
  <c r="P28" i="2"/>
  <c r="L28" i="2"/>
  <c r="S28" i="2"/>
  <c r="T28" i="2"/>
  <c r="H99" i="2"/>
  <c r="N99" i="2"/>
  <c r="P99" i="2"/>
  <c r="Q99" i="2"/>
  <c r="T99" i="2"/>
  <c r="L99" i="2"/>
  <c r="K99" i="2"/>
  <c r="M99" i="2"/>
  <c r="S99" i="2"/>
  <c r="L58" i="2"/>
  <c r="N39" i="2"/>
  <c r="J28" i="2"/>
  <c r="K56" i="2"/>
  <c r="S39" i="2"/>
  <c r="H58" i="2"/>
  <c r="N58" i="2"/>
  <c r="J58" i="2"/>
  <c r="K58" i="2"/>
  <c r="R58" i="2"/>
  <c r="K39" i="2"/>
  <c r="J39" i="2"/>
  <c r="H39" i="2"/>
  <c r="Q39" i="2"/>
  <c r="M28" i="2"/>
  <c r="Q56" i="2"/>
  <c r="S58" i="2"/>
  <c r="Q58" i="2"/>
  <c r="L39" i="2"/>
  <c r="P39" i="2"/>
  <c r="I39" i="2"/>
  <c r="H56" i="2"/>
  <c r="R56" i="2"/>
  <c r="I56" i="2"/>
  <c r="M56" i="2"/>
  <c r="P56" i="2"/>
  <c r="T56" i="2"/>
  <c r="O56" i="2"/>
  <c r="S56" i="2"/>
  <c r="N56" i="2"/>
  <c r="P58" i="2"/>
  <c r="Y17" i="2"/>
  <c r="AD17" i="2" s="1"/>
  <c r="O58" i="2"/>
  <c r="T39" i="2"/>
  <c r="M58" i="2"/>
  <c r="R39" i="2"/>
  <c r="I58" i="2"/>
  <c r="O39" i="2"/>
  <c r="L56" i="2"/>
  <c r="J84" i="2"/>
  <c r="O84" i="2"/>
  <c r="H44" i="2"/>
  <c r="N44" i="2"/>
  <c r="L88" i="2"/>
  <c r="S84" i="2"/>
  <c r="T44" i="2"/>
  <c r="N23" i="2"/>
  <c r="Q10" i="2"/>
  <c r="O88" i="2"/>
  <c r="H88" i="2"/>
  <c r="K10" i="2"/>
  <c r="T47" i="2"/>
  <c r="O47" i="2"/>
  <c r="S10" i="2"/>
  <c r="T48" i="2"/>
  <c r="P10" i="2"/>
  <c r="O10" i="2"/>
  <c r="Q44" i="2"/>
  <c r="K44" i="2"/>
  <c r="S44" i="2"/>
  <c r="J44" i="2"/>
  <c r="Q84" i="2"/>
  <c r="T84" i="2"/>
  <c r="M84" i="2"/>
  <c r="T42" i="2"/>
  <c r="I44" i="2"/>
  <c r="L44" i="2"/>
  <c r="O44" i="2"/>
  <c r="R44" i="2"/>
  <c r="P44" i="2"/>
  <c r="S87" i="2"/>
  <c r="H64" i="2"/>
  <c r="J64" i="2"/>
  <c r="P64" i="2"/>
  <c r="I88" i="2"/>
  <c r="O13" i="2"/>
  <c r="I23" i="2"/>
  <c r="N88" i="2"/>
  <c r="P88" i="2"/>
  <c r="Q88" i="2"/>
  <c r="N87" i="2"/>
  <c r="O87" i="2"/>
  <c r="M87" i="2"/>
  <c r="I87" i="2"/>
  <c r="R87" i="2"/>
  <c r="J87" i="2"/>
  <c r="L87" i="2"/>
  <c r="P87" i="2"/>
  <c r="Q87" i="2"/>
  <c r="T87" i="2"/>
  <c r="K87" i="2"/>
  <c r="H10" i="2"/>
  <c r="P84" i="2"/>
  <c r="J85" i="2"/>
  <c r="S88" i="2"/>
  <c r="H84" i="2"/>
  <c r="R10" i="2"/>
  <c r="Q23" i="2"/>
  <c r="Q96" i="2"/>
  <c r="L10" i="2"/>
  <c r="R96" i="2"/>
  <c r="S81" i="2"/>
  <c r="J10" i="2"/>
  <c r="J11" i="2"/>
  <c r="N10" i="2"/>
  <c r="I10" i="2"/>
  <c r="J48" i="2"/>
  <c r="N48" i="2"/>
  <c r="M10" i="2"/>
  <c r="K88" i="2"/>
  <c r="S64" i="2"/>
  <c r="Q48" i="2"/>
  <c r="I84" i="2"/>
  <c r="R47" i="2"/>
  <c r="P48" i="2"/>
  <c r="M96" i="2"/>
  <c r="P47" i="2"/>
  <c r="K48" i="2"/>
  <c r="L48" i="2"/>
  <c r="S47" i="2"/>
  <c r="R48" i="2"/>
  <c r="J96" i="2"/>
  <c r="O48" i="2"/>
  <c r="O96" i="2"/>
  <c r="M47" i="2"/>
  <c r="P96" i="2"/>
  <c r="H96" i="2"/>
  <c r="T96" i="2"/>
  <c r="H47" i="2"/>
  <c r="I48" i="2"/>
  <c r="N96" i="2"/>
  <c r="I47" i="2"/>
  <c r="H48" i="2"/>
  <c r="Q47" i="2"/>
  <c r="N47" i="2"/>
  <c r="J47" i="2"/>
  <c r="K47" i="2"/>
  <c r="S96" i="2"/>
  <c r="Q42" i="2"/>
  <c r="P62" i="2"/>
  <c r="H74" i="2"/>
  <c r="I74" i="2"/>
  <c r="M74" i="2"/>
  <c r="N74" i="2"/>
  <c r="K64" i="2"/>
  <c r="O64" i="2"/>
  <c r="R74" i="2"/>
  <c r="T64" i="2"/>
  <c r="P81" i="2"/>
  <c r="P11" i="2"/>
  <c r="O42" i="2"/>
  <c r="T81" i="2"/>
  <c r="T13" i="2"/>
  <c r="P42" i="2"/>
  <c r="L42" i="2"/>
  <c r="J23" i="2"/>
  <c r="H42" i="2"/>
  <c r="Q19" i="2"/>
  <c r="J42" i="2"/>
  <c r="M19" i="2"/>
  <c r="I42" i="2"/>
  <c r="I19" i="2"/>
  <c r="I85" i="2"/>
  <c r="K42" i="2"/>
  <c r="O23" i="2"/>
  <c r="N84" i="2"/>
  <c r="N42" i="2"/>
  <c r="T23" i="2"/>
  <c r="S48" i="2"/>
  <c r="R84" i="2"/>
  <c r="O81" i="2"/>
  <c r="M42" i="2"/>
  <c r="S23" i="2"/>
  <c r="M11" i="2"/>
  <c r="N64" i="2"/>
  <c r="L19" i="2"/>
  <c r="N19" i="2"/>
  <c r="T19" i="2"/>
  <c r="K19" i="2"/>
  <c r="J19" i="2"/>
  <c r="R19" i="2"/>
  <c r="H19" i="2"/>
  <c r="H85" i="2"/>
  <c r="Q64" i="2"/>
  <c r="L81" i="2"/>
  <c r="M81" i="2"/>
  <c r="T18" i="2"/>
  <c r="H18" i="2"/>
  <c r="K18" i="2"/>
  <c r="N18" i="2"/>
  <c r="P18" i="2"/>
  <c r="I18" i="2"/>
  <c r="R23" i="2"/>
  <c r="J81" i="2"/>
  <c r="J18" i="2"/>
  <c r="S18" i="2"/>
  <c r="L18" i="2"/>
  <c r="I82" i="2"/>
  <c r="Q81" i="2"/>
  <c r="K23" i="2"/>
  <c r="H23" i="2"/>
  <c r="P23" i="2"/>
  <c r="H81" i="2"/>
  <c r="R18" i="2"/>
  <c r="I81" i="2"/>
  <c r="R42" i="2"/>
  <c r="K81" i="2"/>
  <c r="N81" i="2"/>
  <c r="M64" i="2"/>
  <c r="R64" i="2"/>
  <c r="Q18" i="2"/>
  <c r="M63" i="2"/>
  <c r="L64" i="2"/>
  <c r="K84" i="2"/>
  <c r="O18" i="2"/>
  <c r="P19" i="2"/>
  <c r="I63" i="2"/>
  <c r="M88" i="2"/>
  <c r="O19" i="2"/>
  <c r="N63" i="2"/>
  <c r="L63" i="2"/>
  <c r="O63" i="2"/>
  <c r="Q63" i="2"/>
  <c r="T63" i="2"/>
  <c r="H63" i="2"/>
  <c r="S63" i="2"/>
  <c r="P63" i="2"/>
  <c r="K63" i="2"/>
  <c r="R63" i="2"/>
  <c r="J88" i="2"/>
  <c r="T88" i="2"/>
  <c r="J83" i="2"/>
  <c r="S13" i="2"/>
  <c r="M85" i="2"/>
  <c r="N85" i="2"/>
  <c r="R83" i="2"/>
  <c r="K62" i="2"/>
  <c r="M23" i="2"/>
  <c r="H13" i="2"/>
  <c r="Q85" i="2"/>
  <c r="O62" i="2"/>
  <c r="X13" i="2"/>
  <c r="S83" i="2"/>
  <c r="I62" i="2"/>
  <c r="H83" i="2"/>
  <c r="I83" i="2"/>
  <c r="M83" i="2"/>
  <c r="L13" i="2"/>
  <c r="R85" i="2"/>
  <c r="T83" i="2"/>
  <c r="H62" i="2"/>
  <c r="N83" i="2"/>
  <c r="M13" i="2"/>
  <c r="S85" i="2"/>
  <c r="K85" i="2"/>
  <c r="O83" i="2"/>
  <c r="P13" i="2"/>
  <c r="O85" i="2"/>
  <c r="L83" i="2"/>
  <c r="Q83" i="2"/>
  <c r="Q13" i="2"/>
  <c r="K13" i="2"/>
  <c r="T85" i="2"/>
  <c r="P83" i="2"/>
  <c r="R13" i="2"/>
  <c r="J13" i="2"/>
  <c r="I13" i="2"/>
  <c r="L85" i="2"/>
  <c r="N11" i="2"/>
  <c r="L11" i="2"/>
  <c r="J82" i="2"/>
  <c r="H11" i="2"/>
  <c r="R11" i="2"/>
  <c r="T11" i="2"/>
  <c r="S11" i="2"/>
  <c r="I11" i="2"/>
  <c r="H82" i="2"/>
  <c r="H94" i="2"/>
  <c r="Q74" i="2"/>
  <c r="J74" i="2"/>
  <c r="O74" i="2"/>
  <c r="J95" i="2"/>
  <c r="S74" i="2"/>
  <c r="R62" i="2"/>
  <c r="L96" i="2"/>
  <c r="P94" i="2"/>
  <c r="T62" i="2"/>
  <c r="L94" i="2"/>
  <c r="M94" i="2"/>
  <c r="T94" i="2"/>
  <c r="K94" i="2"/>
  <c r="J94" i="2"/>
  <c r="I94" i="2"/>
  <c r="N95" i="2"/>
  <c r="K95" i="2"/>
  <c r="S95" i="2"/>
  <c r="P74" i="2"/>
  <c r="Q94" i="2"/>
  <c r="T26" i="2"/>
  <c r="L74" i="2"/>
  <c r="T36" i="2"/>
  <c r="N36" i="2"/>
  <c r="I96" i="2"/>
  <c r="I76" i="2"/>
  <c r="M95" i="2"/>
  <c r="P26" i="2"/>
  <c r="P95" i="2"/>
  <c r="I36" i="2"/>
  <c r="M67" i="2"/>
  <c r="R26" i="2"/>
  <c r="Q95" i="2"/>
  <c r="H67" i="2"/>
  <c r="I95" i="2"/>
  <c r="K36" i="2"/>
  <c r="O95" i="2"/>
  <c r="P36" i="2"/>
  <c r="L36" i="2"/>
  <c r="Q36" i="2"/>
  <c r="L76" i="2"/>
  <c r="M26" i="2"/>
  <c r="I67" i="2"/>
  <c r="O36" i="2"/>
  <c r="N76" i="2"/>
  <c r="H36" i="2"/>
  <c r="R36" i="2"/>
  <c r="L67" i="2"/>
  <c r="N26" i="2"/>
  <c r="L26" i="2"/>
  <c r="Q26" i="2"/>
  <c r="H26" i="2"/>
  <c r="K26" i="2"/>
  <c r="O26" i="2"/>
  <c r="M36" i="2"/>
  <c r="M76" i="2"/>
  <c r="Q76" i="2"/>
  <c r="R73" i="2"/>
  <c r="M66" i="2"/>
  <c r="R75" i="2"/>
  <c r="I26" i="2"/>
  <c r="K74" i="2"/>
  <c r="R76" i="2"/>
  <c r="J73" i="2"/>
  <c r="S76" i="2"/>
  <c r="L73" i="2"/>
  <c r="H76" i="2"/>
  <c r="T76" i="2"/>
  <c r="I73" i="2"/>
  <c r="P93" i="2"/>
  <c r="P76" i="2"/>
  <c r="K76" i="2"/>
  <c r="O76" i="2"/>
  <c r="N82" i="2"/>
  <c r="M73" i="2"/>
  <c r="O94" i="2"/>
  <c r="S36" i="2"/>
  <c r="H73" i="2"/>
  <c r="T93" i="2"/>
  <c r="S73" i="2"/>
  <c r="K93" i="2"/>
  <c r="S93" i="2"/>
  <c r="Q11" i="2"/>
  <c r="S26" i="2"/>
  <c r="Q66" i="2"/>
  <c r="J93" i="2"/>
  <c r="K82" i="2"/>
  <c r="O73" i="2"/>
  <c r="I93" i="2"/>
  <c r="N93" i="2"/>
  <c r="T82" i="2"/>
  <c r="Q73" i="2"/>
  <c r="M93" i="2"/>
  <c r="O93" i="2"/>
  <c r="T73" i="2"/>
  <c r="O11" i="2"/>
  <c r="L93" i="2"/>
  <c r="Q93" i="2"/>
  <c r="K73" i="2"/>
  <c r="R82" i="2"/>
  <c r="R93" i="2"/>
  <c r="N73" i="2"/>
  <c r="T95" i="2"/>
  <c r="P67" i="2"/>
  <c r="H95" i="2"/>
  <c r="P82" i="2"/>
  <c r="R94" i="2"/>
  <c r="S82" i="2"/>
  <c r="S94" i="2"/>
  <c r="M82" i="2"/>
  <c r="J67" i="2"/>
  <c r="Q62" i="2"/>
  <c r="S67" i="2"/>
  <c r="T67" i="2"/>
  <c r="Q67" i="2"/>
  <c r="L62" i="2"/>
  <c r="S62" i="2"/>
  <c r="J62" i="2"/>
  <c r="L82" i="2"/>
  <c r="K67" i="2"/>
  <c r="N67" i="2"/>
  <c r="R67" i="2"/>
  <c r="M16" i="2"/>
  <c r="L16" i="2"/>
  <c r="Q82" i="2"/>
  <c r="K75" i="2"/>
  <c r="J75" i="2"/>
  <c r="S75" i="2"/>
  <c r="T75" i="2"/>
  <c r="L55" i="2"/>
  <c r="L78" i="2"/>
  <c r="H75" i="2"/>
  <c r="M55" i="2"/>
  <c r="P55" i="2"/>
  <c r="H55" i="2"/>
  <c r="N55" i="2"/>
  <c r="I66" i="2"/>
  <c r="Q55" i="2"/>
  <c r="N78" i="2"/>
  <c r="O66" i="2"/>
  <c r="R55" i="2"/>
  <c r="J66" i="2"/>
  <c r="H66" i="2"/>
  <c r="P66" i="2"/>
  <c r="S55" i="2"/>
  <c r="J55" i="2"/>
  <c r="T66" i="2"/>
  <c r="T55" i="2"/>
  <c r="Q78" i="2"/>
  <c r="S66" i="2"/>
  <c r="T78" i="2"/>
  <c r="N66" i="2"/>
  <c r="S78" i="2"/>
  <c r="K78" i="2"/>
  <c r="K55" i="2"/>
  <c r="I55" i="2"/>
  <c r="R66" i="2"/>
  <c r="J77" i="2"/>
  <c r="L37" i="2"/>
  <c r="L77" i="2"/>
  <c r="N62" i="2"/>
  <c r="N37" i="2"/>
  <c r="N16" i="2"/>
  <c r="P37" i="2"/>
  <c r="O37" i="2"/>
  <c r="M37" i="2"/>
  <c r="I77" i="2"/>
  <c r="S16" i="2"/>
  <c r="M77" i="2"/>
  <c r="N77" i="2"/>
  <c r="O77" i="2"/>
  <c r="P77" i="2"/>
  <c r="T77" i="2"/>
  <c r="H37" i="2"/>
  <c r="M75" i="2"/>
  <c r="I75" i="2"/>
  <c r="K66" i="2"/>
  <c r="Q37" i="2"/>
  <c r="L95" i="2"/>
  <c r="R16" i="2"/>
  <c r="R77" i="2"/>
  <c r="H16" i="2"/>
  <c r="J16" i="2"/>
  <c r="Y16" i="2"/>
  <c r="AD16" i="2" s="1"/>
  <c r="S77" i="2"/>
  <c r="R78" i="2"/>
  <c r="I37" i="2"/>
  <c r="I16" i="2"/>
  <c r="K37" i="2"/>
  <c r="Q77" i="2"/>
  <c r="Q16" i="2"/>
  <c r="J37" i="2"/>
  <c r="K16" i="2"/>
  <c r="T16" i="2"/>
  <c r="J78" i="2"/>
  <c r="I78" i="2"/>
  <c r="O75" i="2"/>
  <c r="R37" i="2"/>
  <c r="O78" i="2"/>
  <c r="N75" i="2"/>
  <c r="P75" i="2"/>
  <c r="S37" i="2"/>
  <c r="P78" i="2"/>
  <c r="H78" i="2"/>
  <c r="Q75" i="2"/>
  <c r="H77" i="2"/>
  <c r="O16" i="2"/>
  <c r="O32" i="2"/>
  <c r="M89" i="2"/>
  <c r="R89" i="2"/>
  <c r="I24" i="2"/>
  <c r="R24" i="2"/>
  <c r="J24" i="2"/>
  <c r="Q34" i="2"/>
  <c r="T30" i="2"/>
  <c r="S24" i="2"/>
  <c r="I51" i="2"/>
  <c r="P34" i="2"/>
  <c r="K69" i="2"/>
  <c r="I69" i="2"/>
  <c r="P24" i="2"/>
  <c r="S30" i="2"/>
  <c r="H89" i="2"/>
  <c r="Q89" i="2"/>
  <c r="J34" i="2"/>
  <c r="K34" i="2"/>
  <c r="I34" i="2"/>
  <c r="I89" i="2"/>
  <c r="L89" i="2"/>
  <c r="O34" i="2"/>
  <c r="L34" i="2"/>
  <c r="T89" i="2"/>
  <c r="M34" i="2"/>
  <c r="K89" i="2"/>
  <c r="H91" i="2"/>
  <c r="S50" i="2"/>
  <c r="L51" i="2"/>
  <c r="O24" i="2"/>
  <c r="I49" i="2"/>
  <c r="M51" i="2"/>
  <c r="T24" i="2"/>
  <c r="O69" i="2"/>
  <c r="Q69" i="2"/>
  <c r="T69" i="2"/>
  <c r="H49" i="2"/>
  <c r="Q51" i="2"/>
  <c r="T53" i="2"/>
  <c r="Q30" i="2"/>
  <c r="R30" i="2"/>
  <c r="R53" i="2"/>
  <c r="I50" i="2"/>
  <c r="J49" i="2"/>
  <c r="N69" i="2"/>
  <c r="L49" i="2"/>
  <c r="R49" i="2"/>
  <c r="Q50" i="2"/>
  <c r="H35" i="2"/>
  <c r="P89" i="2"/>
  <c r="J29" i="2"/>
  <c r="S34" i="2"/>
  <c r="H30" i="2"/>
  <c r="J89" i="2"/>
  <c r="R14" i="2"/>
  <c r="L24" i="2"/>
  <c r="M30" i="2"/>
  <c r="N30" i="2"/>
  <c r="N24" i="2"/>
  <c r="K30" i="2"/>
  <c r="I30" i="2"/>
  <c r="J30" i="2"/>
  <c r="P50" i="2"/>
  <c r="L30" i="2"/>
  <c r="S92" i="2"/>
  <c r="L92" i="2"/>
  <c r="I92" i="2"/>
  <c r="N92" i="2"/>
  <c r="K92" i="2"/>
  <c r="O92" i="2"/>
  <c r="M92" i="2"/>
  <c r="H92" i="2"/>
  <c r="N14" i="2"/>
  <c r="Q38" i="2"/>
  <c r="T21" i="2"/>
  <c r="R90" i="2"/>
  <c r="O33" i="2"/>
  <c r="K24" i="2"/>
  <c r="P92" i="2"/>
  <c r="Q92" i="2"/>
  <c r="O49" i="2"/>
  <c r="K70" i="2"/>
  <c r="P49" i="2"/>
  <c r="H22" i="2"/>
  <c r="N49" i="2"/>
  <c r="K50" i="2"/>
  <c r="H59" i="2"/>
  <c r="Q49" i="2"/>
  <c r="O90" i="2"/>
  <c r="R50" i="2"/>
  <c r="T50" i="2"/>
  <c r="H80" i="2"/>
  <c r="H15" i="2"/>
  <c r="R72" i="2"/>
  <c r="I15" i="2"/>
  <c r="K68" i="2"/>
  <c r="I91" i="2"/>
  <c r="Q45" i="2"/>
  <c r="H46" i="2"/>
  <c r="K12" i="2"/>
  <c r="L45" i="2"/>
  <c r="N54" i="2"/>
  <c r="T29" i="2"/>
  <c r="L29" i="2"/>
  <c r="R45" i="2"/>
  <c r="L54" i="2"/>
  <c r="I29" i="2"/>
  <c r="R31" i="2"/>
  <c r="I25" i="2"/>
  <c r="S45" i="2"/>
  <c r="P54" i="2"/>
  <c r="M45" i="2"/>
  <c r="T45" i="2"/>
  <c r="Q54" i="2"/>
  <c r="H29" i="2"/>
  <c r="M29" i="2"/>
  <c r="S29" i="2"/>
  <c r="K29" i="2"/>
  <c r="R12" i="2"/>
  <c r="O29" i="2"/>
  <c r="M12" i="2"/>
  <c r="P29" i="2"/>
  <c r="N80" i="2"/>
  <c r="Q29" i="2"/>
  <c r="O45" i="2"/>
  <c r="P45" i="2"/>
  <c r="R29" i="2"/>
  <c r="N45" i="2"/>
  <c r="S31" i="2"/>
  <c r="P22" i="2"/>
  <c r="O70" i="2"/>
  <c r="P25" i="2"/>
  <c r="J15" i="2"/>
  <c r="H31" i="2"/>
  <c r="T22" i="2"/>
  <c r="K25" i="2"/>
  <c r="H70" i="2"/>
  <c r="N22" i="2"/>
  <c r="N25" i="2"/>
  <c r="P31" i="2"/>
  <c r="Q31" i="2"/>
  <c r="K31" i="2"/>
  <c r="O31" i="2"/>
  <c r="T31" i="2"/>
  <c r="T70" i="2"/>
  <c r="Q61" i="2"/>
  <c r="M15" i="2"/>
  <c r="J22" i="2"/>
  <c r="L25" i="2"/>
  <c r="I31" i="2"/>
  <c r="K49" i="2"/>
  <c r="N15" i="2"/>
  <c r="M31" i="2"/>
  <c r="J25" i="2"/>
  <c r="K45" i="2"/>
  <c r="I22" i="2"/>
  <c r="P15" i="2"/>
  <c r="S70" i="2"/>
  <c r="M25" i="2"/>
  <c r="Q15" i="2"/>
  <c r="I80" i="2"/>
  <c r="M80" i="2"/>
  <c r="M90" i="2"/>
  <c r="J90" i="2"/>
  <c r="L22" i="2"/>
  <c r="L80" i="2"/>
  <c r="N31" i="2"/>
  <c r="M22" i="2"/>
  <c r="J31" i="2"/>
  <c r="Q22" i="2"/>
  <c r="O80" i="2"/>
  <c r="O25" i="2"/>
  <c r="R22" i="2"/>
  <c r="P80" i="2"/>
  <c r="R25" i="2"/>
  <c r="K22" i="2"/>
  <c r="M49" i="2"/>
  <c r="S22" i="2"/>
  <c r="S25" i="2"/>
  <c r="J50" i="2"/>
  <c r="O50" i="2"/>
  <c r="Q14" i="2"/>
  <c r="O54" i="2"/>
  <c r="K54" i="2"/>
  <c r="T54" i="2"/>
  <c r="N90" i="2"/>
  <c r="P90" i="2"/>
  <c r="T90" i="2"/>
  <c r="H12" i="2"/>
  <c r="S54" i="2"/>
  <c r="L90" i="2"/>
  <c r="H14" i="2"/>
  <c r="P12" i="2"/>
  <c r="I12" i="2"/>
  <c r="L59" i="2"/>
  <c r="H61" i="2"/>
  <c r="J14" i="2"/>
  <c r="H54" i="2"/>
  <c r="N12" i="2"/>
  <c r="M14" i="2"/>
  <c r="K14" i="2"/>
  <c r="I54" i="2"/>
  <c r="O12" i="2"/>
  <c r="O14" i="2"/>
  <c r="J54" i="2"/>
  <c r="S90" i="2"/>
  <c r="S12" i="2"/>
  <c r="R61" i="2"/>
  <c r="P14" i="2"/>
  <c r="M54" i="2"/>
  <c r="T12" i="2"/>
  <c r="O59" i="2"/>
  <c r="P33" i="2"/>
  <c r="L21" i="2"/>
  <c r="I33" i="2"/>
  <c r="O21" i="2"/>
  <c r="H71" i="2"/>
  <c r="I35" i="2"/>
  <c r="I71" i="2"/>
  <c r="L35" i="2"/>
  <c r="Q33" i="2"/>
  <c r="J71" i="2"/>
  <c r="M35" i="2"/>
  <c r="T71" i="2"/>
  <c r="H53" i="2"/>
  <c r="M71" i="2"/>
  <c r="N35" i="2"/>
  <c r="R33" i="2"/>
  <c r="Q53" i="2"/>
  <c r="I53" i="2"/>
  <c r="L71" i="2"/>
  <c r="O35" i="2"/>
  <c r="R38" i="2"/>
  <c r="J53" i="2"/>
  <c r="N71" i="2"/>
  <c r="P35" i="2"/>
  <c r="H24" i="2"/>
  <c r="Q24" i="2"/>
  <c r="M38" i="2"/>
  <c r="K38" i="2"/>
  <c r="S38" i="2"/>
  <c r="P53" i="2"/>
  <c r="K53" i="2"/>
  <c r="O71" i="2"/>
  <c r="S33" i="2"/>
  <c r="L53" i="2"/>
  <c r="P71" i="2"/>
  <c r="T33" i="2"/>
  <c r="I38" i="2"/>
  <c r="S32" i="2"/>
  <c r="R43" i="2"/>
  <c r="T35" i="2"/>
  <c r="N53" i="2"/>
  <c r="N60" i="2"/>
  <c r="J38" i="2"/>
  <c r="S43" i="2"/>
  <c r="O60" i="2"/>
  <c r="T38" i="2"/>
  <c r="T43" i="2"/>
  <c r="S35" i="2"/>
  <c r="R60" i="2"/>
  <c r="I32" i="2"/>
  <c r="P38" i="2"/>
  <c r="N38" i="2"/>
  <c r="L38" i="2"/>
  <c r="O53" i="2"/>
  <c r="K33" i="2"/>
  <c r="N33" i="2"/>
  <c r="N89" i="2"/>
  <c r="O89" i="2"/>
  <c r="K61" i="2"/>
  <c r="R70" i="2"/>
  <c r="N70" i="2"/>
  <c r="K41" i="2"/>
  <c r="I45" i="2"/>
  <c r="L70" i="2"/>
  <c r="M41" i="2"/>
  <c r="J40" i="2"/>
  <c r="H34" i="2"/>
  <c r="J32" i="2"/>
  <c r="K79" i="2"/>
  <c r="H40" i="2"/>
  <c r="S40" i="2"/>
  <c r="I79" i="2"/>
  <c r="J70" i="2"/>
  <c r="H79" i="2"/>
  <c r="H38" i="2"/>
  <c r="J33" i="2"/>
  <c r="S41" i="2"/>
  <c r="Y13" i="2"/>
  <c r="AD13" i="2" s="1"/>
  <c r="S79" i="2"/>
  <c r="M91" i="2"/>
  <c r="S14" i="2"/>
  <c r="P91" i="2"/>
  <c r="Y14" i="2"/>
  <c r="AD14" i="2" s="1"/>
  <c r="Q91" i="2"/>
  <c r="R71" i="2"/>
  <c r="T91" i="2"/>
  <c r="N43" i="2"/>
  <c r="R59" i="2"/>
  <c r="J61" i="2"/>
  <c r="M61" i="2"/>
  <c r="K72" i="2"/>
  <c r="M79" i="2"/>
  <c r="L79" i="2"/>
  <c r="O79" i="2"/>
  <c r="N59" i="2"/>
  <c r="I41" i="2"/>
  <c r="O41" i="2"/>
  <c r="T15" i="2"/>
  <c r="R34" i="2"/>
  <c r="L15" i="2"/>
  <c r="P69" i="2"/>
  <c r="Q90" i="2"/>
  <c r="O30" i="2"/>
  <c r="R41" i="2"/>
  <c r="O15" i="2"/>
  <c r="T51" i="2"/>
  <c r="J41" i="2"/>
  <c r="O61" i="2"/>
  <c r="P59" i="2"/>
  <c r="S15" i="2"/>
  <c r="R51" i="2"/>
  <c r="S69" i="2"/>
  <c r="L61" i="2"/>
  <c r="I61" i="2"/>
  <c r="H90" i="2"/>
  <c r="S53" i="2"/>
  <c r="S51" i="2"/>
  <c r="L69" i="2"/>
  <c r="J69" i="2"/>
  <c r="I90" i="2"/>
  <c r="N51" i="2"/>
  <c r="H51" i="2"/>
  <c r="I72" i="2"/>
  <c r="O65" i="2"/>
  <c r="T49" i="2"/>
  <c r="P72" i="2"/>
  <c r="H69" i="2"/>
  <c r="P61" i="2"/>
  <c r="Q25" i="2"/>
  <c r="T92" i="2"/>
  <c r="J51" i="2"/>
  <c r="T72" i="2"/>
  <c r="T25" i="2"/>
  <c r="R92" i="2"/>
  <c r="R15" i="2"/>
  <c r="L50" i="2"/>
  <c r="S72" i="2"/>
  <c r="M50" i="2"/>
  <c r="Q59" i="2"/>
  <c r="J59" i="2"/>
  <c r="H33" i="2"/>
  <c r="K51" i="2"/>
  <c r="N34" i="2"/>
  <c r="M72" i="2"/>
  <c r="M69" i="2"/>
  <c r="N50" i="2"/>
  <c r="K59" i="2"/>
  <c r="Q43" i="2"/>
  <c r="N79" i="2"/>
  <c r="Q41" i="2"/>
  <c r="L91" i="2"/>
  <c r="H41" i="2"/>
  <c r="P43" i="2"/>
  <c r="P21" i="2"/>
  <c r="J91" i="2"/>
  <c r="T41" i="2"/>
  <c r="J79" i="2"/>
  <c r="X16" i="2"/>
  <c r="O72" i="2"/>
  <c r="I21" i="2"/>
  <c r="L33" i="2"/>
  <c r="O40" i="2"/>
  <c r="R52" i="2"/>
  <c r="H21" i="2"/>
  <c r="Q72" i="2"/>
  <c r="I52" i="2"/>
  <c r="Q79" i="2"/>
  <c r="J52" i="2"/>
  <c r="K52" i="2"/>
  <c r="J72" i="2"/>
  <c r="O51" i="2"/>
  <c r="J45" i="2"/>
  <c r="P79" i="2"/>
  <c r="I40" i="2"/>
  <c r="Q12" i="2"/>
  <c r="N72" i="2"/>
  <c r="L32" i="2"/>
  <c r="P32" i="2"/>
  <c r="K32" i="2"/>
  <c r="H32" i="2"/>
  <c r="S21" i="2"/>
  <c r="L12" i="2"/>
  <c r="Q52" i="2"/>
  <c r="Q32" i="2"/>
  <c r="L43" i="2"/>
  <c r="M43" i="2"/>
  <c r="H72" i="2"/>
  <c r="T79" i="2"/>
  <c r="J43" i="2"/>
  <c r="T52" i="2"/>
  <c r="N32" i="2"/>
  <c r="M60" i="2"/>
  <c r="L14" i="2"/>
  <c r="I65" i="2"/>
  <c r="L52" i="2"/>
  <c r="S61" i="2"/>
  <c r="L20" i="2"/>
  <c r="S52" i="2"/>
  <c r="H52" i="2"/>
  <c r="X14" i="2"/>
  <c r="H43" i="2"/>
  <c r="J46" i="2"/>
  <c r="M40" i="2"/>
  <c r="R32" i="2"/>
  <c r="N61" i="2"/>
  <c r="P41" i="2"/>
  <c r="L41" i="2"/>
  <c r="I43" i="2"/>
  <c r="K46" i="2"/>
  <c r="S59" i="2"/>
  <c r="M32" i="2"/>
  <c r="O46" i="2"/>
  <c r="T59" i="2"/>
  <c r="J21" i="2"/>
  <c r="M70" i="2"/>
  <c r="Q70" i="2"/>
  <c r="P70" i="2"/>
  <c r="Q20" i="2"/>
  <c r="I60" i="2"/>
  <c r="R46" i="2"/>
  <c r="M59" i="2"/>
  <c r="M52" i="2"/>
  <c r="O20" i="2"/>
  <c r="H60" i="2"/>
  <c r="S46" i="2"/>
  <c r="I14" i="2"/>
  <c r="P52" i="2"/>
  <c r="R20" i="2"/>
  <c r="T46" i="2"/>
  <c r="L60" i="2"/>
  <c r="N52" i="2"/>
  <c r="P60" i="2"/>
  <c r="S20" i="2"/>
  <c r="I46" i="2"/>
  <c r="T20" i="2"/>
  <c r="S60" i="2"/>
  <c r="S71" i="2"/>
  <c r="Q71" i="2"/>
  <c r="N20" i="2"/>
  <c r="M20" i="2"/>
  <c r="T60" i="2"/>
  <c r="J60" i="2"/>
  <c r="L46" i="2"/>
  <c r="J20" i="2"/>
  <c r="M46" i="2"/>
  <c r="K60" i="2"/>
  <c r="R21" i="2"/>
  <c r="Q21" i="2"/>
  <c r="K21" i="2"/>
  <c r="N21" i="2"/>
  <c r="P46" i="2"/>
  <c r="N46" i="2"/>
  <c r="P68" i="2"/>
  <c r="Q80" i="2"/>
  <c r="S80" i="2"/>
  <c r="T40" i="2"/>
  <c r="R40" i="2"/>
  <c r="Q40" i="2"/>
  <c r="L40" i="2"/>
  <c r="I20" i="2"/>
  <c r="K20" i="2"/>
  <c r="K40" i="2"/>
  <c r="K35" i="2"/>
  <c r="X12" i="2"/>
  <c r="H65" i="2"/>
  <c r="J65" i="2"/>
  <c r="S65" i="2"/>
  <c r="T65" i="2"/>
  <c r="R65" i="2"/>
  <c r="N65" i="2"/>
  <c r="M65" i="2"/>
  <c r="Q65" i="2"/>
  <c r="L65" i="2"/>
  <c r="K65" i="2"/>
  <c r="H68" i="2"/>
  <c r="I68" i="2"/>
  <c r="J68" i="2"/>
  <c r="M68" i="2"/>
  <c r="T80" i="2"/>
  <c r="J80" i="2"/>
  <c r="P20" i="2"/>
  <c r="S68" i="2"/>
  <c r="K43" i="2"/>
  <c r="P40" i="2"/>
  <c r="R35" i="2"/>
  <c r="R68" i="2"/>
  <c r="N68" i="2"/>
  <c r="L68" i="2"/>
  <c r="K80" i="2"/>
  <c r="O68" i="2"/>
  <c r="Q35" i="2"/>
  <c r="T68" i="2"/>
  <c r="S91" i="2"/>
  <c r="R91" i="2"/>
  <c r="O91" i="2"/>
  <c r="N91" i="2"/>
  <c r="X11" i="2"/>
  <c r="Y12" i="2"/>
  <c r="AD12" i="2" s="1"/>
  <c r="Y11" i="2"/>
  <c r="X23" i="2" l="1"/>
  <c r="B6" i="2"/>
  <c r="B4" i="2"/>
  <c r="AD11" i="2"/>
  <c r="Y23" i="2"/>
  <c r="B5" i="2" l="1"/>
  <c r="AD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0" authorId="0" shapeId="0" xr:uid="{00000000-0006-0000-0100-000001000000}">
      <text>
        <r>
          <rPr>
            <sz val="10"/>
            <rFont val="Arial"/>
            <family val="2"/>
          </rPr>
          <t>Selecione aqui o produto completo/agregado. Exemplo: MESA GENOVA. Depois informe a quantidade em C.</t>
        </r>
      </text>
    </comment>
    <comment ref="C10" authorId="0" shapeId="0" xr:uid="{00000000-0006-0000-0100-000002000000}">
      <text>
        <r>
          <rPr>
            <sz val="10"/>
            <rFont val="Arial"/>
            <family val="2"/>
          </rPr>
          <t>Informe quantos produtos completos serão cortados para o lote.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" authorId="0" shapeId="0" xr:uid="{00000000-0006-0000-0200-000001000000}">
      <text>
        <r>
          <rPr>
            <sz val="10"/>
            <rFont val="Arial"/>
            <family val="2"/>
          </rPr>
          <t>Produto agrupado por codinome. Se alguma peça estiver em grupo incorreto, ajuste este campo e atualize a lista se necessário.</t>
        </r>
      </text>
    </comment>
  </commentList>
</comments>
</file>

<file path=xl/sharedStrings.xml><?xml version="1.0" encoding="utf-8"?>
<sst xmlns="http://schemas.openxmlformats.org/spreadsheetml/2006/main" count="6077" uniqueCount="3216">
  <si>
    <t>Código</t>
  </si>
  <si>
    <t>Produto</t>
  </si>
  <si>
    <t>Comprimento</t>
  </si>
  <si>
    <t>Largura</t>
  </si>
  <si>
    <t>Altura</t>
  </si>
  <si>
    <t>Descr.Familia</t>
  </si>
  <si>
    <t>10012001</t>
  </si>
  <si>
    <t>LATERAL 756X336X15 MDP - APARADOR TANGER</t>
  </si>
  <si>
    <t>PEÇAS</t>
  </si>
  <si>
    <t>10012002</t>
  </si>
  <si>
    <t>TAMPO INFERIOR 1198X336X12 MDP - APARADOR TANGER</t>
  </si>
  <si>
    <t>10012003</t>
  </si>
  <si>
    <t>TRAVESSA CENTRAL 1163X222X12 MDP - APARADOR TANGER</t>
  </si>
  <si>
    <t>10012004</t>
  </si>
  <si>
    <t>APOIO TMP 1098X60(128)X12 MDP (2PC) US6,2 - TANGER</t>
  </si>
  <si>
    <t>10012005</t>
  </si>
  <si>
    <t>MOLDURA MENOR 770X60 (260)X12 MDF (4PC) – TANGER</t>
  </si>
  <si>
    <t>10012006</t>
  </si>
  <si>
    <t>MOLDURA MAIOR 1077X61X12 MDF - APARADOR TANGER</t>
  </si>
  <si>
    <t>10012007</t>
  </si>
  <si>
    <t>TAMPO 1202X362X15 MDP - APARADOR TANGER</t>
  </si>
  <si>
    <t>10013502</t>
  </si>
  <si>
    <t>TAMPO INFERIOR 1352X336X12 MDP - APARADOR TANGER</t>
  </si>
  <si>
    <t>10013503</t>
  </si>
  <si>
    <t>TRAVESSA CENTRAL 1324X222X12 MDP - APARADOR TANGER</t>
  </si>
  <si>
    <t>10013504</t>
  </si>
  <si>
    <t>APOIO TAMPO 1352X62X12 MDP - APARADOR TANGER</t>
  </si>
  <si>
    <t>10013506</t>
  </si>
  <si>
    <t>MOLDURA MAIOR 1232X61X12 MDF - APARADOR TANGER</t>
  </si>
  <si>
    <t>10013507</t>
  </si>
  <si>
    <t>TAMPO 1352X362X15 MDP - APARADOR TANGER</t>
  </si>
  <si>
    <t>10014001</t>
  </si>
  <si>
    <t>BASE 1330X360X15 MDP - APARADOR</t>
  </si>
  <si>
    <t>10014002</t>
  </si>
  <si>
    <t>TAMPO 1330X360X15 MDP - APARADOR</t>
  </si>
  <si>
    <t>10014003</t>
  </si>
  <si>
    <t>LATERAL DIR. 680X360X12 MDP - APARADOR</t>
  </si>
  <si>
    <t>10014004</t>
  </si>
  <si>
    <t>TRAVESSA 1330X70X12 MDP - APARADOR</t>
  </si>
  <si>
    <t>10014005</t>
  </si>
  <si>
    <t>DIVISORIA 580X360X15 MDP - APARADOR</t>
  </si>
  <si>
    <t>10014006</t>
  </si>
  <si>
    <t>PRATELEIRA 432X340X12 MDP - APARADOR</t>
  </si>
  <si>
    <t>10014007</t>
  </si>
  <si>
    <t>PORTA 600X445X12 MDP - APARADOR</t>
  </si>
  <si>
    <t>10014008</t>
  </si>
  <si>
    <t>FUNDO 896X604X03 MDF - APARADOR</t>
  </si>
  <si>
    <t>10014009</t>
  </si>
  <si>
    <t>PUXADOR 380X25X25 MDF - APARADOR</t>
  </si>
  <si>
    <t>10014011</t>
  </si>
  <si>
    <t>PRATELEIRA MAIOR 882X340X12 MDP - APARADOR</t>
  </si>
  <si>
    <t>10014012</t>
  </si>
  <si>
    <t>LATERAL ESQ. 680X360X12 MDP - APARADOR</t>
  </si>
  <si>
    <t>10014013</t>
  </si>
  <si>
    <t>FUNDO 453X604X03 MDF - APARADOR</t>
  </si>
  <si>
    <t>10014101</t>
  </si>
  <si>
    <t>FRENTE GAVETA 447X197X12 MDP - APARADOR</t>
  </si>
  <si>
    <t>10014102</t>
  </si>
  <si>
    <t>FUNDO GAVETA 397X306X03 MDF - APARADOR</t>
  </si>
  <si>
    <t>10014104</t>
  </si>
  <si>
    <t>BASE 1330X360X15 MDP - APARADOR C/ GAVETA</t>
  </si>
  <si>
    <t>10014105</t>
  </si>
  <si>
    <t>TAMPO 1330X360X15 MDP - APARADOR C/ GAVETA</t>
  </si>
  <si>
    <t>10014106</t>
  </si>
  <si>
    <t>DIVISORIA ESQ 580X360X15 MDP - APARADOR C/ GAVETA</t>
  </si>
  <si>
    <t>10014107</t>
  </si>
  <si>
    <t>LATERAL GAVETA 300X150X12 MDP - APARADOR</t>
  </si>
  <si>
    <t>10014108</t>
  </si>
  <si>
    <t>CONTRA FUNDO GAVETA 385X128X12 MDP - APARADOR</t>
  </si>
  <si>
    <t>10014111</t>
  </si>
  <si>
    <t>FUNDO 1353X605X03 MDF - APARADOR</t>
  </si>
  <si>
    <t>10014112</t>
  </si>
  <si>
    <t>DIVISORIA DIR 580X360X15 MDP - APARADOR C/ GAVETA</t>
  </si>
  <si>
    <t>10014201</t>
  </si>
  <si>
    <t>LATERAL 1180X92X15 MDF - APARADOR DUBAI</t>
  </si>
  <si>
    <t>10014202</t>
  </si>
  <si>
    <t>FECHAMENTO I 1090X238X12 MDF - APARADOR DUBAI</t>
  </si>
  <si>
    <t>10014203</t>
  </si>
  <si>
    <t>FECHAMENTO II 600X238X12 MDF - APARADOR DUBAI</t>
  </si>
  <si>
    <t>10014204</t>
  </si>
  <si>
    <t>FECHAMENTO III 545X270X12 MDF - APARADOR DUBAI</t>
  </si>
  <si>
    <t>10014205</t>
  </si>
  <si>
    <t>FECHAMENTO IV 453X270X12 MDF - APARADOR DUBAI</t>
  </si>
  <si>
    <t>10014206</t>
  </si>
  <si>
    <t>TAMPO VITREO 1360X360X25 MDF - APARADOR DUBAI</t>
  </si>
  <si>
    <t>CNC</t>
  </si>
  <si>
    <t>10014501</t>
  </si>
  <si>
    <t>TAMPO 1362X401X15 MDP - BUFFET</t>
  </si>
  <si>
    <t>10014502</t>
  </si>
  <si>
    <t>TRAVESSA VERTICAL 536X101X15 MDP - BUFFET</t>
  </si>
  <si>
    <t>10014503</t>
  </si>
  <si>
    <t>LATERAL ESQUERDA 720X391X12 MDP - BUFFET</t>
  </si>
  <si>
    <t>10014504</t>
  </si>
  <si>
    <t>BASE 1320X390X12 MDP - BUFFET</t>
  </si>
  <si>
    <t>10014505</t>
  </si>
  <si>
    <t>TRAVESSA PORTA 1320X101X12 MDP - BUFFET</t>
  </si>
  <si>
    <t>10014506</t>
  </si>
  <si>
    <t>TRAVESSA SUPERIOR 1320X80X12 MDP - BUFFET</t>
  </si>
  <si>
    <t>10014507</t>
  </si>
  <si>
    <t>PRATELEIRA 1320X289X12 MDP - BUFFET</t>
  </si>
  <si>
    <t>10014508</t>
  </si>
  <si>
    <t>PORTA 582X444X12 MDP - BUFFET</t>
  </si>
  <si>
    <t>10014511</t>
  </si>
  <si>
    <t>LATERAL DIREITA 720X391X12 MDP - BUFFET</t>
  </si>
  <si>
    <t>10014512</t>
  </si>
  <si>
    <t>TRAVESSA 308X71X15 MDP - BUFFET</t>
  </si>
  <si>
    <t>10014513</t>
  </si>
  <si>
    <t>TRAVESSA INFERIOR 1320X80X12 MDP - BUFFET</t>
  </si>
  <si>
    <t>10020001</t>
  </si>
  <si>
    <t>10020002</t>
  </si>
  <si>
    <t>10020003</t>
  </si>
  <si>
    <t>10020004</t>
  </si>
  <si>
    <t>10020005</t>
  </si>
  <si>
    <t>10020006</t>
  </si>
  <si>
    <t>10020007</t>
  </si>
  <si>
    <t>10020008</t>
  </si>
  <si>
    <t>10020011</t>
  </si>
  <si>
    <t>10020012</t>
  </si>
  <si>
    <t>10020013</t>
  </si>
  <si>
    <t>100201</t>
  </si>
  <si>
    <t>ESPELHEIRA ITAPARICA</t>
  </si>
  <si>
    <t>10020101</t>
  </si>
  <si>
    <t>FUNDO ESP ITAPARICA 460X350X12 MDP</t>
  </si>
  <si>
    <t>10020102</t>
  </si>
  <si>
    <t>PRATELEIRA ESP ITAPARICA 350X92X12 MDF</t>
  </si>
  <si>
    <t>100202</t>
  </si>
  <si>
    <t>GABINETE ITAPARICA</t>
  </si>
  <si>
    <t>10020201</t>
  </si>
  <si>
    <t>BASE GAB ITAPARICA 416X295X12 MDP</t>
  </si>
  <si>
    <t>10020202</t>
  </si>
  <si>
    <t>LAT DIR GAB ITAPARICA 450X295X12 MDP</t>
  </si>
  <si>
    <t>10020203</t>
  </si>
  <si>
    <t>LAT ESQ GAB ITAPARICA 450X295X12 MDP</t>
  </si>
  <si>
    <t>10020204</t>
  </si>
  <si>
    <t>PRATE GAB ITAPARICA 416X283X12 MDP</t>
  </si>
  <si>
    <t>10020205</t>
  </si>
  <si>
    <t>TRAV GAB ITAPARICA 416X55X12 MDP</t>
  </si>
  <si>
    <t>10020206</t>
  </si>
  <si>
    <t>DETALHE GAB ITAPARICA 383X100X12 MDP</t>
  </si>
  <si>
    <t>10020207</t>
  </si>
  <si>
    <t>PORTA GAB ITAPARICA 420X350X12 MDF</t>
  </si>
  <si>
    <t>100301</t>
  </si>
  <si>
    <t>ESPELHEIRA COPACABANA</t>
  </si>
  <si>
    <t>10030101</t>
  </si>
  <si>
    <t>FUNDO ESP. COPACABANA 430X560X12 MDP</t>
  </si>
  <si>
    <t>10030102</t>
  </si>
  <si>
    <t>PRATELEIRA ESP. COPACABANA 380X80X12 MDF</t>
  </si>
  <si>
    <t>10030103</t>
  </si>
  <si>
    <t>LATERAL ESP. COPACABANA 462X99X12 MDP</t>
  </si>
  <si>
    <t>10030104</t>
  </si>
  <si>
    <t>TRAVESSA ESP. COPACABANA 126X100X12 MDP</t>
  </si>
  <si>
    <t>10030105</t>
  </si>
  <si>
    <t>PORTA ESP. COPACABANA 472X150X12 MDP</t>
  </si>
  <si>
    <t>100302</t>
  </si>
  <si>
    <t>GABINETE COPACABANA</t>
  </si>
  <si>
    <t>10030201</t>
  </si>
  <si>
    <t>BASE GAB. COPACABANA 582X306X12 MDP</t>
  </si>
  <si>
    <t>10030202</t>
  </si>
  <si>
    <t>LAT. ESQ. GAB. COPACABANA 388X306X12 MDP</t>
  </si>
  <si>
    <t>10030203</t>
  </si>
  <si>
    <t>LAT. DIR. GAB. COPACABANA 388X306X12 MDP</t>
  </si>
  <si>
    <t>10030204</t>
  </si>
  <si>
    <t>LAT. CENTRO GAB. COPACABANA 388X306X12 MDP</t>
  </si>
  <si>
    <t>10030205</t>
  </si>
  <si>
    <t>PRAT. MAIOR GAB. COPACABANA 406X294X12 MDP</t>
  </si>
  <si>
    <t>10030206</t>
  </si>
  <si>
    <t>PRAT. MENOR GAB. COPACABANA 306X138X12 MDP</t>
  </si>
  <si>
    <t>10030207</t>
  </si>
  <si>
    <t>TRAVESSA GAB. COPACABANA 406X46X12 MDP</t>
  </si>
  <si>
    <t>10030208</t>
  </si>
  <si>
    <t>DETALHE GAB. COPACABANA 343X71X12 MDP</t>
  </si>
  <si>
    <t>10030209</t>
  </si>
  <si>
    <t>PORTA GAB. COPACABANA 387X379X12 MDF</t>
  </si>
  <si>
    <t>100401</t>
  </si>
  <si>
    <t>ESPELHEIRA JERI</t>
  </si>
  <si>
    <t>10040101</t>
  </si>
  <si>
    <t>BASE PRAT ESPELHEIRA JERI -514X110X12 MDP</t>
  </si>
  <si>
    <t>10040102</t>
  </si>
  <si>
    <t>LATERAL ESPELHEIRA JERI -384X128X12 MDP</t>
  </si>
  <si>
    <t>10040103</t>
  </si>
  <si>
    <t>TOPO ESPELHEIRA JERI -538X128X12 MDP</t>
  </si>
  <si>
    <t>10040104</t>
  </si>
  <si>
    <t>PORTA ESPELHEIRA JERI -380X252X12 MDP</t>
  </si>
  <si>
    <t>100402</t>
  </si>
  <si>
    <t>GABINETE JERI</t>
  </si>
  <si>
    <t>10040201</t>
  </si>
  <si>
    <t>BASE GAB JERI - 540X448X15 MDP</t>
  </si>
  <si>
    <t>10040202</t>
  </si>
  <si>
    <t>TAMPO GAB JERI - 540X448X15 MDP</t>
  </si>
  <si>
    <t>10040203</t>
  </si>
  <si>
    <t>LAT DIREITA GAB JERI - 448X448X15 MDP</t>
  </si>
  <si>
    <t>10040204</t>
  </si>
  <si>
    <t>LAT ESQUERDA GAB JERI - 448X448X15 MDP</t>
  </si>
  <si>
    <t>10040205</t>
  </si>
  <si>
    <t>PRATELEIRA GAB JERI - 510X428X12 MDP</t>
  </si>
  <si>
    <t>10040206</t>
  </si>
  <si>
    <t>PORTA GAB JERI - 300X249X15 MDP</t>
  </si>
  <si>
    <t>100403</t>
  </si>
  <si>
    <t>NICHO ESPELHEIRA JERI</t>
  </si>
  <si>
    <t>10040301</t>
  </si>
  <si>
    <t>FUNDO NICHO ESP - 600X128X12 MDP</t>
  </si>
  <si>
    <t>10040302</t>
  </si>
  <si>
    <t>LATERAL NICHO ESP - 600X128X12 MDP</t>
  </si>
  <si>
    <t>10040303</t>
  </si>
  <si>
    <t>PRATELEIRA NICHO ESP - 127X115X12 MDP</t>
  </si>
  <si>
    <t>100404</t>
  </si>
  <si>
    <t>NICHO GABINETE JERI</t>
  </si>
  <si>
    <t>10040401</t>
  </si>
  <si>
    <t>TOPO NICHO GAB - 448X160X15 MDP</t>
  </si>
  <si>
    <t>10040402</t>
  </si>
  <si>
    <t>FUNDO NICHO GAB - 448X160X12 MDP</t>
  </si>
  <si>
    <t>10040403</t>
  </si>
  <si>
    <t>BASE NICHO GAB - 448X160X15 MDP</t>
  </si>
  <si>
    <t>10040404</t>
  </si>
  <si>
    <t>PRATELEIRA NICHO GAB - 436X160X12 MDP</t>
  </si>
  <si>
    <t>10040405</t>
  </si>
  <si>
    <t>FRENTE NICHO GAB - 218X160X12 MDP</t>
  </si>
  <si>
    <t>10050001</t>
  </si>
  <si>
    <t>TOPO MOLDURA MALAGA - 452X390X15 MDF</t>
  </si>
  <si>
    <t>10050002</t>
  </si>
  <si>
    <t>LATERAL MOLDURA MALAGA - 550X385X15 MDF</t>
  </si>
  <si>
    <t>10050003</t>
  </si>
  <si>
    <t>TOPO CAIXOTE MALAGA - 414X387X15 MDF</t>
  </si>
  <si>
    <t>10050004</t>
  </si>
  <si>
    <t>LATERAL DIREITA CAIXOTE MALAGA - 412X385X15 MDF</t>
  </si>
  <si>
    <t>10050005</t>
  </si>
  <si>
    <t>LATERAL ESQUERDA CAIXOTE MALAGA - 412X385X15 MDF</t>
  </si>
  <si>
    <t>10050006</t>
  </si>
  <si>
    <t>BASE CAIXOTE MALAGA - 385X384X15 MDF</t>
  </si>
  <si>
    <t>10050007</t>
  </si>
  <si>
    <t>BATENTE CAIXOTE MALAGA - 385X384X15 MDF</t>
  </si>
  <si>
    <t>10050008</t>
  </si>
  <si>
    <t>FUNDO CAIXOTE MALAGA - 415X400X03 MDF</t>
  </si>
  <si>
    <t>10050010</t>
  </si>
  <si>
    <t xml:space="preserve">GAVETA MALAGA </t>
  </si>
  <si>
    <t>10050011</t>
  </si>
  <si>
    <t>FRENTE GAVETA MALAGA - 408X204X15 MDF</t>
  </si>
  <si>
    <t>10050012</t>
  </si>
  <si>
    <t>LATERAL DIREITA GAVETA MALAGA - 338X170X12 MDP</t>
  </si>
  <si>
    <t>10050013</t>
  </si>
  <si>
    <t>LATERAL ESQUERDA GAVETA MALAGA - 338X170X12 MDP</t>
  </si>
  <si>
    <t>10050014</t>
  </si>
  <si>
    <t>TRASEIRA GAVETA MALAGA - 359X170X12 MDP</t>
  </si>
  <si>
    <t>10050015</t>
  </si>
  <si>
    <t>FUNDO GAVETA MALAGA - 350X347X03 HDF</t>
  </si>
  <si>
    <t>10050501</t>
  </si>
  <si>
    <t>FUNDO BAU MALAGA 900X420X15 MDF</t>
  </si>
  <si>
    <t>10050502</t>
  </si>
  <si>
    <t>FUNDO NICHO BAU MALAGA 460X450X18 MDF</t>
  </si>
  <si>
    <t>10050503</t>
  </si>
  <si>
    <t>LATERAL MAIOR BAU MALAGA 900X265X15 MDF</t>
  </si>
  <si>
    <t>10050504</t>
  </si>
  <si>
    <t>LATERAL MENOR BAU MALAGA 420X250X15 MDF</t>
  </si>
  <si>
    <t>10050505</t>
  </si>
  <si>
    <t>LATERAL NICHO 450X229X18 MDF</t>
  </si>
  <si>
    <t>10050506</t>
  </si>
  <si>
    <t>TAMPO NICHO 460X450X18 MDF</t>
  </si>
  <si>
    <t>10050507</t>
  </si>
  <si>
    <t>PES BAU MALAGA 360X120X25 MDF</t>
  </si>
  <si>
    <t>10050508</t>
  </si>
  <si>
    <t>TRAVESSA PES BAU MALAGA 600X118X18 MDF</t>
  </si>
  <si>
    <t>10050509</t>
  </si>
  <si>
    <t>TAMPO TAPECADO BAU MALAGA</t>
  </si>
  <si>
    <t>10050510</t>
  </si>
  <si>
    <t>TAMPO BAU MALAGA 900X450X15 MDF (GRAUNA)</t>
  </si>
  <si>
    <t>10050511</t>
  </si>
  <si>
    <t>ESPUMA TAMPO 920X450X30 D20 - BAU MALAGA</t>
  </si>
  <si>
    <t>10060001</t>
  </si>
  <si>
    <t>TOPO MOLDURA NILO - 444X350X15 MDF</t>
  </si>
  <si>
    <t>10060002</t>
  </si>
  <si>
    <t>LATERAL MOLDURA NILO - 535X350X15 MDF</t>
  </si>
  <si>
    <t>10060003</t>
  </si>
  <si>
    <t>TOPO CAIXOTE NILO - 414X385X15 MDF</t>
  </si>
  <si>
    <t>10060004</t>
  </si>
  <si>
    <t>LATERAL DIREITA CAIXOTE NILO - 385X180X15 MDF</t>
  </si>
  <si>
    <t>10060005</t>
  </si>
  <si>
    <t>LATERAL ESQUERDA CAIXOTE NILO - 385X180X15 MDF</t>
  </si>
  <si>
    <t>10060006</t>
  </si>
  <si>
    <t>BASE CAIXOTE NILO - 414X385X15 MDF</t>
  </si>
  <si>
    <t>10060007</t>
  </si>
  <si>
    <t>10060008</t>
  </si>
  <si>
    <t>FUNDO CAIXOTE MALAGA - 415X400X03 HDF</t>
  </si>
  <si>
    <t>10060010</t>
  </si>
  <si>
    <t>GAVETA MALAGA</t>
  </si>
  <si>
    <t>10060011</t>
  </si>
  <si>
    <t>10060012</t>
  </si>
  <si>
    <t>10060013</t>
  </si>
  <si>
    <t>10060014</t>
  </si>
  <si>
    <t>10060015</t>
  </si>
  <si>
    <t>20011001</t>
  </si>
  <si>
    <t>TAMPO 900X900X12 MDP - MESA MIAMI 0,90</t>
  </si>
  <si>
    <t>20011002</t>
  </si>
  <si>
    <t>ENGRO MAIOR 900X60X15 MDP - MESA MIAMI 0,90</t>
  </si>
  <si>
    <t>20011003</t>
  </si>
  <si>
    <t>ENGRO MENOR 780X60X15 MDP - MESA MIAMI 0,90</t>
  </si>
  <si>
    <t>20011004</t>
  </si>
  <si>
    <t>TRAVESSA MAIOR 740X100X15 MDP - MESA MIAMI 0,90</t>
  </si>
  <si>
    <t>20011005</t>
  </si>
  <si>
    <t>TRAV. MENOR 710X100X15 MDP - MESA MIAMI 0,90</t>
  </si>
  <si>
    <t>2001101</t>
  </si>
  <si>
    <t>MESA MIAMI 0,90X0,90 VOL 1/1</t>
  </si>
  <si>
    <t>MESA</t>
  </si>
  <si>
    <t>20012404</t>
  </si>
  <si>
    <t>TAMPO 1202X802X12 MDP - MESA MIAMI 1,20</t>
  </si>
  <si>
    <t>20012405</t>
  </si>
  <si>
    <t>(2) TRAVESSA MAIOR 1030X100X15 MDP-MESA MIAMI 1,20</t>
  </si>
  <si>
    <t>20012408</t>
  </si>
  <si>
    <t>ENGRO MAIOR 1200X60X15 MDP - MESA MONTREAL</t>
  </si>
  <si>
    <t>20012409</t>
  </si>
  <si>
    <t>ENGRO MENOR 802X60X15 MDP - MESA MIAMI</t>
  </si>
  <si>
    <t>2001241</t>
  </si>
  <si>
    <t>MESA MIAMI 1,20X0,80 VOL 1/1</t>
  </si>
  <si>
    <t>20012410</t>
  </si>
  <si>
    <t>ENGRO MAIOR 1080X60X15 MDP - MESA MIAMI</t>
  </si>
  <si>
    <t>20012701</t>
  </si>
  <si>
    <t>TAMPO 1200X800X12 MDP - MESA MIAMI II 1,20</t>
  </si>
  <si>
    <t>2001281</t>
  </si>
  <si>
    <t>MESA MIAMI 1,20X0,80 VOL 1/1 - MULTIMOVEIS</t>
  </si>
  <si>
    <t>20013101</t>
  </si>
  <si>
    <t>TAMPO 1368X802X12 MDP - MESA MIAMI 1,37X0,80</t>
  </si>
  <si>
    <t>20013102</t>
  </si>
  <si>
    <t>(10)PE MAIOR 760X100 (170) X15 MDF-MIAMI 1,37X0,80</t>
  </si>
  <si>
    <t>20013103</t>
  </si>
  <si>
    <t>(4) PE MENOR 760X85 (135) X15 MDF-MIAMI 1,37X0,80</t>
  </si>
  <si>
    <t>20013104</t>
  </si>
  <si>
    <t>ENGRO MAIOR 1246X60X15 MDP - MESA MIAMI 1,37X0,80</t>
  </si>
  <si>
    <t>20013106</t>
  </si>
  <si>
    <t>(2)TRAV.MAIOR 1210X100X15 MDP-MESA MIAMI 1,37X0,80</t>
  </si>
  <si>
    <t>20013107</t>
  </si>
  <si>
    <t>(3) TRAV.MENOR 610X100X15 MDP-MESA MIAMI 1,37X0,80</t>
  </si>
  <si>
    <t>2001311</t>
  </si>
  <si>
    <t>MESA MIAMI 1,37X0,80 VOL 1/1</t>
  </si>
  <si>
    <t>20013110</t>
  </si>
  <si>
    <t>PE MAIOR 760X120 (204)X15 MDF - ASSISTENCIA MIAMI</t>
  </si>
  <si>
    <t>20013111</t>
  </si>
  <si>
    <t>PE MENOR 760X100 (164) X15 MDF - ASSISTENCIA MIAMI</t>
  </si>
  <si>
    <t>20014001</t>
  </si>
  <si>
    <t>LAT BASE EXTERNA 778X453X12 MDP - MESA DAKAR</t>
  </si>
  <si>
    <t>20014002</t>
  </si>
  <si>
    <t>LAT MENOR BASE INTERNA 307X350X15 MDP - DAKAR 0,90</t>
  </si>
  <si>
    <t>20014003</t>
  </si>
  <si>
    <t>LAT MAIOR BASE INTERNA 455X348X15 MDP - DAKAR 0,90</t>
  </si>
  <si>
    <t>20014004</t>
  </si>
  <si>
    <t>LAT BASE INTERNA DETAL 332X100X03 HDF - DAKAR 0,90</t>
  </si>
  <si>
    <t>20014005</t>
  </si>
  <si>
    <t>TAMPO 902X902X12 MDP - MESA DAKAR/MIAMI 0,90</t>
  </si>
  <si>
    <t>20014006</t>
  </si>
  <si>
    <t>ENGRO MAIOR 902X60X12 MDP - MESA DAKAR 0,90</t>
  </si>
  <si>
    <t>20014007</t>
  </si>
  <si>
    <t>ENGRO MENOR 782X60X12 MDP - MESA DAKAR 0,90</t>
  </si>
  <si>
    <t>2001401</t>
  </si>
  <si>
    <t>MESA DAKAR 0,90X0,90 VOL 1/1</t>
  </si>
  <si>
    <t>20014102</t>
  </si>
  <si>
    <t>LAT MENOR BASE INTERNA 527X350X15 MDP - DAKAR 1,36</t>
  </si>
  <si>
    <t>20014103</t>
  </si>
  <si>
    <t>LAT MAIOR BASE INTERNA 675X348X15 MDP - DAKAR 1,36</t>
  </si>
  <si>
    <t>20014104</t>
  </si>
  <si>
    <t>LAT BASE INTERNA DETAL 552X100X03 HDF - DAKAR 1,36</t>
  </si>
  <si>
    <t>20014105</t>
  </si>
  <si>
    <t>(1) TAMPO 1368X802X12 MDP-MESA DAKAR/MIAMI 1,36</t>
  </si>
  <si>
    <t>20014106</t>
  </si>
  <si>
    <t>ENGRO MAIOR 1246X60X12 MDP - MESA DAKAR 1,36</t>
  </si>
  <si>
    <t>20014107</t>
  </si>
  <si>
    <t>ENGRO MENOR 802X60X12 MDP - MESA DAKAR</t>
  </si>
  <si>
    <t>20014202</t>
  </si>
  <si>
    <t>LAT MENOR BASE INTERNA 765X350X15 MDP - DAKAR 1,60</t>
  </si>
  <si>
    <t>20014203</t>
  </si>
  <si>
    <t>LAT MAIOR BASE INTERNA 913X348X15 MDP - DAKAR 1,60</t>
  </si>
  <si>
    <t>20014204</t>
  </si>
  <si>
    <t>LAT BASE INTERNA DETAL 789X100X03 HDF - DAKAR 1,60</t>
  </si>
  <si>
    <t>20014205</t>
  </si>
  <si>
    <t>(1) TAMPO 1602X802X12 MDP - MESA DAKAR/MIAMI 1,60</t>
  </si>
  <si>
    <t>20014206</t>
  </si>
  <si>
    <t>ENGRO MAIOR 1481X60X12 MDP - MESA DAKAR 1,36</t>
  </si>
  <si>
    <t>2001421</t>
  </si>
  <si>
    <t>MESA DAKAR 1,60X0,80 VOL 1/1</t>
  </si>
  <si>
    <t>20014305</t>
  </si>
  <si>
    <t>(1) TAMPO 1202X802X12 MDP - MESA DAKAR/MIAMI 1,20</t>
  </si>
  <si>
    <t>20014306</t>
  </si>
  <si>
    <t>ENGRO MAIOR 1080X60X12 MDP - MESA DAKAR 1,20</t>
  </si>
  <si>
    <t>20014307</t>
  </si>
  <si>
    <t>ENGRO MENOR 802X60X12 MDP - MESA DAKAR 1,20</t>
  </si>
  <si>
    <t>20015001</t>
  </si>
  <si>
    <t>20015002</t>
  </si>
  <si>
    <t>20015003</t>
  </si>
  <si>
    <t>20015004</t>
  </si>
  <si>
    <t>LAT BASE INTERNA DETAL 342X100X03 HDF - DAKAR 0,90</t>
  </si>
  <si>
    <t>20015005</t>
  </si>
  <si>
    <t>20015102</t>
  </si>
  <si>
    <t>20015103</t>
  </si>
  <si>
    <t>20015104</t>
  </si>
  <si>
    <t>LAT BASE INTERNA DETAL 562X100X03 HDF - DAKAR 1,36</t>
  </si>
  <si>
    <t>20015105</t>
  </si>
  <si>
    <t>TAMPO 1368X802X12 MDP - MESA DAKAR/MIAMI 1,36</t>
  </si>
  <si>
    <t>20015202</t>
  </si>
  <si>
    <t>20015203</t>
  </si>
  <si>
    <t>20015204</t>
  </si>
  <si>
    <t>LAT BASE INTERNA DETAL 799X100X03 HDF - DAKAR 1,60</t>
  </si>
  <si>
    <t>20015205</t>
  </si>
  <si>
    <t>TAMPO 1602X802X12 MDP - MESA DAKAR/MIAMI 1,60</t>
  </si>
  <si>
    <t>20015302</t>
  </si>
  <si>
    <t>LAT MENOR BASE INTERNA 965X350X15 MDP - DAKAR 1,80</t>
  </si>
  <si>
    <t>20015303</t>
  </si>
  <si>
    <t>LAT MAIOR BASE INTERNA 1113X348X15 MDP -DAKAR 1,80</t>
  </si>
  <si>
    <t>20015304</t>
  </si>
  <si>
    <t>LAT BASE INTERNA DETAL 999X100X03 HDF - DAKAR 1,80</t>
  </si>
  <si>
    <t>20015305</t>
  </si>
  <si>
    <t>20016101</t>
  </si>
  <si>
    <t>TAMPO 1602X802X12 MDP - MESA MIAMI 1,60X0,80</t>
  </si>
  <si>
    <t>20016104</t>
  </si>
  <si>
    <t>ENGRO MAIOR 1481X60X15 MDP - MESA MIAMI 1,60X0,80</t>
  </si>
  <si>
    <t>20016106</t>
  </si>
  <si>
    <t>(2)TRAV.MAIOR 1442X100X15 MDP-MESA MIAMI 1,60X0,80</t>
  </si>
  <si>
    <t>2001611</t>
  </si>
  <si>
    <t>MESA MIAMI 1,60X0,80 VOL 1/1</t>
  </si>
  <si>
    <t>2001631</t>
  </si>
  <si>
    <t>MESA RECIFE LOOMBER 1,60X0,80 VOL 1/1 (MIAMI)</t>
  </si>
  <si>
    <t>20017001</t>
  </si>
  <si>
    <t>LAT MAIOR 675X769X15 MDP - TRENTO 1,36</t>
  </si>
  <si>
    <t>2001701</t>
  </si>
  <si>
    <t>BASE TRENTO 0,90X0,90 VOL 1/1</t>
  </si>
  <si>
    <t>20017010</t>
  </si>
  <si>
    <t>TAMPO 902X902X15 MDP - MESA TRENTO 0,90</t>
  </si>
  <si>
    <t>20017101</t>
  </si>
  <si>
    <t>LAT INTERNA 776X675X15 MDP - TRENTO 1,36</t>
  </si>
  <si>
    <t>20017102</t>
  </si>
  <si>
    <t>20017103</t>
  </si>
  <si>
    <t>20017104</t>
  </si>
  <si>
    <t>20017105</t>
  </si>
  <si>
    <t>2001711</t>
  </si>
  <si>
    <t>BASE TRENTO 1,37X0,80 VOL 1/1</t>
  </si>
  <si>
    <t>20017110</t>
  </si>
  <si>
    <t>TAMPO 1368X802X15 MDP - MESA TRENTO 1,36</t>
  </si>
  <si>
    <t>2001712</t>
  </si>
  <si>
    <t>BASE TRENTO 1,60X0,80 VOL 1/1</t>
  </si>
  <si>
    <t>200171201</t>
  </si>
  <si>
    <t>LAT INTERNA 908X776X15 MDP - TRENTO 1,60</t>
  </si>
  <si>
    <t>200171301</t>
  </si>
  <si>
    <t>LAT MAIOR 450X769X15 MDP - TRENTO 0,90</t>
  </si>
  <si>
    <t>20017210</t>
  </si>
  <si>
    <t>TAMPO 1602X802X15 MDP - MESA TRENTO 1,60</t>
  </si>
  <si>
    <t>20017310</t>
  </si>
  <si>
    <t>20018302</t>
  </si>
  <si>
    <t>20018303</t>
  </si>
  <si>
    <t>20018304</t>
  </si>
  <si>
    <t>LAT BASE INTERNA DETAL 989X100X03 HDF - DAKAR 1,80</t>
  </si>
  <si>
    <t>20019001</t>
  </si>
  <si>
    <t>(2-4) LATERAL 751X124X12 MDF - MESA SANTIAGO</t>
  </si>
  <si>
    <t>20019002</t>
  </si>
  <si>
    <t>FUNDO RIPADO 751X446X12 MDF - MESA SANTIAGO</t>
  </si>
  <si>
    <t>20019003</t>
  </si>
  <si>
    <t>(5) BASE 474X152X12 MDF - MESA SANTIAGO</t>
  </si>
  <si>
    <t>20019004</t>
  </si>
  <si>
    <t>(3) CONTRATAMPO 540X218X12 MDF - MESA SANTIAGO</t>
  </si>
  <si>
    <t>20019005</t>
  </si>
  <si>
    <t>RIPA 751X70X12 MDF - MESA SANTIAGO</t>
  </si>
  <si>
    <t>20019006</t>
  </si>
  <si>
    <t>(1-6) LATERAL RIPADA - MESA SANTIAGO</t>
  </si>
  <si>
    <t>20019007</t>
  </si>
  <si>
    <t>BASE RIPADA  - MESA SANTIAGO</t>
  </si>
  <si>
    <t>2001901</t>
  </si>
  <si>
    <t>BASE SANTIAGO DUPLA</t>
  </si>
  <si>
    <t>20019401</t>
  </si>
  <si>
    <t>LATERAL 751X546X12 - MESA SANTIAGO 1,36</t>
  </si>
  <si>
    <t>20019402</t>
  </si>
  <si>
    <t>FUNDO RIPADO 751X546X12 - MESA SANTIAGO 1,36</t>
  </si>
  <si>
    <t>20019403</t>
  </si>
  <si>
    <t>BASE 572X572X12 - MESA SANTIAGO 1,36</t>
  </si>
  <si>
    <t>20019404</t>
  </si>
  <si>
    <t>CONTRATAMPO 540X515X15 - MESA SANTIAGO 1,36</t>
  </si>
  <si>
    <t>20019406</t>
  </si>
  <si>
    <t>LATERAL RIPADA - MESA SANTIAGO 1,36</t>
  </si>
  <si>
    <t>20019501</t>
  </si>
  <si>
    <t>LATERAL 751X124X12 MDF - MESA SANTIAGO</t>
  </si>
  <si>
    <t>20019502</t>
  </si>
  <si>
    <t>20019503</t>
  </si>
  <si>
    <t>BASE 474X152X12 MDF - MESA SANTIAGO</t>
  </si>
  <si>
    <t>20019504</t>
  </si>
  <si>
    <t>CONTRATAMPO 540X218X12 MDF - MESA SANTIAGO</t>
  </si>
  <si>
    <t>20019505</t>
  </si>
  <si>
    <t>20019506</t>
  </si>
  <si>
    <t>LATERAL RIPADA  - MESA SANTIAGO</t>
  </si>
  <si>
    <t>20019507</t>
  </si>
  <si>
    <t>20019601</t>
  </si>
  <si>
    <t>(2-5) LATERAL 751X546X12 MDF - MESA SANTIAGO 1,36</t>
  </si>
  <si>
    <t>20019602</t>
  </si>
  <si>
    <t>FUNDO RIPADO 751X546X12 MDF - MESA SANTIAGO 1,36</t>
  </si>
  <si>
    <t>20019603</t>
  </si>
  <si>
    <t>(3) BASE 572X572X12 MDF - MESA SANTIAGO 1,36</t>
  </si>
  <si>
    <t>20019604</t>
  </si>
  <si>
    <t>CONTRATAMPO 540X515X15 MDF - MESA SANTIAGO 1,36</t>
  </si>
  <si>
    <t>20019606</t>
  </si>
  <si>
    <t>(1-6) LATERAL RIPADA - MESA SANTIAGO 1,36</t>
  </si>
  <si>
    <t>2001961</t>
  </si>
  <si>
    <t>BASE SANTIAGO QUADRADA</t>
  </si>
  <si>
    <t>20020001</t>
  </si>
  <si>
    <t>(1) LATERAL 1180X92X15 MDF - BASE DUBAI</t>
  </si>
  <si>
    <t>20020002</t>
  </si>
  <si>
    <t>(2) FECHAMENTO I 1090X295X12 MDF - BASE DUBAI</t>
  </si>
  <si>
    <t>20020003</t>
  </si>
  <si>
    <t>(3) FECHAMENTO II 600X295X12 MDF - BASE DUBAI</t>
  </si>
  <si>
    <t>20020004</t>
  </si>
  <si>
    <t>(4) FECHAMENTO III 545X327X12 MDF - BASE DUBAI</t>
  </si>
  <si>
    <t>20020005</t>
  </si>
  <si>
    <t>(5) FECHAMENTO IV 453X327X12 MDF - BASE DUBAI</t>
  </si>
  <si>
    <t>20020007</t>
  </si>
  <si>
    <t>TAMPO VITREO 1365X905X18 MDF - MESA DUBAI LIGHT</t>
  </si>
  <si>
    <t>20020008</t>
  </si>
  <si>
    <t>CANTONEIRA EMBALAGEM 350X50X03 MDF - BASE DUBAI</t>
  </si>
  <si>
    <t>2002001</t>
  </si>
  <si>
    <t>BASE DUBAI 1,60X0,90 VOL 1/2</t>
  </si>
  <si>
    <t>20020507</t>
  </si>
  <si>
    <t>TAMPO VITREO 1605X905X18 MDF - MESA DUBAI LIGHT</t>
  </si>
  <si>
    <t>20021101</t>
  </si>
  <si>
    <t>TAMPO VITREO 1805X905X18 MDF-MESA DUBAI</t>
  </si>
  <si>
    <t>20021607</t>
  </si>
  <si>
    <t>TAMPO 1605X905X18 MDF - MESA COM VIDRO</t>
  </si>
  <si>
    <t>20021807</t>
  </si>
  <si>
    <t>TAMPO 1805X905X18 MDF - MESA COM VIDRO</t>
  </si>
  <si>
    <t>20022001</t>
  </si>
  <si>
    <t>TRAVESSA 755X88X30 MADEIRA- ATHENAS</t>
  </si>
  <si>
    <t>20022002</t>
  </si>
  <si>
    <t>BASE MAIOR 640X90X30 MADEIRA- ATHENAS</t>
  </si>
  <si>
    <t>20022003</t>
  </si>
  <si>
    <t>BASE MENOR 275X90X30 MADEIRA- ATHENAS</t>
  </si>
  <si>
    <t>200230101</t>
  </si>
  <si>
    <t>PE MAIOR 740X450X15 MDF - MESA PORTO</t>
  </si>
  <si>
    <t>SECCIONADORA 2</t>
  </si>
  <si>
    <t>200230102</t>
  </si>
  <si>
    <t>PE MENOR 740X217X15 MDF - MESA PORTO</t>
  </si>
  <si>
    <t>200230103</t>
  </si>
  <si>
    <t>TAMPO 676X676X15 MDF - MESA PORTO</t>
  </si>
  <si>
    <t>200230104</t>
  </si>
  <si>
    <t>MESA PORTO</t>
  </si>
  <si>
    <t>20024001</t>
  </si>
  <si>
    <t>TAMPO 1200X880X15 MDP - MESA MONTREAL 1,20X0,90</t>
  </si>
  <si>
    <t>20024002</t>
  </si>
  <si>
    <t>ENGRO MENOR 758X60X15 MDP - MESA MONTREAL</t>
  </si>
  <si>
    <t>20024003</t>
  </si>
  <si>
    <t>LATERAL EXTERNA 750X400X12 MDP - MESA MONTREAL</t>
  </si>
  <si>
    <t>20024004</t>
  </si>
  <si>
    <t>VISTA 750X62X03 MDF MESA MONTREAL</t>
  </si>
  <si>
    <t>20024005</t>
  </si>
  <si>
    <t>LATERAL INTERNA 750X400X12 MDP - MESA MONTREAL</t>
  </si>
  <si>
    <t>20024006</t>
  </si>
  <si>
    <t>BASE 410X100X12 MDP - MESA MONTREAL</t>
  </si>
  <si>
    <t>20024007</t>
  </si>
  <si>
    <t>SUP. TAMPO 740X100X15 MDP - MESA MONTREAL</t>
  </si>
  <si>
    <t>20024008</t>
  </si>
  <si>
    <t>TRAVESSA  270X120X15 MDP - MES MONTREAL 1,20X0,90</t>
  </si>
  <si>
    <t>20024601</t>
  </si>
  <si>
    <t>LATERAL 751X572X12 MDF - MESA TELINHA 1,36</t>
  </si>
  <si>
    <t>20024602</t>
  </si>
  <si>
    <t>FUNDO 751X546X15 (10PCS) MDF - MESA TELAVIV 1,36</t>
  </si>
  <si>
    <t>20024603</t>
  </si>
  <si>
    <t>BASE 572X572X12 MDF - MESA TELINHA 1,36</t>
  </si>
  <si>
    <t>20024606</t>
  </si>
  <si>
    <t>LATERAL C/ TELINHA- MESA 1,36</t>
  </si>
  <si>
    <t>2002461</t>
  </si>
  <si>
    <t>BASE TELAVIV QUADRADA</t>
  </si>
  <si>
    <t>2002501</t>
  </si>
  <si>
    <t>BASE MONTEVIDEU 1,36X1,36 VOL 1/2</t>
  </si>
  <si>
    <t>200250101</t>
  </si>
  <si>
    <t>LATERAL 770X480X15 MDF MESA MONTEVIDEU</t>
  </si>
  <si>
    <t>200250102</t>
  </si>
  <si>
    <t>CONTRATAMPO 700X700X12 MDF MESA MONTEVIDEU</t>
  </si>
  <si>
    <t>200250103</t>
  </si>
  <si>
    <t>TRAVESSA 570X70X15 MDF MESA MONTEVIDEU - BRANCO</t>
  </si>
  <si>
    <t>200250104</t>
  </si>
  <si>
    <t>MOLDURA CURVA 770 MDF MESA MONTEVIDEU</t>
  </si>
  <si>
    <t>200250105</t>
  </si>
  <si>
    <t>MOLDURA CURVA 770 MDF MONTEVIDEU C/ REVESTIMENTO</t>
  </si>
  <si>
    <t>200250106</t>
  </si>
  <si>
    <t>TRAVESSA 560X70X15 MDF MESA MONTEVIDEU - CINAMOMO</t>
  </si>
  <si>
    <t>20025021</t>
  </si>
  <si>
    <t>TAMPO 1365X1365X25 MDF - MESA COM VIDRO</t>
  </si>
  <si>
    <t>20026001</t>
  </si>
  <si>
    <t>TAMPO 1500X880X15 MDP - MESA MONTREAL 1,50X0,90</t>
  </si>
  <si>
    <t>20026002</t>
  </si>
  <si>
    <t>ENGRO MAIOR 1500X60X15 MDP - MESA MONT 1,50X0,90</t>
  </si>
  <si>
    <t>20026008</t>
  </si>
  <si>
    <t>TRAVESSA 690X120X15 MDP - MESA MONTREL 1,50X0,90</t>
  </si>
  <si>
    <t>200273101</t>
  </si>
  <si>
    <t>BASE REDONDA 500X500X18 MDF - MESA CATEDRAL 1,03</t>
  </si>
  <si>
    <t>200273102</t>
  </si>
  <si>
    <t>CONTRA TAMPO 650X650X12 MDF - MESA CATEDRAL 1,03</t>
  </si>
  <si>
    <t>200276101</t>
  </si>
  <si>
    <t>PE 700X120(660)X15 (4PCS) MDF - MESA CATEDRAL</t>
  </si>
  <si>
    <t>200276102</t>
  </si>
  <si>
    <t>BASE 900X450X25 MDF - MESA CATEDRAL</t>
  </si>
  <si>
    <t>200276103</t>
  </si>
  <si>
    <t>CONTRA TAMPO 1050X600X15 MDF - MESA CATEDRAL</t>
  </si>
  <si>
    <t>200277101</t>
  </si>
  <si>
    <t>PE 700X120(660)X18 (4PCS) MDF - MESA CATEDRAL II</t>
  </si>
  <si>
    <t>200277102</t>
  </si>
  <si>
    <t>BASE 900X450X18 MDF - MESA CATEDRAL II</t>
  </si>
  <si>
    <t>200277103</t>
  </si>
  <si>
    <t>CONTRA TAMPO 1050X600X18 MDF - MESA CATEDRAL II</t>
  </si>
  <si>
    <t>200303101</t>
  </si>
  <si>
    <t>TRAVESSA 760X120X18 MDF - MESA GENOVA 1,36</t>
  </si>
  <si>
    <t>200303201</t>
  </si>
  <si>
    <t>TAMPO 1360X900X15 MDF - TAMPO C/ENGROSSO R100</t>
  </si>
  <si>
    <t>200303202</t>
  </si>
  <si>
    <t>ENGROSSO 1 1220X100X25 MDP - TAMPO ENGROSSADO R100</t>
  </si>
  <si>
    <t>200303204</t>
  </si>
  <si>
    <t>TAMPO ENGROSSADO (R100) - 1360X900X40 MDF</t>
  </si>
  <si>
    <t>200303205</t>
  </si>
  <si>
    <t>TAMPO ENGROSSADO R100 C/ VIDRO 1360X900X40 MDF</t>
  </si>
  <si>
    <t>200306101</t>
  </si>
  <si>
    <t>PE 790(800)X100X50 MDP - MESA GENOVA</t>
  </si>
  <si>
    <t>200306102</t>
  </si>
  <si>
    <t>BASE DOS PES 634(653)X95X50 MDP - MESA GENOVA</t>
  </si>
  <si>
    <t>200306103</t>
  </si>
  <si>
    <t>TRAVESSA MENOR 393X120X18 MDF - MESA GENOVA</t>
  </si>
  <si>
    <t>200306104</t>
  </si>
  <si>
    <t>TRAVESSA MAIOR 1000X120X18 MDF - MESA GENOVA</t>
  </si>
  <si>
    <t>200306130</t>
  </si>
  <si>
    <t>EMB PE GENOVA (800X200X152)</t>
  </si>
  <si>
    <t>200306131</t>
  </si>
  <si>
    <t>EMB ACESSRIOS PE GENOVA (200X150X50)</t>
  </si>
  <si>
    <t>200306201</t>
  </si>
  <si>
    <t>TAMPO 1600X900X15 MDF - TAMPO C/ENGROSSO R100</t>
  </si>
  <si>
    <t>200306202</t>
  </si>
  <si>
    <t>ENGROSSO 1 1460X70X25 MDP - TAMPO C/ENGROSSO R100</t>
  </si>
  <si>
    <t>200306203</t>
  </si>
  <si>
    <t>ENGROSSO 2 900X100X25 MDP - TAMPO C/ENGROSSO R100</t>
  </si>
  <si>
    <t>200306204</t>
  </si>
  <si>
    <t>TAMPO MONTADO 1600X900X45 MDF-TAMPO C/ENGROS R100</t>
  </si>
  <si>
    <t>200306205</t>
  </si>
  <si>
    <t>TAMPO MTD 1600X900X45 MDF-TAMPO C/ENGROS R100 C/VD</t>
  </si>
  <si>
    <t>200308101</t>
  </si>
  <si>
    <t>TRAVESSA 1200X120X18 MDF - MESA GENOVA 1,80</t>
  </si>
  <si>
    <t>200308201</t>
  </si>
  <si>
    <t>TAMPO 1800X900X15 MDF - TAMPO C/ENGROSSO R100</t>
  </si>
  <si>
    <t>200308202</t>
  </si>
  <si>
    <t>ENGROSSO 1 1660X100X25 MDP - TAMPO C/ENGROSSO R100</t>
  </si>
  <si>
    <t>200308204</t>
  </si>
  <si>
    <t>TAMPO MONTADO 1800X900X45 MDF-TAMPO C/ENGROS R100</t>
  </si>
  <si>
    <t>200308205</t>
  </si>
  <si>
    <t>TAMPO MTD 1800X900X45 MDF-TAMPO C/ENGROS R100 C/VD</t>
  </si>
  <si>
    <t>20031202</t>
  </si>
  <si>
    <t>(4) PE MAIOR 800(818)X100(169)X15 MDF - NOVA YORK</t>
  </si>
  <si>
    <t>20031203</t>
  </si>
  <si>
    <t>(5) PE MENOR 800(818)X84(138)X15 MDF - NOVA YORK</t>
  </si>
  <si>
    <t>20031205</t>
  </si>
  <si>
    <t>(2) TRAV MAIOR 942(952)X100X15 MDP-NOVA YORK 1,20</t>
  </si>
  <si>
    <t>20031206</t>
  </si>
  <si>
    <t>(3) TRAV MENOR 614(624)X100X15 MDP-NOVA YORK 1,20</t>
  </si>
  <si>
    <t>20031207</t>
  </si>
  <si>
    <t>TAMPO 1205X905X15 MDF - MESA COM VIDRO</t>
  </si>
  <si>
    <t>2003121</t>
  </si>
  <si>
    <t>MESA NOVA YORK 1,20X0,90 VOL 1/2</t>
  </si>
  <si>
    <t>20031305</t>
  </si>
  <si>
    <t>TRAV MAIOR 1102(1112)X100X15 MDP - NOVA YORK 1,36</t>
  </si>
  <si>
    <t>20031307</t>
  </si>
  <si>
    <t>TAMPO 1365X905X15 MDF - MESA COM VIDRO</t>
  </si>
  <si>
    <t>20031308</t>
  </si>
  <si>
    <t xml:space="preserve">TAMPO VITREO 1365X905X15 MDF </t>
  </si>
  <si>
    <t>2003131</t>
  </si>
  <si>
    <t>MESA NOVA YORK 1,36X0,90 VOL 1/2</t>
  </si>
  <si>
    <t>20031605</t>
  </si>
  <si>
    <t>(2)TRAV MAIOR 1342(1352)X100X15 MDP-NOVA YORK 1,60</t>
  </si>
  <si>
    <t>20031607</t>
  </si>
  <si>
    <t>TAMPO 1605X905X15 MDF - MESA COM VIDRO</t>
  </si>
  <si>
    <t>20031609</t>
  </si>
  <si>
    <t xml:space="preserve">TAMPO VITREO 1605X905X15 MDF </t>
  </si>
  <si>
    <t>2003161</t>
  </si>
  <si>
    <t>MESA NOVA YORK 1,60X0,90 VOL 1/2</t>
  </si>
  <si>
    <t>20032001</t>
  </si>
  <si>
    <t>TAMPO 1200X1200 MDF 18MM - REDONDO</t>
  </si>
  <si>
    <t>20032101</t>
  </si>
  <si>
    <t>TAMPO VITREO 1200X1200 MDF 18MM - REDONDO</t>
  </si>
  <si>
    <t>20032201</t>
  </si>
  <si>
    <t>TAMPO VIDRO 1200X1200 MDF 18MM - REDONDO</t>
  </si>
  <si>
    <t>20033301</t>
  </si>
  <si>
    <t>TRAV.MAIOR 980X65(135)X15 MDF-TAMPO AMST.1,03X1,03</t>
  </si>
  <si>
    <t>20033302</t>
  </si>
  <si>
    <t>TRAV. MENOR 850X65X15 MDF - TAMPO AMST. 1,03X1,03</t>
  </si>
  <si>
    <t>20033303</t>
  </si>
  <si>
    <t>MOLDURA 1030X515X15 MDF - TAMPO AMST. 1,03X1,03</t>
  </si>
  <si>
    <t>20033304</t>
  </si>
  <si>
    <t>TAMPO 1030X1030X15 MDF - TAMPO AMST. 1,03X1,03</t>
  </si>
  <si>
    <t>20033330</t>
  </si>
  <si>
    <t>EMB. TAMPO SANTIAGO 1,03 - 1060X1055X443</t>
  </si>
  <si>
    <t>20033630</t>
  </si>
  <si>
    <t>EMB TAMPO 1400X3290 - TAMPO AMST. 1,60X0,90 -TESTE</t>
  </si>
  <si>
    <t>20034301</t>
  </si>
  <si>
    <t>LATERAL EXTERNA 751X446X12 MDF - SANTIAGO 1,03</t>
  </si>
  <si>
    <t>20034302</t>
  </si>
  <si>
    <t>FUNDO 751X446X12 MDF - SANTIAGO 1,03</t>
  </si>
  <si>
    <t>20034303</t>
  </si>
  <si>
    <t>BASE 472X472X12 MDF - SANTIAGO 1,03</t>
  </si>
  <si>
    <t>20034304</t>
  </si>
  <si>
    <t>FUNDO RIPADO 751X470X24 MDF - SANTIAGO 1,03</t>
  </si>
  <si>
    <t>20034601</t>
  </si>
  <si>
    <t>LATERAL 751X300X12 MDF - SANTIAGO UNICA 1,60</t>
  </si>
  <si>
    <t>20034602</t>
  </si>
  <si>
    <t>FUNDO 751X746X12 MDF - SANTIAGO UNICA 1,60</t>
  </si>
  <si>
    <t>20034603</t>
  </si>
  <si>
    <t>BASE 772X326X12 MDF - SANTIAGO UNICA 1,60</t>
  </si>
  <si>
    <t>20034604</t>
  </si>
  <si>
    <t>FUNDO RIPADO 751X746X24 MDF - SANTIAGO UNICA 1,60</t>
  </si>
  <si>
    <t>20036001</t>
  </si>
  <si>
    <t>TAMPO 600X600 MDF 18MM - REDONDO</t>
  </si>
  <si>
    <t>20036101</t>
  </si>
  <si>
    <t>TAMPO VITREO 600X600 MDF 18MM - REDONDO</t>
  </si>
  <si>
    <t>20036201</t>
  </si>
  <si>
    <t>TAMPO VIDRO 600X600 MDF 18MM - REDONDO</t>
  </si>
  <si>
    <t>20039001</t>
  </si>
  <si>
    <t>TAMPO 900X900 MDF 18MM - REDONDO</t>
  </si>
  <si>
    <t>20039101</t>
  </si>
  <si>
    <t>TAMPO VITREO 900X900 MDF 18MM - REDONDO</t>
  </si>
  <si>
    <t>20039201</t>
  </si>
  <si>
    <t>TAMPO VIDRO 900X900 MDF 18MM - REDONDO</t>
  </si>
  <si>
    <t>20042001</t>
  </si>
  <si>
    <t>TAMPO 1160X1160X15 MDP - MESA 1,20 C/ PT GIRATORIO</t>
  </si>
  <si>
    <t>20042002</t>
  </si>
  <si>
    <t>ENGRO MAIOR 1160X60X15 MDP - MESA 1,20 C/ PT GIRA</t>
  </si>
  <si>
    <t>20042003</t>
  </si>
  <si>
    <t>ENGRO MENOR 1040X60X15 MDP - MESA 1,20 C/ PT GIRA</t>
  </si>
  <si>
    <t>20042501</t>
  </si>
  <si>
    <t>20050001</t>
  </si>
  <si>
    <t>TRAVESSA 1 750X154X15 MDP - MESA TURIM</t>
  </si>
  <si>
    <t>20050002</t>
  </si>
  <si>
    <t>BASE REDONDA 510X510X12 MDF - MESA TURIM</t>
  </si>
  <si>
    <t>20050003</t>
  </si>
  <si>
    <t>BASE REDONDA 436X436X12 MDF - MESA TURIM</t>
  </si>
  <si>
    <t>20050004</t>
  </si>
  <si>
    <t>TAMPO REDONDO 510X510X12 MDF - MESA TURIM</t>
  </si>
  <si>
    <t>20050005</t>
  </si>
  <si>
    <t>TAMPO REDONDO 436X436X12 MDF - MESA TURIM</t>
  </si>
  <si>
    <t>20050006</t>
  </si>
  <si>
    <t>TAMPO REDONDO 1035X1035X25 MDF - MESA TURIM</t>
  </si>
  <si>
    <t>20050008</t>
  </si>
  <si>
    <t>TRAVESSA 2 750X152X15 MDP - MESA TURIM</t>
  </si>
  <si>
    <t>2005001</t>
  </si>
  <si>
    <t>BASE MESA TURIM VOL 1/2</t>
  </si>
  <si>
    <t>20051001</t>
  </si>
  <si>
    <t>TAMPO REDONDO 1035X1035X18 MDF - MESA TURIM LIGHT</t>
  </si>
  <si>
    <t>20052001</t>
  </si>
  <si>
    <t>(2-4) TRAVESSA 742X122X25 MDF - MESA ATHENAS</t>
  </si>
  <si>
    <t>20052002</t>
  </si>
  <si>
    <t>(5) BASE MAIOR 542X124X25 MDF - MESA ATHENAS</t>
  </si>
  <si>
    <t>20052003</t>
  </si>
  <si>
    <t>(6)BASE MENOR 386 (189)X124X25 MDF - MESA ATHENAS</t>
  </si>
  <si>
    <t>20052004</t>
  </si>
  <si>
    <t>(3) APOIO TAMPO 540X386X12 MDP - MESA ATHENAS</t>
  </si>
  <si>
    <t>2005201</t>
  </si>
  <si>
    <t>BASE MESA ATHENAS VOL 1/2</t>
  </si>
  <si>
    <t>20052101</t>
  </si>
  <si>
    <t>TAMPO VITREO 900X900X18 MDF - MESA ATHENAS</t>
  </si>
  <si>
    <t>2005211</t>
  </si>
  <si>
    <t>BASE MESA ATHENAS VOL 1/2 MULTIMOVEIS</t>
  </si>
  <si>
    <t>20052201</t>
  </si>
  <si>
    <t>TAMPO VITREO 1205X905X18 MDF-MESA ATHENAS</t>
  </si>
  <si>
    <t>20052202</t>
  </si>
  <si>
    <t>(5) BASE MAIOR 742X124X25 MDF - MESA ATHENAS 1,20</t>
  </si>
  <si>
    <t>20052203</t>
  </si>
  <si>
    <t>(6)BASE MENOR 446(220)X124X25 MDF-MESA ATHENAS1,20</t>
  </si>
  <si>
    <t>20052204</t>
  </si>
  <si>
    <t>(3) APOIO TAMPO 740X440X12 MDP - MESA ATHENAS 1,20</t>
  </si>
  <si>
    <t>2005221</t>
  </si>
  <si>
    <t>BASE MESA ATHENAS 1,20 / 1,35 VOL 1/2</t>
  </si>
  <si>
    <t>20052401</t>
  </si>
  <si>
    <t>TAMPO VITREO 1360X900X18 MDF-MESA ATHENAS</t>
  </si>
  <si>
    <t>20052501</t>
  </si>
  <si>
    <t>TRAVESSA 742X122X25 MDF - MESA ATHENAS</t>
  </si>
  <si>
    <t>20052502</t>
  </si>
  <si>
    <t>BASE MAIOR 542X124X25 MDF - MESA ATHENAS</t>
  </si>
  <si>
    <t>20052503</t>
  </si>
  <si>
    <t>BASE MENOR 386 (189)X124X25 MDF - MESA ATHENAS</t>
  </si>
  <si>
    <t>20052602</t>
  </si>
  <si>
    <t>BASE MAIOR 990X124X25 MDF - MESA ATHENAS 1,60/1,80</t>
  </si>
  <si>
    <t>20052603</t>
  </si>
  <si>
    <t>APOIO TAMPO 990X440X12 MDP -MESA ATHENAS 1,60/1,80</t>
  </si>
  <si>
    <t>20053007</t>
  </si>
  <si>
    <t>TAMPO REDONDO 1035X1035X18 MDF - MESA COM VIDRO</t>
  </si>
  <si>
    <t>20053101</t>
  </si>
  <si>
    <t>TAMPO 900X900X18 MDF - MESA COM VIDRO</t>
  </si>
  <si>
    <t>20053207</t>
  </si>
  <si>
    <t>TAMPO 1205X905X18 MDF - MESA COM VIDRO</t>
  </si>
  <si>
    <t>20053407</t>
  </si>
  <si>
    <t>TAMPO 1365X905X18 MDF - MESA COM VIDRO</t>
  </si>
  <si>
    <t>20053607</t>
  </si>
  <si>
    <t>20053807</t>
  </si>
  <si>
    <t>2005401</t>
  </si>
  <si>
    <t>BASE MESA TOPAZIO PLUS 1,03 / 1,20 - VOL 1/2</t>
  </si>
  <si>
    <t>MESA DE MADEIRA</t>
  </si>
  <si>
    <t>2005431</t>
  </si>
  <si>
    <t>BASE MESA TOPAZIO PLUS 1,36 - VOL 1/2</t>
  </si>
  <si>
    <t>20054601</t>
  </si>
  <si>
    <t>PE ESTRU. 760(810)X80(125)X30 MAD (2PC)- TOPAZIO</t>
  </si>
  <si>
    <t>20054605</t>
  </si>
  <si>
    <t>PE 768X78(120)X30 MADEIRA - MESA TOPAZIO</t>
  </si>
  <si>
    <t>PEÇAS DE MADEIRA</t>
  </si>
  <si>
    <t>20054606</t>
  </si>
  <si>
    <t>TRAV. CENTRAL 690X80X18 MDF - MESA TOPAZIO</t>
  </si>
  <si>
    <t>2005461</t>
  </si>
  <si>
    <t>BASE MESA TOPAZIO PLUS 1,60 / 1,80 - VOL 1/2</t>
  </si>
  <si>
    <t>20055001</t>
  </si>
  <si>
    <t>PE 798X97X30 MADEIRA - MESA AMBAR</t>
  </si>
  <si>
    <t>20055011</t>
  </si>
  <si>
    <t>TRAVESSA 500X80X25 MADEIRA - AMBAR 1,03</t>
  </si>
  <si>
    <t>20055030</t>
  </si>
  <si>
    <t>EMB BASE AMBAR 1,03 (990X160X93)</t>
  </si>
  <si>
    <t>20055031</t>
  </si>
  <si>
    <t>EMB ACESSORIOS BASE AMBAR 1,03 (170X160X60)</t>
  </si>
  <si>
    <t>20055212</t>
  </si>
  <si>
    <t>TRAVESSA MAIOR 960X80X25 MADEIRA - AMBAR 1,20</t>
  </si>
  <si>
    <t>20055230</t>
  </si>
  <si>
    <t>EMB TRAVESSAS AMBAR 1,20 (960X80X100)</t>
  </si>
  <si>
    <t>20055231</t>
  </si>
  <si>
    <t>EMB ACESSORIOS AMBAR (100X80X75)</t>
  </si>
  <si>
    <t>20055311</t>
  </si>
  <si>
    <t>TRAVESSA MENOR 700X80X25 MADEIRA - BASE AMBAR</t>
  </si>
  <si>
    <t>20055312</t>
  </si>
  <si>
    <t>TRAVESSA MAIOR 1120X80X25 MADEIRA - AMBAR 1,36</t>
  </si>
  <si>
    <t>20055330</t>
  </si>
  <si>
    <t>EMB TRAVESSAS AMBAR 1,36 (1120X80X100)</t>
  </si>
  <si>
    <t>2005561</t>
  </si>
  <si>
    <t>TRAVESSAS MESA AMBAR 1,60 - VOL 2/3</t>
  </si>
  <si>
    <t>20055611</t>
  </si>
  <si>
    <t>TRAVESSA MAIOR 1355X80X25 MADEIRA - AMBAR 1,60</t>
  </si>
  <si>
    <t>20055612</t>
  </si>
  <si>
    <t>TRAVESSA CENTRAL 690X80X20 MADEIRA-AMBAR 1,60/1,80</t>
  </si>
  <si>
    <t>200556130</t>
  </si>
  <si>
    <t>EMB PES AMBAR (820X140X60)</t>
  </si>
  <si>
    <t>200556131</t>
  </si>
  <si>
    <t>EMB TRAVESSAS AMBAR 1,60 (1450X80X75)</t>
  </si>
  <si>
    <t>20055811</t>
  </si>
  <si>
    <t>TRAVESSA MAIOR 1555X80X25 MADEIRA - AMBAR 1,80</t>
  </si>
  <si>
    <t>200558130</t>
  </si>
  <si>
    <t>EMB TRAVESSAS AMBAR 1,80 (1650X80X75)</t>
  </si>
  <si>
    <t>20056001</t>
  </si>
  <si>
    <t>TRAVESSA 742X122X30 MADEIRA - MESA TOPAZIO</t>
  </si>
  <si>
    <t>20056002</t>
  </si>
  <si>
    <t>BASE MAIOR 742X124X30 MADEIRA - MESA TOPAZIO</t>
  </si>
  <si>
    <t>20056003</t>
  </si>
  <si>
    <t>BASE MENOR 220X124X30 MADEIRA - MESA TOPAZIO</t>
  </si>
  <si>
    <t>20056201</t>
  </si>
  <si>
    <t>TRAVESSA 730(762)X102(900)X30 MAD (8PÇ)- TOPAZIO</t>
  </si>
  <si>
    <t>20056202</t>
  </si>
  <si>
    <t>BAS MAIOR 540(562)X104(900)X30 MAD (8PÇ)- TOPAZIO</t>
  </si>
  <si>
    <t>20056203</t>
  </si>
  <si>
    <t>BAS MENOR 189(400)X104(900)X30 MAD (16PÇ)- TOPAZIO</t>
  </si>
  <si>
    <t>20056204</t>
  </si>
  <si>
    <t>APOIO TAMPO 540X386X12 MDF - MESA TOPAZIO</t>
  </si>
  <si>
    <t>20057001</t>
  </si>
  <si>
    <t>PÉ ESTRU. 760(780)X80(940)X30 MAD (12PÇ)- TOPAZIO</t>
  </si>
  <si>
    <t>20057002</t>
  </si>
  <si>
    <t>TRAVESSA 480X80X25 MDF - TOPAZIO</t>
  </si>
  <si>
    <t>20057003</t>
  </si>
  <si>
    <t>APOIO TAMPO 542X542X15 MDP - MESA TOPAZIO</t>
  </si>
  <si>
    <t>20057402</t>
  </si>
  <si>
    <t>TRAVESSA MAIOR 1130X80X25 MDF - TOPAZIO 1,36</t>
  </si>
  <si>
    <t>20057403</t>
  </si>
  <si>
    <t>TRAVESSA MENOR 710X80X25 MDF - TOPAZIO</t>
  </si>
  <si>
    <t>20057404</t>
  </si>
  <si>
    <t>APOIO TAMPO 1172X752X15 MDP - MESA TOPAZIO 1,36</t>
  </si>
  <si>
    <t>20057405</t>
  </si>
  <si>
    <t>TRAVESSA MAIOR 1130X80X25 MDF-TOPAZIO 1,36 ANTIGA</t>
  </si>
  <si>
    <t>20057602</t>
  </si>
  <si>
    <t>TRAVESSA MAIOR 1365X80X25 MDF - TOPAZIO 1,80</t>
  </si>
  <si>
    <t>20057605</t>
  </si>
  <si>
    <t>PE 768X78(120)X30 MADEIRA- MESA TOPAZIO (FUR ANTG)</t>
  </si>
  <si>
    <t>20057606</t>
  </si>
  <si>
    <t>APOIO TAMPO 1407X752X15 MDP - MESA TOPAZIO 1,80</t>
  </si>
  <si>
    <t>20057607</t>
  </si>
  <si>
    <t>TRAVESSA MAIOR 1365X80X25 MDF-TOPAZIO 1,80 ANTIGA</t>
  </si>
  <si>
    <t>20058007</t>
  </si>
  <si>
    <t>TAMPO REDONDO 1035X1035X25 MDF - MESA COM VIDRO</t>
  </si>
  <si>
    <t>20058207</t>
  </si>
  <si>
    <t xml:space="preserve">TAMPO 1205X905X25 MDF - MESA COM VIDRO	</t>
  </si>
  <si>
    <t>20058407</t>
  </si>
  <si>
    <t>TAMPO 1365X905X25 MDF - MESA COM VIDRO</t>
  </si>
  <si>
    <t>20058607</t>
  </si>
  <si>
    <t>TAMPO 1605X905X25 MDF - MESA COM VIDRO</t>
  </si>
  <si>
    <t>20058807</t>
  </si>
  <si>
    <t>TAMPO 1805X905X25 MDF - MESA COM VIDRO</t>
  </si>
  <si>
    <t>20059001</t>
  </si>
  <si>
    <t>TAMPO 1360X1360X25 MDF - MESA COM VIDRO</t>
  </si>
  <si>
    <t>20061000</t>
  </si>
  <si>
    <t>COMPONENTE PE DIR 770X73(146)X30 MAD - MESA JADE</t>
  </si>
  <si>
    <t>20061001</t>
  </si>
  <si>
    <t>COMPONENTE PE ESQ 770X73(146)X30 MAD - MESA JADE</t>
  </si>
  <si>
    <t>20061002</t>
  </si>
  <si>
    <t>PE ACABADO 770X73 MADEIRA - MESA JADE</t>
  </si>
  <si>
    <t>20061003</t>
  </si>
  <si>
    <t>TRAVESSA MENOR 650X80X25 MADEIRA - MESA JADE</t>
  </si>
  <si>
    <t>20061004</t>
  </si>
  <si>
    <t>TRAVESSA MAIOR 1110X80X25 MADEIRA - MESA JADE 1,36</t>
  </si>
  <si>
    <t>2006101</t>
  </si>
  <si>
    <t>PES MESA JADE - VOL 1/3</t>
  </si>
  <si>
    <t>2006102</t>
  </si>
  <si>
    <t>TRAVESSAS MESA JADE 1,36 - VOL 2/3</t>
  </si>
  <si>
    <t>20061104</t>
  </si>
  <si>
    <t>TRAVESSA MAIOR 1350X80X25 MADEIRA - MESA JADE 1,60</t>
  </si>
  <si>
    <t>2006112</t>
  </si>
  <si>
    <t>TRAVESSAS MESA JADE 1,60 - VOL 2/3</t>
  </si>
  <si>
    <t>20061204</t>
  </si>
  <si>
    <t>TRAVESSA MAIOR 1550X80X25 MADEIRA - MESA JADE 1,80</t>
  </si>
  <si>
    <t>2006122</t>
  </si>
  <si>
    <t>TRAVESSAS MESA JADE 1,80 - VOL 2/3</t>
  </si>
  <si>
    <t>20061304</t>
  </si>
  <si>
    <t>TRAVESSA MAIOR 1750X80X25 MADEIRA - MESA JADE 2,00</t>
  </si>
  <si>
    <t>20061312</t>
  </si>
  <si>
    <t>TAMPO 2000X900X18 MDF - MESA COM VIDRO (RAIO100)</t>
  </si>
  <si>
    <t>2006133</t>
  </si>
  <si>
    <t>TRAVESSAS MESA JADE 2,00 - VOL 2/3</t>
  </si>
  <si>
    <t>20062002</t>
  </si>
  <si>
    <t>PE 770X120X30 MADEIRA - MESA AMETISTA</t>
  </si>
  <si>
    <t>20062003</t>
  </si>
  <si>
    <t>TRAVESSA MENOR 700X80X30 MADEIRA - MESA AMETISTA</t>
  </si>
  <si>
    <t>20062004</t>
  </si>
  <si>
    <t>TRAVESSA MAIOR 1110X80X30 MADEIRA - AMETISTA 1,36</t>
  </si>
  <si>
    <t>2006201</t>
  </si>
  <si>
    <t>PES MESA AMETISTA - VOL 1/3</t>
  </si>
  <si>
    <t>2006202</t>
  </si>
  <si>
    <t>TRAVESSAS MESA AMETISTA 1,36 - VOL 2/3</t>
  </si>
  <si>
    <t>20062104</t>
  </si>
  <si>
    <t>TRAVESSA MAIOR 1350X80X30 MADEIRA - AMETISTA 1,60</t>
  </si>
  <si>
    <t>2006212</t>
  </si>
  <si>
    <t>TRAVESSAS MESA AMETISTA 1,60 - VOL 2/3</t>
  </si>
  <si>
    <t>20062204</t>
  </si>
  <si>
    <t>TRAVESSA MAIOR 1550X80X30 MADEIRA - AMETISTA 1,80</t>
  </si>
  <si>
    <t>2006222</t>
  </si>
  <si>
    <t>TRAVESSAS MESA AMETISTA 1,80 - VOL 2/3</t>
  </si>
  <si>
    <t>20063002</t>
  </si>
  <si>
    <t>PE 762X80X35 MADEIRA - MESA PEROLA</t>
  </si>
  <si>
    <t>20063003</t>
  </si>
  <si>
    <t>TRAVESSA SUPERIOR 660X60X35 MADEIRA - MESA PEROLA</t>
  </si>
  <si>
    <t>20063004</t>
  </si>
  <si>
    <t>TRAVESSA INFERIOR 660X60X35 MADEIRA - MESA PEROLA</t>
  </si>
  <si>
    <t>20063005</t>
  </si>
  <si>
    <t>PE ENCAIXE SUPERIOR MAD - MESA PEROLA</t>
  </si>
  <si>
    <t>20063006</t>
  </si>
  <si>
    <t>PE ENCAIXE INFERIOR MAD - MESA PEROLA</t>
  </si>
  <si>
    <t>20063202</t>
  </si>
  <si>
    <t>PE 760X90X40 MADEIRA - MESA PEROLA</t>
  </si>
  <si>
    <t>20063203</t>
  </si>
  <si>
    <t>TRAVESSA 670X70X40 MADEIRA - MESA PEROLA</t>
  </si>
  <si>
    <t>2006321</t>
  </si>
  <si>
    <t>MESA PEROLA 1030X1030 - VOL 1/2</t>
  </si>
  <si>
    <t>20064001</t>
  </si>
  <si>
    <t>COMPONENTE PE 760X30X30 MADEIRA - MESA SAFIRA</t>
  </si>
  <si>
    <t>20064002</t>
  </si>
  <si>
    <t>PE TRIPLO 760X109X109 MADEIRA - MESA SAFIRA</t>
  </si>
  <si>
    <t>20064003</t>
  </si>
  <si>
    <t>TRAVESSA MENOR 850X50X25 MADEIRA - MESA SAFIRA</t>
  </si>
  <si>
    <t>20064004</t>
  </si>
  <si>
    <t>TRAVESSA MAIOR 1310X50X25 MADEIRA - MESA SAFIRA</t>
  </si>
  <si>
    <t>20064005</t>
  </si>
  <si>
    <t>MOLDURA 1310X850X25 - MESA SAFIRA 1,36</t>
  </si>
  <si>
    <t>20064006</t>
  </si>
  <si>
    <t>MOLDURA 1550X850X25 - MESA SAFIRA 1,60</t>
  </si>
  <si>
    <t>20064007</t>
  </si>
  <si>
    <t>MOLDURA 1750X850X25 - MESA SAFIRA 1,80</t>
  </si>
  <si>
    <t>2006401</t>
  </si>
  <si>
    <t>PES MESA SAFIRA - VOL 1/2</t>
  </si>
  <si>
    <t>20064104</t>
  </si>
  <si>
    <t>TRAVESSA MAIOR 1550X50X25 MADEIRA - MESA SAFIRA</t>
  </si>
  <si>
    <t>20064204</t>
  </si>
  <si>
    <t>TRAVESSA MAIOR 1750X50X25 MADEIRA - MESA SAFIRA</t>
  </si>
  <si>
    <t>20065001</t>
  </si>
  <si>
    <t>CONTRA TAMPO 740X440X12 MDP - MESA CELTA</t>
  </si>
  <si>
    <t>20065002</t>
  </si>
  <si>
    <t>TRAVESSA MENOR 237,5X80X30 MAD - MESA CELTA</t>
  </si>
  <si>
    <t>20065003</t>
  </si>
  <si>
    <t>TRAVESSA MAIOR 780X80X30 MADEIRA - MESA CELTA 1,60</t>
  </si>
  <si>
    <t>20065004</t>
  </si>
  <si>
    <t>PES 760X80X30 MADEIRA - MESA CELTA</t>
  </si>
  <si>
    <t>20065005</t>
  </si>
  <si>
    <t>PÉ ESTRUTURAL MAIOR - MESA CELTA 1,20</t>
  </si>
  <si>
    <t>20065006</t>
  </si>
  <si>
    <t>PÉ ESTRUTURAL MENOR - MESA CELTA</t>
  </si>
  <si>
    <t>20065101</t>
  </si>
  <si>
    <t>CONTRA TAMPO 780X440X12 MDP - MESA CELTA</t>
  </si>
  <si>
    <t>20065103</t>
  </si>
  <si>
    <t>TRAVESSA MAIOR 740X80X30 MADEIRA - MESA CELTA 1,20</t>
  </si>
  <si>
    <t>20065105</t>
  </si>
  <si>
    <t>PE ESTRUTURAL MAIOR - MESA CELTA 1,60</t>
  </si>
  <si>
    <t>2006511</t>
  </si>
  <si>
    <t>MESA CELTA 1200/1600X900 - VOL 1/2</t>
  </si>
  <si>
    <t>20072002</t>
  </si>
  <si>
    <t>TRAV. MAIOR 932X80(911)X25 MDF (10PC) - RUBI 1,20</t>
  </si>
  <si>
    <t>20073001</t>
  </si>
  <si>
    <t>PE DIREITO 775(780)X80(940)X30 MAD (7PC)- RUBI</t>
  </si>
  <si>
    <t>20073002</t>
  </si>
  <si>
    <t>TRAV. MAIOR 1092X80(911)X25 MDF (10PC) - RUBI 1,36</t>
  </si>
  <si>
    <t>20073003</t>
  </si>
  <si>
    <t>TRAV. MENOR 800X80(911)X25 MDF (10PC) - MESA RUBI</t>
  </si>
  <si>
    <t>20073005</t>
  </si>
  <si>
    <t>TRAV. CENTRAL 803X78X25 MDF - MESA RUBI</t>
  </si>
  <si>
    <t>20073006</t>
  </si>
  <si>
    <t>PE ESQUERDO 775(780)X80(940)X30 MAD (7PC)- RUBI</t>
  </si>
  <si>
    <t>20076002</t>
  </si>
  <si>
    <t>TRAV. MAIOR 1333X80(911)X25 MDF (10PC) - RUBI 1,60</t>
  </si>
  <si>
    <t>20078002</t>
  </si>
  <si>
    <t>TRAV. MAIOR 1532X80(911)X25 MDF (10PC) - RUBI 1,80</t>
  </si>
  <si>
    <t>20083001</t>
  </si>
  <si>
    <t>PE MAIOR 775X755X18 MDF (8PC) - MESA JACARTA</t>
  </si>
  <si>
    <t>20083002</t>
  </si>
  <si>
    <t>PE MENOR 775X378X18 MDF (18PC) - MESA JACARTA</t>
  </si>
  <si>
    <t>20083005</t>
  </si>
  <si>
    <t>TAMPO VITREO 1365X905X18 MDF - JACARTA (RAIO100)</t>
  </si>
  <si>
    <t>20083212</t>
  </si>
  <si>
    <t>TAMPO 1365X905X18 MDF - MESA COM VIDRO (RAIO100)</t>
  </si>
  <si>
    <t>20086001</t>
  </si>
  <si>
    <t>TAMPO VITREO 1605X905X18 MDF - JACARTA (RAIO100)</t>
  </si>
  <si>
    <t>20086212</t>
  </si>
  <si>
    <t>TAMPO 1605X905X18 MDF - MESA COM VIDRO (RAIO100)</t>
  </si>
  <si>
    <t>20088001</t>
  </si>
  <si>
    <t>TAMPO VITREO 1800X900X18 MDF - JACARTA (RAIO100)</t>
  </si>
  <si>
    <t>20088212</t>
  </si>
  <si>
    <t>TAMPO 1800X900X18 MDF - MESA COM VIDRO (RAIO100)</t>
  </si>
  <si>
    <t>30001002</t>
  </si>
  <si>
    <t>COSTA 340X410X03 MDF - CADEIRA C/ ELASTICO</t>
  </si>
  <si>
    <t>30001003</t>
  </si>
  <si>
    <t>COSTA 170X410X03 MDF - CADEIRA C/ ELASTICO</t>
  </si>
  <si>
    <t>300011</t>
  </si>
  <si>
    <t>CADEIRA VENETO 920</t>
  </si>
  <si>
    <t>CADEIRA</t>
  </si>
  <si>
    <t>300012</t>
  </si>
  <si>
    <t>CADEIRA DUBAI 980</t>
  </si>
  <si>
    <t>30001201</t>
  </si>
  <si>
    <t>PE TRASEIRO 980X65(911)X25 MDF (11PCS)- CAD PE INT</t>
  </si>
  <si>
    <t>30001202</t>
  </si>
  <si>
    <t>PÉ FRONTAL 441X65(911)X25 MDF (16PÇS) - CAD PÉ INT</t>
  </si>
  <si>
    <t>30001203</t>
  </si>
  <si>
    <t>LAT ASSENTO 430X80X18 MDF CAD PE INTEIRO/ MADEIRA</t>
  </si>
  <si>
    <t>30001204</t>
  </si>
  <si>
    <t>ASSENTO 430X403X09 MDP CAD PE INTEIRO/ MADEIRA</t>
  </si>
  <si>
    <t>30001205</t>
  </si>
  <si>
    <t>TRAV ASSENTO 367X80X15 MDP CAD PE INTEIRO/ MADEIRA</t>
  </si>
  <si>
    <t>30001206</t>
  </si>
  <si>
    <t>TRAVESSA ENCOSTO 360X80X15 MDP CAD PE INTEIRO</t>
  </si>
  <si>
    <t>30001207</t>
  </si>
  <si>
    <t>TRAVESSA 360X62X15 MDP CAD PE INTEIRO</t>
  </si>
  <si>
    <t>30001208</t>
  </si>
  <si>
    <t>TRAVESSA ESPALDAR 360X40X25 MDF CAD PÉ INTEIRO</t>
  </si>
  <si>
    <t>30001215</t>
  </si>
  <si>
    <t>FUNDO 552X410X03 MDF - CAD DUBAI PE INTEIRO</t>
  </si>
  <si>
    <t>30001230</t>
  </si>
  <si>
    <t>ENCOSTO 680X430X20 D20</t>
  </si>
  <si>
    <t>30001231</t>
  </si>
  <si>
    <t>ASSENTO 430X405X30 D20</t>
  </si>
  <si>
    <t>30001232</t>
  </si>
  <si>
    <t>LAT ENCOSTO 610X80X10 D13</t>
  </si>
  <si>
    <t>30001233</t>
  </si>
  <si>
    <t>LAT ASSENTO 430X125X10 D13</t>
  </si>
  <si>
    <t>30001234</t>
  </si>
  <si>
    <t>LAT ASSENTO 1260X125X10 D13</t>
  </si>
  <si>
    <t>30001235</t>
  </si>
  <si>
    <t>30001301</t>
  </si>
  <si>
    <t>PE TRASEIRO 920X65(911)X25 MDF (11PCS)- CAD PE INT</t>
  </si>
  <si>
    <t>30001308</t>
  </si>
  <si>
    <t>APOIO ESPALDAR 360X40X25 MDP - PE INTEIRO</t>
  </si>
  <si>
    <t>30001309</t>
  </si>
  <si>
    <t>TRA CENTR 360X56(911)X25 MDP (14PCS) - PE INTEIRO</t>
  </si>
  <si>
    <t>30001321</t>
  </si>
  <si>
    <t>APOIO ESPA 360X40(911)X25 MDP (19PÇS) - PÉ INTEIRO</t>
  </si>
  <si>
    <t>30001322</t>
  </si>
  <si>
    <t>TRA CENT 360X56(911)X25 MDP (14PÇS) - PÉ INT MILÃO</t>
  </si>
  <si>
    <t>30001330</t>
  </si>
  <si>
    <t>30001332</t>
  </si>
  <si>
    <t>LAT ENCOSTO 540X80X10 D13</t>
  </si>
  <si>
    <t>30001333</t>
  </si>
  <si>
    <t>30001334</t>
  </si>
  <si>
    <t>ENCOSTO 770X430X10 D20</t>
  </si>
  <si>
    <t>300014</t>
  </si>
  <si>
    <t>CADEIRA PADUA 920</t>
  </si>
  <si>
    <t>30001501</t>
  </si>
  <si>
    <t>ENCOSTO 500X350X15 MDF CADEIRA LISSE</t>
  </si>
  <si>
    <t>300016</t>
  </si>
  <si>
    <t>CADEIRA CRETA 920</t>
  </si>
  <si>
    <t>300018</t>
  </si>
  <si>
    <t>CADEIRA ATHENAS 920</t>
  </si>
  <si>
    <t>30002001</t>
  </si>
  <si>
    <t>TRAVESSA SUPERIOR 350X115X18 MDF - CADEIRA FLORIDA</t>
  </si>
  <si>
    <t>30002002</t>
  </si>
  <si>
    <t>TRAVESSA INF.ASS 350X97X18 MDF-CADEIRA</t>
  </si>
  <si>
    <t>30002003</t>
  </si>
  <si>
    <t>ASSENTO 395X380X09 MDP - CADEIRA FLORIDA</t>
  </si>
  <si>
    <t>30002004</t>
  </si>
  <si>
    <t>ENCOSTO 420X250X12 MDF - CADEIRA FLORIDA</t>
  </si>
  <si>
    <t>30002005</t>
  </si>
  <si>
    <t>TRAVESSA ENCOSTO 350X97X18 MDF - CADEIRA</t>
  </si>
  <si>
    <t>30002006</t>
  </si>
  <si>
    <t>ENCOSTO 348X348X15 MDP - CADEIRA</t>
  </si>
  <si>
    <t>30002007</t>
  </si>
  <si>
    <t>TRAVESSA INFERIOR PES 350X70X18 MDF-CADEIRA</t>
  </si>
  <si>
    <t>30002009</t>
  </si>
  <si>
    <t>TRAVESSA CHANFRADO 350X110X18 MDF - CADEIRA</t>
  </si>
  <si>
    <t>30002010</t>
  </si>
  <si>
    <t>CAVALETE MDF 18MM - CADEIRA LISSE</t>
  </si>
  <si>
    <t>30002030</t>
  </si>
  <si>
    <t>ENCOSTO 350X350X25 D13</t>
  </si>
  <si>
    <t>300021</t>
  </si>
  <si>
    <t>CADEIRA DETROIT</t>
  </si>
  <si>
    <t>30002101</t>
  </si>
  <si>
    <t>PE TRASEIRO 920X60(911)X25 MDF (12PC)- CAD DETROIT</t>
  </si>
  <si>
    <t>30002102</t>
  </si>
  <si>
    <t>PÉ FRONTAL 430X62X25 MDF - CAD DETROIT</t>
  </si>
  <si>
    <t>30002103</t>
  </si>
  <si>
    <t>LATERAL ASSENTO 295X80X18 MDF - CAD DETROIT</t>
  </si>
  <si>
    <t>30002104</t>
  </si>
  <si>
    <t>ASSENTO 400X360X09 MDP - CAD DETROIT</t>
  </si>
  <si>
    <t>30002105</t>
  </si>
  <si>
    <t>TRAVESSA ASSENTO 340X70X15 MDF - CAD DETROIT</t>
  </si>
  <si>
    <t>30002106</t>
  </si>
  <si>
    <t>TRAVESSA ENCOSTO 340X56X15 MDP - CAD DETROIT</t>
  </si>
  <si>
    <t>30002107</t>
  </si>
  <si>
    <t>TRAVESSA ESPALDAR 340X30X25 MDP - CAD DETROIT</t>
  </si>
  <si>
    <t>30002130</t>
  </si>
  <si>
    <t>ESPUMA ENCOSTO 600X410X20 D13 - DETROIT</t>
  </si>
  <si>
    <t>30002131</t>
  </si>
  <si>
    <t>ESPUMA ASSENTO 410X370X20 D13 - DETROIT</t>
  </si>
  <si>
    <t>30002132</t>
  </si>
  <si>
    <t>ESPUMA LAT ENCOSTO 480X70X10 D13 - DETROIT</t>
  </si>
  <si>
    <t>30002201</t>
  </si>
  <si>
    <t>CAVALETE MDF 18MM - CADEIRA MIAMI</t>
  </si>
  <si>
    <t>30002202</t>
  </si>
  <si>
    <t>ASSENTO 360X400X09 MDP - CADEIRA</t>
  </si>
  <si>
    <t>30002203</t>
  </si>
  <si>
    <t>TRAVESSA 347X35X15 MDP - CADEIRA</t>
  </si>
  <si>
    <t>30002205</t>
  </si>
  <si>
    <t>FUNDO 515X345X03 MDF - CADEIRA MIAMI</t>
  </si>
  <si>
    <t>30002215</t>
  </si>
  <si>
    <t>FUNDO 515X345 PAPELÃO - CADEIRA MIAMI</t>
  </si>
  <si>
    <t>30002230</t>
  </si>
  <si>
    <t>ASSENTO 405X365X20 D20</t>
  </si>
  <si>
    <t>30002231</t>
  </si>
  <si>
    <t>ENCOSTO 605X355X30 D13</t>
  </si>
  <si>
    <t>300023</t>
  </si>
  <si>
    <t>CADEIRA TOPAZIO LX - MADEIRA 980</t>
  </si>
  <si>
    <t>CADEIRA DE MADEIRA</t>
  </si>
  <si>
    <t>30002301</t>
  </si>
  <si>
    <t>PÉ TRASE 980(1000)X45(911)X30 MAD (15) - TOPAZIO</t>
  </si>
  <si>
    <t>30002302</t>
  </si>
  <si>
    <t>PÉ FRON 441(460)X55(911)X30 MADEIRA (20)- TOPAZIO</t>
  </si>
  <si>
    <t>30002303</t>
  </si>
  <si>
    <t>ESPALDAR 394X23X25 MADEIRA TOPAZIO</t>
  </si>
  <si>
    <t>30002304</t>
  </si>
  <si>
    <t>ASSENTO 430X403X09 MDP CAD PE INTEIRO / MADEIRA</t>
  </si>
  <si>
    <t>30002305</t>
  </si>
  <si>
    <t>TRAV ASSENTO 367X80X15 MDP CAD PE INTEIRO /MADEIRA</t>
  </si>
  <si>
    <t>30002306</t>
  </si>
  <si>
    <t>FUNDO TRASEIRO 280X410X03 MDF - CADEIRA TOPAZIO</t>
  </si>
  <si>
    <t>30002307</t>
  </si>
  <si>
    <t>TRAVESSA 360X42X15 MDP CAD PÉ INTEIRO</t>
  </si>
  <si>
    <t>30002314</t>
  </si>
  <si>
    <t>LAT ASSENTO 430X80X18 MDF CAD PE INTEIRO / MADEIRA</t>
  </si>
  <si>
    <t>30002321</t>
  </si>
  <si>
    <t>APOIO ESPA 360X40(911)X25 MDF (19PÇS) - TOPAZIO</t>
  </si>
  <si>
    <t>30002322</t>
  </si>
  <si>
    <t>TRA CENT 360X40(911)X25 MDF (19PÇS) - PÉ INTEIRO</t>
  </si>
  <si>
    <t>30002332</t>
  </si>
  <si>
    <t>LAT ENCOSTO 640X80X10 D13</t>
  </si>
  <si>
    <t>30002335</t>
  </si>
  <si>
    <t>ENCOSTO 650X435X20 D20</t>
  </si>
  <si>
    <t>30002336</t>
  </si>
  <si>
    <t>ENCOSTO 650X435X10 D20 AMBAR</t>
  </si>
  <si>
    <t>300024</t>
  </si>
  <si>
    <t>CADEIRA TRIESTE 920</t>
  </si>
  <si>
    <t>300026</t>
  </si>
  <si>
    <t>CADEIRA ATHENAS PLUS 920 - VIA VAREJO</t>
  </si>
  <si>
    <t>300027</t>
  </si>
  <si>
    <t>CADEIRA TURIM PLUS 920 - VIA VAREJO</t>
  </si>
  <si>
    <t>30002821</t>
  </si>
  <si>
    <t>APOIO ESPA 360X40X25 MDP - AGATA</t>
  </si>
  <si>
    <t>30002822</t>
  </si>
  <si>
    <t>TRA CENT 360X40(911)X25 MDP (18PCS) - AGATA</t>
  </si>
  <si>
    <t>30003001</t>
  </si>
  <si>
    <t>ENCOSTO 250X350X15 MDF CADEIRA</t>
  </si>
  <si>
    <t>30003002</t>
  </si>
  <si>
    <t>TRAVESSA INF. PÉS 350X70X18 MDF - CADEIRA</t>
  </si>
  <si>
    <t>30003003</t>
  </si>
  <si>
    <t>CAVALETE MDF 18MM - CADEIRA ATLANTA</t>
  </si>
  <si>
    <t>300031</t>
  </si>
  <si>
    <t>CADEIRA GRECIA 980 - ESPLANADA</t>
  </si>
  <si>
    <t>300032</t>
  </si>
  <si>
    <t>CADEIRA NOVA YORK 920</t>
  </si>
  <si>
    <t>300033</t>
  </si>
  <si>
    <t>CADEIRA TOPAZIO - MADEIRA 920</t>
  </si>
  <si>
    <t>30003301</t>
  </si>
  <si>
    <t>PE TRASE 507X58X25 MADEIRA - TOPAZIO LIGHT</t>
  </si>
  <si>
    <t>30003302</t>
  </si>
  <si>
    <t>PE FRON 440X55(110)X25 - TOPAZIO LIGHT</t>
  </si>
  <si>
    <t>30003303</t>
  </si>
  <si>
    <t>PE TRASEIRO 483X43(911)X25 MDP (18PCS) - TOPAZIO</t>
  </si>
  <si>
    <t>30003304</t>
  </si>
  <si>
    <t>TOQUINHO 110X35X18 MDF - TOPAZIO</t>
  </si>
  <si>
    <t>300034</t>
  </si>
  <si>
    <t>CADEIRA DAKAR</t>
  </si>
  <si>
    <t>30003401</t>
  </si>
  <si>
    <t>PE TRASEIRO 920X30(911)X25 MDF (14PC) ESQ DAKAR</t>
  </si>
  <si>
    <t>30003402</t>
  </si>
  <si>
    <t>PE TRASEIRO 920X30(911)X25 MDF (14PC) DIR DAKAR</t>
  </si>
  <si>
    <t>30003403</t>
  </si>
  <si>
    <t>LATERAL ASSENTO 298X70X18 MDF - DAKAR</t>
  </si>
  <si>
    <t>30003404</t>
  </si>
  <si>
    <t>ASSENTO 430X403X09 MDP - CAD DAKAR</t>
  </si>
  <si>
    <t>30003405</t>
  </si>
  <si>
    <t>TRAVESSA ASSENTO 360X70X18 MDF - C DAKAR/SANTIAGO</t>
  </si>
  <si>
    <t>30003407</t>
  </si>
  <si>
    <t>TRAVESSA ENCOSTO 360X72X15 MDP - CAD DAKAR</t>
  </si>
  <si>
    <t>30003410</t>
  </si>
  <si>
    <t>PE FRONTAL 430X(108)51X25 MDF (DIREITO)</t>
  </si>
  <si>
    <t>30003411</t>
  </si>
  <si>
    <t>PE FRONTAL 430X(108)51X25 MDF (ESQUERDO)</t>
  </si>
  <si>
    <t>30003431</t>
  </si>
  <si>
    <t>ESPUMA ASSENTO 415X440X20 D20 - DAKAR</t>
  </si>
  <si>
    <t>300035</t>
  </si>
  <si>
    <t>CADEIRA MONTREAL</t>
  </si>
  <si>
    <t>30003501</t>
  </si>
  <si>
    <t>TRAVESSA 400X35X15 MDP - CADEIRA MONTREAL</t>
  </si>
  <si>
    <t>30003502</t>
  </si>
  <si>
    <t>TRAVESSA INFERIOR 400X70X18 MDF CADEIRA</t>
  </si>
  <si>
    <t>30003503</t>
  </si>
  <si>
    <t>ASSENTO 430X400X09 MDP - CADEIRA MONTREAL</t>
  </si>
  <si>
    <t>30003504</t>
  </si>
  <si>
    <t>ENCOSTO 492X35X15 MDP - CADEIRA</t>
  </si>
  <si>
    <t>30003505</t>
  </si>
  <si>
    <t>COSTA 515X395X03 MDF - CADEIRA</t>
  </si>
  <si>
    <t>30003508</t>
  </si>
  <si>
    <t>TRAVESSA ASSENTO 400X70X18 MDF CADEIRA MONTREAL</t>
  </si>
  <si>
    <t>30003509</t>
  </si>
  <si>
    <t>TRAVESSA ENCOSTO 370X40X15 MDF CADEIRA MONTREAL</t>
  </si>
  <si>
    <t>30003515</t>
  </si>
  <si>
    <t>COSTA 515X395 PAPELÃO - CADEIRA MONTREAL/AMSTERDAM</t>
  </si>
  <si>
    <t>300036</t>
  </si>
  <si>
    <t>CADEIRA PEROLA - MADEIRA</t>
  </si>
  <si>
    <t>30003602</t>
  </si>
  <si>
    <t>ASSENTO 440X455X12 MDP - CADEIRA PEROLA MADEIRA</t>
  </si>
  <si>
    <t>30003603</t>
  </si>
  <si>
    <t>ESPUMA 465X450X30 D23 - CADEIRA MADEIRA</t>
  </si>
  <si>
    <t>30003604</t>
  </si>
  <si>
    <t>ENCOSTO 448X300X25 D20 - CADEIRA PEROLA MADEIRA</t>
  </si>
  <si>
    <t>30003605</t>
  </si>
  <si>
    <t>ENCOSTO 520X330X10 D14 - CADEIRA PEROLA MADEIRA</t>
  </si>
  <si>
    <t>30003606</t>
  </si>
  <si>
    <t>PE TRASEIRO ESQUERDO CAD. SAFIRA (775X35X30)</t>
  </si>
  <si>
    <t>30003607</t>
  </si>
  <si>
    <t>PE FRONTAL CAD. SAFIRA/PEROLA 440X35X35</t>
  </si>
  <si>
    <t>30003610</t>
  </si>
  <si>
    <t>TRAVESSA MOVEL CAD. SAFIRA/PEROLA 350X60X25</t>
  </si>
  <si>
    <t>30003611</t>
  </si>
  <si>
    <t>TRAVESSA CURVA CAD. SAFIRA 350X23X30</t>
  </si>
  <si>
    <t>30003612</t>
  </si>
  <si>
    <t>TRAVESSA C/ ESPIGA CAD. SAFIRA 390X60X20</t>
  </si>
  <si>
    <t>30003616</t>
  </si>
  <si>
    <t>PE TRASEIRO DIREITO CAD. SAFIRA (775X35X30)</t>
  </si>
  <si>
    <t>30003617</t>
  </si>
  <si>
    <t>ENCOSTO MONTADO CAD. SAFIRA 775X410X35</t>
  </si>
  <si>
    <t>30003618</t>
  </si>
  <si>
    <t>ENCOSTO MONTADO CAD. PEROLA 775X410X35</t>
  </si>
  <si>
    <t>30003619</t>
  </si>
  <si>
    <t>PE TRASEIRO ESQUERDO CAD. PEROLA (775X35X30)</t>
  </si>
  <si>
    <t>30003620</t>
  </si>
  <si>
    <t>NAO USAR</t>
  </si>
  <si>
    <t>30003621</t>
  </si>
  <si>
    <t>PE TRASEIRO DIREITO CAD. PEROLA (775X35X30)</t>
  </si>
  <si>
    <t>30003622</t>
  </si>
  <si>
    <t>PE FRONTAL DIREITO CAD. SAFIRA/PEROLA 440X45X35</t>
  </si>
  <si>
    <t>30003623</t>
  </si>
  <si>
    <t>PE FRONTAL ESQUERDO CAD. SAFIRA/PEROLA 440X45X35</t>
  </si>
  <si>
    <t>300037</t>
  </si>
  <si>
    <t>CADEIRA SAFIRA - MADEIRA</t>
  </si>
  <si>
    <t>30003701</t>
  </si>
  <si>
    <t>TRAVESSA CURVA TELINHA CAD. SAFIRA 350X35X20</t>
  </si>
  <si>
    <t>30003702</t>
  </si>
  <si>
    <t>TRAVESSA RETA TELINHA CAD. SAFIRA 300X38X20</t>
  </si>
  <si>
    <t>30003708</t>
  </si>
  <si>
    <t>TELINHA ENCOSTO - CADEIRA SAFIRA MADEIRA</t>
  </si>
  <si>
    <t>30003710</t>
  </si>
  <si>
    <t>FUNDO CADEIRA TNT SERIGRAFADO - 410X410 - MADEIRA</t>
  </si>
  <si>
    <t>300038</t>
  </si>
  <si>
    <t>CADEIRA JADE - MADEIRA</t>
  </si>
  <si>
    <t>30003803</t>
  </si>
  <si>
    <t>ESPUMA 840X445X30 D23 - CADEIRA JADE MADEIRA</t>
  </si>
  <si>
    <t>30003804</t>
  </si>
  <si>
    <t>ESPUMA 580X480X10 D14 - CADEIRA JADE MADEIRA</t>
  </si>
  <si>
    <t>30003806</t>
  </si>
  <si>
    <t>PE TRASEIRO 540X60X30 MADEIRA - CADEIRA JADE</t>
  </si>
  <si>
    <t>30003807</t>
  </si>
  <si>
    <t>PE FRONTAL DIREITO 428X56X30 MAD - CADEIRA JADE</t>
  </si>
  <si>
    <t>30003808</t>
  </si>
  <si>
    <t>PE FRONTAL ESQUERDO 428X56X30 MAD - CADEIRA JADE</t>
  </si>
  <si>
    <t>30003810</t>
  </si>
  <si>
    <t>TRAVESSA LATERAL ESQ 400X60X25 MAD - CADEIRA JADE</t>
  </si>
  <si>
    <t>30003811</t>
  </si>
  <si>
    <t>TRAVESSA LONG 385X60X25 MADEIRA - CADEIRA JADE</t>
  </si>
  <si>
    <t>30003812</t>
  </si>
  <si>
    <t>TRAVESSA LATERAL DIR 400X60X25 MAD - CADEIRA JADE</t>
  </si>
  <si>
    <t>30003813</t>
  </si>
  <si>
    <t>CAVALETE MONTADO - CADEIRA JADE MADEIRA</t>
  </si>
  <si>
    <t>300039</t>
  </si>
  <si>
    <t>CADEIRA TRENTO</t>
  </si>
  <si>
    <t>30003901</t>
  </si>
  <si>
    <t>PE TRASEIRO 920X30(911)X25 MDF (14PC) ESQ TRENTO</t>
  </si>
  <si>
    <t>30003902</t>
  </si>
  <si>
    <t>PE TRASEIRO 920X30(911)X25 MDF (14PC) DIR TRENTO</t>
  </si>
  <si>
    <t>30003903</t>
  </si>
  <si>
    <t>30003905</t>
  </si>
  <si>
    <t>TRAVESSA ASSENTO 360X70X18 MDF - CAD DAKAR</t>
  </si>
  <si>
    <t>30003907</t>
  </si>
  <si>
    <t>30003910</t>
  </si>
  <si>
    <t>PE FRONTAL 430X51X25 MDF (DIREITO)</t>
  </si>
  <si>
    <t>30003911</t>
  </si>
  <si>
    <t>PE FRONTAL 430X51X25 MDF (ESQUERDO)</t>
  </si>
  <si>
    <t>30003921</t>
  </si>
  <si>
    <t>TRAV MAIOR ENCOSTO 330X40X15 MDP - CAD TRENTO</t>
  </si>
  <si>
    <t>30003922</t>
  </si>
  <si>
    <t>TRAV MENOR ENCOSTO 260X40X15 MDP - CAD TRENTO</t>
  </si>
  <si>
    <t>30003925</t>
  </si>
  <si>
    <t>ESPUMA ENCOSTO 385X340X10 D13 - TRENTO</t>
  </si>
  <si>
    <t>30003926</t>
  </si>
  <si>
    <t>ESPUMA ENCOSTO 385X270X20 D20 - TRENTO</t>
  </si>
  <si>
    <t>30004001</t>
  </si>
  <si>
    <t>CAVALETE MDF 18MM - CADEIRA ROMA</t>
  </si>
  <si>
    <t>30004002</t>
  </si>
  <si>
    <t>TRAVESSA MENOR SUP. 335X40 (84)X18 MDF - CADEIRA</t>
  </si>
  <si>
    <t>30004003</t>
  </si>
  <si>
    <t>TRAVESSA INFERIOR 335X70X18 MDF - CADEIRA</t>
  </si>
  <si>
    <t>30004004</t>
  </si>
  <si>
    <t>TRAVESSA SUP.FRONTAL 335X70X18 MDF - CADEIRA</t>
  </si>
  <si>
    <t>30004005</t>
  </si>
  <si>
    <t>TRAVESSA ASSENTO INT. 335X70X18 MDF - CADEIRA</t>
  </si>
  <si>
    <t>30004006</t>
  </si>
  <si>
    <t>ENCOSTO 480X392X15 MDP - CADEIRA</t>
  </si>
  <si>
    <t>30004007</t>
  </si>
  <si>
    <t>ASSENTO 370X397X09 MDP - CADEIRA</t>
  </si>
  <si>
    <t>30004030</t>
  </si>
  <si>
    <t>ASSENTO 400X375X25 D20</t>
  </si>
  <si>
    <t>30004101</t>
  </si>
  <si>
    <t>CAVALETE MDF 25MM - CADEIRA ROMA</t>
  </si>
  <si>
    <t>30004102</t>
  </si>
  <si>
    <t>TRAVESSA MENOR 335X40X18 MDF - CADEIRA PARIS</t>
  </si>
  <si>
    <t>30004103</t>
  </si>
  <si>
    <t>TRAVESSA INFERIOR 335X70X25 MDF - CADEIRA PARIS</t>
  </si>
  <si>
    <t>30004104</t>
  </si>
  <si>
    <t>TRAVESSA SUPERIOR 335X70X25 MDF - CADEIRA PARIS</t>
  </si>
  <si>
    <t>30004105</t>
  </si>
  <si>
    <t>TRAVESSA ASSENTO 335X70X18 MDF - CADEIRA PARIS</t>
  </si>
  <si>
    <t>300042</t>
  </si>
  <si>
    <t>CADEIRA AMBAR 920 - MADEIRA</t>
  </si>
  <si>
    <t>30004202</t>
  </si>
  <si>
    <t>PE TRASEIRO 423X43(911)X25 MDP (19PCS)-TOPAZIO 920</t>
  </si>
  <si>
    <t>30004203</t>
  </si>
  <si>
    <t>PE TRASEIRO INTEIRO 922X100X25 MADEIRA - AMBAR</t>
  </si>
  <si>
    <t>30004205</t>
  </si>
  <si>
    <t>PE TRASEIRO 920X58X25 MADEIRA - CAD AMBAR PI</t>
  </si>
  <si>
    <t>30004401</t>
  </si>
  <si>
    <t>PE MAIOR 450X220X15 MDF - BANQUETA PORTO</t>
  </si>
  <si>
    <t>30004402</t>
  </si>
  <si>
    <t>PE MENOR 450X100X15 MDF - BANQUETA PORTO</t>
  </si>
  <si>
    <t>30004403</t>
  </si>
  <si>
    <t>ASSENTO 300X300X15 MDF - BANQUETA PORTO</t>
  </si>
  <si>
    <t>30004404</t>
  </si>
  <si>
    <t>BANQUETA PORTO</t>
  </si>
  <si>
    <t>30004501</t>
  </si>
  <si>
    <t>TRAVESSA 420X35X15 MDP - CADEIRA</t>
  </si>
  <si>
    <t>30004502</t>
  </si>
  <si>
    <t>TRAVESSA 390X35X15 MDF CADEIRA</t>
  </si>
  <si>
    <t>30004503</t>
  </si>
  <si>
    <t>TRAVESSA 420X65X18 MDF CADEIRA</t>
  </si>
  <si>
    <t>30004505</t>
  </si>
  <si>
    <t>TRAVESSA ASSENTO 460X55X09 MDP - CADEIRA</t>
  </si>
  <si>
    <t>30004506</t>
  </si>
  <si>
    <t>TRAVESSA ASSENTO 400X55X09 MDP - CADEIRA</t>
  </si>
  <si>
    <t>30004507</t>
  </si>
  <si>
    <t>ASSENTO 450X400X09 MDP - CADEIRA</t>
  </si>
  <si>
    <t>30004510</t>
  </si>
  <si>
    <t>CAVALETE MDF 25MM - CADEIRA PARIS</t>
  </si>
  <si>
    <t>30004513</t>
  </si>
  <si>
    <t>TRAVESSA SUP.FRONTAL 350X70X18 MDF - CADEIRA</t>
  </si>
  <si>
    <t>30004514</t>
  </si>
  <si>
    <t>TRAVESSA INFERIOR 350X70X25 MDF - CADEIRA</t>
  </si>
  <si>
    <t>30004515</t>
  </si>
  <si>
    <t>TRV.ASSENTO INTERM 350X70X18 MDF-CADEIRA PARIS S/P</t>
  </si>
  <si>
    <t>30004516</t>
  </si>
  <si>
    <t>TRAV.SUP.MENOR 350X70X18 MDF -CADEIRA PARIS 1 FURO</t>
  </si>
  <si>
    <t>30004517</t>
  </si>
  <si>
    <t>COSTA 480X415 PAPELÃO - CADEIRA PARIS</t>
  </si>
  <si>
    <t>30004530</t>
  </si>
  <si>
    <t>ENCOSTO 540X420X30 D13</t>
  </si>
  <si>
    <t>30004531</t>
  </si>
  <si>
    <t>LAT ENCOSTO 470X90X10 D13</t>
  </si>
  <si>
    <t>30004532</t>
  </si>
  <si>
    <t>ASSENTO 530X420X30 D20</t>
  </si>
  <si>
    <t>30004533</t>
  </si>
  <si>
    <t>LAT ASSENTO 490X90X10 D13</t>
  </si>
  <si>
    <t>300046</t>
  </si>
  <si>
    <t>CADEIRA LYON</t>
  </si>
  <si>
    <t>30004601</t>
  </si>
  <si>
    <t>CAVALETE MDF 25MM - CADEIRA LYON</t>
  </si>
  <si>
    <t>30004602</t>
  </si>
  <si>
    <t>TRAVESSA 340X70X18 MDF - CADEIRA LYON</t>
  </si>
  <si>
    <t>30004603</t>
  </si>
  <si>
    <t>ASSENTO 440X440X15 MDP - CADEIRA LYON</t>
  </si>
  <si>
    <t>30004604</t>
  </si>
  <si>
    <t>ENCOSTO 470X440X15 MDP - CADEIRA LYON</t>
  </si>
  <si>
    <t>300048</t>
  </si>
  <si>
    <t>CADEIRA SANTIAGO</t>
  </si>
  <si>
    <t>30004801</t>
  </si>
  <si>
    <t>ANTIGO PE TRA 880X30(911)X25MDF(13PC) ESQ SANTIAGO</t>
  </si>
  <si>
    <t>30004802</t>
  </si>
  <si>
    <t>ANTIGO PE TRA 880X30(911)X25MDF(13PC) DIR SANTIAGO</t>
  </si>
  <si>
    <t>30004803</t>
  </si>
  <si>
    <t>TRAVESSA LATERAL 340X70X18 MDF - CAD SANTIAGO</t>
  </si>
  <si>
    <t>30004804</t>
  </si>
  <si>
    <t>ANTIGA MOLDURA ENCOSTO 445X280X15 MDF CAD SANTIAGO</t>
  </si>
  <si>
    <t>30004805</t>
  </si>
  <si>
    <t>ASSENTO 440X425X09 MDP - CAD SANTIAGO</t>
  </si>
  <si>
    <t>30004806</t>
  </si>
  <si>
    <t>TELINHA ENCOSTO - CADEIRA SANTIAGO</t>
  </si>
  <si>
    <t>30004807</t>
  </si>
  <si>
    <t>ASSENTO ESTOFADO - CAD SANTIAGO</t>
  </si>
  <si>
    <t>30004808</t>
  </si>
  <si>
    <t>CAPA ASSENTO - CAD SANTIAGO</t>
  </si>
  <si>
    <t>30004809</t>
  </si>
  <si>
    <t>ESP. ASSENTO 450X430X30 D23 - CAD SANTIAGO</t>
  </si>
  <si>
    <t>30004810</t>
  </si>
  <si>
    <t>FUNDO CADEIRA TNT SERIGRAFADO - 410X360 - MDF</t>
  </si>
  <si>
    <t>300049</t>
  </si>
  <si>
    <t>CADEIRA TOPAZIO - MADEIRA 980 MULTIMOVEIS</t>
  </si>
  <si>
    <t>30004901</t>
  </si>
  <si>
    <t>30004902</t>
  </si>
  <si>
    <t>30005006</t>
  </si>
  <si>
    <t>ENCOSTO 480X440X15 MDP - CADEIRA</t>
  </si>
  <si>
    <t>30005007</t>
  </si>
  <si>
    <t>ASSENTO 440X440X15 MDP - CADEIRA</t>
  </si>
  <si>
    <t>300051</t>
  </si>
  <si>
    <t>CADEIRA AMETISTA</t>
  </si>
  <si>
    <t>30005101</t>
  </si>
  <si>
    <t>CAVALETE MONTADO - CADEIRA AMETISTA</t>
  </si>
  <si>
    <t>30005102</t>
  </si>
  <si>
    <t>CAVALETE ENCAIXE INFERIOR - CADEIRA AMETISTA</t>
  </si>
  <si>
    <t>30005104</t>
  </si>
  <si>
    <t>ASSENTO 440X440X15 MDP - CADEIRA AMETISTA MADEIRA</t>
  </si>
  <si>
    <t>30005191</t>
  </si>
  <si>
    <t>PE 440X45X35 MADEIRA - CADEIRA AMETISTA</t>
  </si>
  <si>
    <t>30005192</t>
  </si>
  <si>
    <t>TRAVESSA INFERIOR 524X60X30 - CAD AMETISTA</t>
  </si>
  <si>
    <t>30005193</t>
  </si>
  <si>
    <t>TRAVESSA SUPERIOR 524X60X30 - CAD AMETISTA</t>
  </si>
  <si>
    <t>300054</t>
  </si>
  <si>
    <t>CADEIRA CELTA MONTADA</t>
  </si>
  <si>
    <t>30005401</t>
  </si>
  <si>
    <t>30005491</t>
  </si>
  <si>
    <t>30005492</t>
  </si>
  <si>
    <t>30005493</t>
  </si>
  <si>
    <t>30005616</t>
  </si>
  <si>
    <t>FUNDO 430X100 PAPELÃO - CADEIRA PADUA</t>
  </si>
  <si>
    <t>30006001</t>
  </si>
  <si>
    <t>TRAVESSA DOS PES SUP.325X70X18 MDF - CADEIRA</t>
  </si>
  <si>
    <t>300060010</t>
  </si>
  <si>
    <t>LATERAL 590X125X12 MDF - CADEIRA</t>
  </si>
  <si>
    <t>30006002</t>
  </si>
  <si>
    <t>TRAVESSA USINADA 390X45X18 MDF - CADEIRA SIENA</t>
  </si>
  <si>
    <t>30006003</t>
  </si>
  <si>
    <t>TRAVESSA 390X60X15 MDF - CADEIRA</t>
  </si>
  <si>
    <t>30006004</t>
  </si>
  <si>
    <t>TRAVESSA 385X80X09 MDP - CADEIRA</t>
  </si>
  <si>
    <t>30006005</t>
  </si>
  <si>
    <t>TRAVESSA 390X75X20 MADEIRA - CADEIRA</t>
  </si>
  <si>
    <t>30006006</t>
  </si>
  <si>
    <t>TRAVESSA 440X80X09 MDP - CADEIRA</t>
  </si>
  <si>
    <t>30006007</t>
  </si>
  <si>
    <t>PES 450X80 (145)X25 MDF - CADEIRA</t>
  </si>
  <si>
    <t>30006008</t>
  </si>
  <si>
    <t>ASSENTO 480X385X09 MDP - CADEIRA</t>
  </si>
  <si>
    <t>30006009</t>
  </si>
  <si>
    <t>FUNDO 505X150X03 MDF - CADEIRA SIENA</t>
  </si>
  <si>
    <t>30006015</t>
  </si>
  <si>
    <t>TRAV.DOS PES CHANF. 305X70X18 MDF-CADEIRA</t>
  </si>
  <si>
    <t>SECCIONADORA 3</t>
  </si>
  <si>
    <t>30006016</t>
  </si>
  <si>
    <t>TRAVESSA 390X40X18 MDF - CADEIRA</t>
  </si>
  <si>
    <t>30006019</t>
  </si>
  <si>
    <t>FUNDO 510X420 PAPELÃO - CADEIRA SIENA</t>
  </si>
  <si>
    <t>300061</t>
  </si>
  <si>
    <t>CADEIRA SANTIAGO - EXPORTACAO</t>
  </si>
  <si>
    <t>30006101</t>
  </si>
  <si>
    <t>PE TRAS 880X30(911)X25 MDF (13PC) ESQ SANTIAGO NEW</t>
  </si>
  <si>
    <t>30006102</t>
  </si>
  <si>
    <t>PE TRAS 880X30(911)X25 MDF (13PC) DIR SANTIAGO NEW</t>
  </si>
  <si>
    <t>30006103</t>
  </si>
  <si>
    <t>TRAVESSA LATERAL 340X70X18 MDF - CAD SANTIAGO NEW</t>
  </si>
  <si>
    <t>30006104</t>
  </si>
  <si>
    <t>MOLDURA ENCOSTO 445X280X15 MDF - CAD SANTIAGO NEW</t>
  </si>
  <si>
    <t>30006105</t>
  </si>
  <si>
    <t>TRAVESSA ASSENTO 360X70X18 MDF - SANTIAGO EXPORT</t>
  </si>
  <si>
    <t>30006106</t>
  </si>
  <si>
    <t>TELINHA ENCOSTO - CADEIRA SANTIAGO NEW</t>
  </si>
  <si>
    <t>30006107</t>
  </si>
  <si>
    <t>ASSENTO ESTOFADO - CAD SANTIAGO EXPORTACAO</t>
  </si>
  <si>
    <t>30006108</t>
  </si>
  <si>
    <t>CAPA ASSENTO - CAD SANTIAGO EXPORTACAO</t>
  </si>
  <si>
    <t>30006110</t>
  </si>
  <si>
    <t>PE FRONTAL 430X(108)51X25 MDF (DIR) SANTIAGO NEW</t>
  </si>
  <si>
    <t>30006111</t>
  </si>
  <si>
    <t>PE FRONTAL 430X(108)51X25MDF (ESQRD) SANTIAGO NEW</t>
  </si>
  <si>
    <t>30006201</t>
  </si>
  <si>
    <t>ESPALDAR 405X45X25 MDF - CADEIRA SIENA/FLORENÇA</t>
  </si>
  <si>
    <t>300063</t>
  </si>
  <si>
    <t>CADEIRA ATHENAS 920 - MULTIMOVEIS</t>
  </si>
  <si>
    <t>30006401</t>
  </si>
  <si>
    <t>CAVALETE SUPERIOR (24PCS) MDF 25MM - CADEIRA ARUBA</t>
  </si>
  <si>
    <t>30006402</t>
  </si>
  <si>
    <t>CAVALETE INFERIOR (24 PCS) MDF 25MM -CADEIRA ARUBA</t>
  </si>
  <si>
    <t>30006403</t>
  </si>
  <si>
    <t>ASSENTO 505X470X18 MDF 18MM - CADEIRA ARUBA</t>
  </si>
  <si>
    <t>30006404</t>
  </si>
  <si>
    <t>ASSENTO 600X520X30 D23 - CADEIRA ARUBA</t>
  </si>
  <si>
    <t>30006405</t>
  </si>
  <si>
    <t>PLUMANTE ASSENTO 620X540 - CADEIRA ARUBA</t>
  </si>
  <si>
    <t>30006406</t>
  </si>
  <si>
    <t>ENCOSTO 730X470X20 D23 - CADEIRA ARUBA</t>
  </si>
  <si>
    <t>30006407</t>
  </si>
  <si>
    <t>TRASEIRA ENCOSTO 770X550X10 D13 - CADEIRA ARUBA</t>
  </si>
  <si>
    <t>30006408</t>
  </si>
  <si>
    <t>ASSENTO ESTOFADO - CADEIRA ARUBA</t>
  </si>
  <si>
    <t>30006409</t>
  </si>
  <si>
    <t>ENCOSTO ESTOFADO - CADEIRA ARUBA</t>
  </si>
  <si>
    <t>30006410</t>
  </si>
  <si>
    <t>CAPA ENCOSTO - CADEIRA ARUBA</t>
  </si>
  <si>
    <t>30006411</t>
  </si>
  <si>
    <t>CAPA ASSENTO - CADEIRA ARUBA</t>
  </si>
  <si>
    <t>30006601</t>
  </si>
  <si>
    <t>MOLDURA ENCOSTO 400X200X15 (52PCS) MDF -CAD HAVANA</t>
  </si>
  <si>
    <t>30006602</t>
  </si>
  <si>
    <t>TELA ENCOSTO 380X180 - CAD HAVANA</t>
  </si>
  <si>
    <t>30006603</t>
  </si>
  <si>
    <t>ENCOSTO TAPECADO 400X200X15 MDF - CAD HAVANA</t>
  </si>
  <si>
    <t>30006604</t>
  </si>
  <si>
    <t>ASSENTO 440X425X12 (24PCS) MDF -CAD HAVANA</t>
  </si>
  <si>
    <t>30006605</t>
  </si>
  <si>
    <t>ESP. ASSENTO 440X425X30 D23 - CAD HAVANA</t>
  </si>
  <si>
    <t>30006606</t>
  </si>
  <si>
    <t>ESP. LATERAL ASSENTO 1460X80X10 D13 - CAD HAVANA</t>
  </si>
  <si>
    <t>30006607</t>
  </si>
  <si>
    <t>CAPA ASSENTO 650X650 - CAD HAVANA</t>
  </si>
  <si>
    <t>30006608</t>
  </si>
  <si>
    <t>ASSENTO ESTOFADO - CAD HAVANA</t>
  </si>
  <si>
    <t>30006701</t>
  </si>
  <si>
    <t>ASSENTO 543X512X15 (15PCS) MDF -CAD NASSAU</t>
  </si>
  <si>
    <t>30006702</t>
  </si>
  <si>
    <t>ESP. ASSENTO 630X570X30 D23 - CAD NASSAU</t>
  </si>
  <si>
    <t>30006703</t>
  </si>
  <si>
    <t>PLUMANTE ASSENTO 680X600 - CAD NASSAU</t>
  </si>
  <si>
    <t>30006704</t>
  </si>
  <si>
    <t>CAPA ASSENTO 700X700 - CAD NASSAU</t>
  </si>
  <si>
    <t>30006705</t>
  </si>
  <si>
    <t>ESP. (ENCOSTO 1) 1050X570X10 D13 - CAD NASSAU</t>
  </si>
  <si>
    <t>30006706</t>
  </si>
  <si>
    <t>ESP. (ENCOSTO 2) 670X540X20 D23 - CAD NASSAU</t>
  </si>
  <si>
    <t>30006707</t>
  </si>
  <si>
    <t>ESP. (ENCOSTO 2) 570X150X10 D13 - CAD NASSAU</t>
  </si>
  <si>
    <t>30006708</t>
  </si>
  <si>
    <t>CAPA (ENCOSTO 1) 940X580 - CAD NASSAU</t>
  </si>
  <si>
    <t>30006709</t>
  </si>
  <si>
    <t>CAPA (ENCOSTO 2) 690X580 - CAD NASSAU</t>
  </si>
  <si>
    <t>30006710</t>
  </si>
  <si>
    <t>ASSENTO ESTOFADO - CAD NASSAU</t>
  </si>
  <si>
    <t>30006711</t>
  </si>
  <si>
    <t>ENCOSTO 1 ESTOFADO - CAD NASSAU</t>
  </si>
  <si>
    <t>30006712</t>
  </si>
  <si>
    <t>ENCOSTO 2 ESTOFADO - CAD NASSAU</t>
  </si>
  <si>
    <t>30006801</t>
  </si>
  <si>
    <t>PE TRASEIRO 980X94(911)X25 MDF (8PCS)- CAD GENOVA</t>
  </si>
  <si>
    <t>30006802</t>
  </si>
  <si>
    <t>TRAV SUPERIOR 360X55X25 MDP - CAD GENOVA</t>
  </si>
  <si>
    <t>30006803</t>
  </si>
  <si>
    <t>TRAV CENTRAL 360X70X25 MDP - CAD GENOVA</t>
  </si>
  <si>
    <t>30006804</t>
  </si>
  <si>
    <t>TRAV INFERIOR 360X87X15 MDP - CAD GENOVA</t>
  </si>
  <si>
    <t>30006805</t>
  </si>
  <si>
    <t>LATERAL ENCOSTO 610X90X10 D13 - CAD GENOVA</t>
  </si>
  <si>
    <t>30006806</t>
  </si>
  <si>
    <t>ENCOSTO ESTOFADO - CADEIRA GENOVA</t>
  </si>
  <si>
    <t>30006807</t>
  </si>
  <si>
    <t>CAPA ENCOSTO ESTOFADO - CAD. GENOVA</t>
  </si>
  <si>
    <t>30006808</t>
  </si>
  <si>
    <t>CAPA ASSENTO ESTOFADO - CAD. GENOVA</t>
  </si>
  <si>
    <t>30007030</t>
  </si>
  <si>
    <t>ENCOSTO 600X445X15 D20</t>
  </si>
  <si>
    <t>300073</t>
  </si>
  <si>
    <t>CADEIRA MANAUS LOOMBER (TRENTO)</t>
  </si>
  <si>
    <t>30007301</t>
  </si>
  <si>
    <t>30007302</t>
  </si>
  <si>
    <t>300074</t>
  </si>
  <si>
    <t>CADEIRA BRASILIA LOOMBER (DAKAR)</t>
  </si>
  <si>
    <t>30007401</t>
  </si>
  <si>
    <t>30007402</t>
  </si>
  <si>
    <t>30007403</t>
  </si>
  <si>
    <t>30007405</t>
  </si>
  <si>
    <t>30007407</t>
  </si>
  <si>
    <t>30007410</t>
  </si>
  <si>
    <t>30007411</t>
  </si>
  <si>
    <t>30008001</t>
  </si>
  <si>
    <t>TRAV DO ASSENTO 400X97X18 MDF - CADEIRA</t>
  </si>
  <si>
    <t>30008002</t>
  </si>
  <si>
    <t>LUA ENCOSTO 40X400X15 MDP - CADEIRA</t>
  </si>
  <si>
    <t>30008003</t>
  </si>
  <si>
    <t>ASSENTO 447X398X12 MDP - CADEIRA</t>
  </si>
  <si>
    <t>30008004</t>
  </si>
  <si>
    <t>CAVALETE MDF 18MM - CADEIRA AMSTERDAM</t>
  </si>
  <si>
    <t>30008030</t>
  </si>
  <si>
    <t>ENCOSTO 605X405X30 D13</t>
  </si>
  <si>
    <t>30008031</t>
  </si>
  <si>
    <t>ASSENTO 405X455X35 D20</t>
  </si>
  <si>
    <t>300081</t>
  </si>
  <si>
    <t>CADEIRA CORDOBA</t>
  </si>
  <si>
    <t>30008101</t>
  </si>
  <si>
    <t>ENCOSTO 445X280X15 MDF - CAD CORDOBA</t>
  </si>
  <si>
    <t>30008102</t>
  </si>
  <si>
    <t>ENCOSTO 445X280X20 D20 - CADEIRA CORDOBA</t>
  </si>
  <si>
    <t>30008103</t>
  </si>
  <si>
    <t>FUNDO ENCOSTO 515X315X10 D14 - CADEIRA CORDOBA</t>
  </si>
  <si>
    <t>30008106</t>
  </si>
  <si>
    <t>ASSENTO ESTOFADO - CADEIRA CORDOBA</t>
  </si>
  <si>
    <t>30008107</t>
  </si>
  <si>
    <t>CAPA ASSENTO - CAD CORDOBA</t>
  </si>
  <si>
    <t>300083</t>
  </si>
  <si>
    <t>CADEIRA PEROLA MONTADA - MADEIRA</t>
  </si>
  <si>
    <t>30008301</t>
  </si>
  <si>
    <t>PE TRASEIRO DIREITO CAD PEROLA MONTADA (775X35X30)</t>
  </si>
  <si>
    <t>30008302</t>
  </si>
  <si>
    <t>PE TRASEIRO ESQUERDO CAD PEROLA MONTADA(775X35X30)</t>
  </si>
  <si>
    <t>30008303</t>
  </si>
  <si>
    <t>ENCOSTO MONTADO CAD. PEROLA MONTADA 775X410X35</t>
  </si>
  <si>
    <t>30008304</t>
  </si>
  <si>
    <t>CAVALETE MONTADO CAD. PEROLA MONTADA</t>
  </si>
  <si>
    <t>30008305</t>
  </si>
  <si>
    <t>ENCOSTO COMPENSADO - CADEIRA PEROLA MONTADA</t>
  </si>
  <si>
    <t>30008401</t>
  </si>
  <si>
    <t>PE FRONTAL DIREITO CAD. SAFIRA MONTADA 440X45X35</t>
  </si>
  <si>
    <t>30008402</t>
  </si>
  <si>
    <t>PE FRONTAL ESQUERDO CAD. SAFIRA MONTADA 440X45X35</t>
  </si>
  <si>
    <t>30008403</t>
  </si>
  <si>
    <t>PE TRASEIRO DIREITO CAD SAFIRA MONTADA (775X35X30)</t>
  </si>
  <si>
    <t>30008404</t>
  </si>
  <si>
    <t>PE TRASEIRO ESQUERDO CAD SAFIRA MONTADA(775X35X30)</t>
  </si>
  <si>
    <t>30008405</t>
  </si>
  <si>
    <t>TRAVESSA FIXA - CAD. SAFIRA MONTADA 390X60X25</t>
  </si>
  <si>
    <t>30008406</t>
  </si>
  <si>
    <t>CAVALETE ENCOSTO MONTADO CAD. SAFIRA MONTADA</t>
  </si>
  <si>
    <t>30008407</t>
  </si>
  <si>
    <t>CAVALETE COMPLETO CAD. SAFIRA MONTADA (PECA)</t>
  </si>
  <si>
    <t>30008408</t>
  </si>
  <si>
    <t>CANTONEIRA DE MADEIRA CAD. SAFIRA MONTADA 80X80X30</t>
  </si>
  <si>
    <t>30008409</t>
  </si>
  <si>
    <t>CAVALETE FRONTAL CAD. SAFIRA MONTADA</t>
  </si>
  <si>
    <t>30008501</t>
  </si>
  <si>
    <t>PE FRONTAL 455X60(100)X35 MAD (2PCS) PRATA</t>
  </si>
  <si>
    <t>30008502</t>
  </si>
  <si>
    <t>PE TRASEIRO 461X60(100)X35 MAD (2PCS) PRATA</t>
  </si>
  <si>
    <t>30008503</t>
  </si>
  <si>
    <t>LAT ASSENTO 480X50X35 MADEIRA -CAD PRATA</t>
  </si>
  <si>
    <t>30008504</t>
  </si>
  <si>
    <t>TRAV ASSENTO 340X50X35 MADEIRA CAD PRATA</t>
  </si>
  <si>
    <t>30008505</t>
  </si>
  <si>
    <t>TRAV DE APOIO 340X35X15 MDF - CAD PRATA</t>
  </si>
  <si>
    <t>30008506</t>
  </si>
  <si>
    <t>TAMPA ASSENTO 476X436X03 HDF - CAD PRATA</t>
  </si>
  <si>
    <t>30008507</t>
  </si>
  <si>
    <t>LAT ENCOSTO 525X60(911)X18 MDF (12PCS) TOPAZIO MTD</t>
  </si>
  <si>
    <t>30008508</t>
  </si>
  <si>
    <t>TRAV ENCOSTO 404X60X15 MDP - CAD PRATA</t>
  </si>
  <si>
    <t>30008509</t>
  </si>
  <si>
    <t>TRAV ESPALDAR 440X35(911)X15 MDP(23PCS)TOPAZIO MTD</t>
  </si>
  <si>
    <t>30008510</t>
  </si>
  <si>
    <t>TAMPA ENCOSTO 530X440X03 HDF - CAD PRATA</t>
  </si>
  <si>
    <t>30008513</t>
  </si>
  <si>
    <t>ASSENTO 440X425X30 D20 - CADEIRA PRATA</t>
  </si>
  <si>
    <t>30008514</t>
  </si>
  <si>
    <t>LAT ASSENTO 1280X72X10 D13 - CAD PRATA</t>
  </si>
  <si>
    <t>30008515</t>
  </si>
  <si>
    <t>ENCOSTO 590X440X10 D20 - CAD PRATA</t>
  </si>
  <si>
    <t>30008516</t>
  </si>
  <si>
    <t>LAT ENCOSTO 570X80X10 D13 - CAD PRATA</t>
  </si>
  <si>
    <t>300086</t>
  </si>
  <si>
    <t>CADEIRA PRATA - MADEIRA</t>
  </si>
  <si>
    <t>30008610</t>
  </si>
  <si>
    <t>FUNDO CADEIRA TNT SERIGRAFADO - 446X440 - PRATA</t>
  </si>
  <si>
    <t>300087</t>
  </si>
  <si>
    <t>CADEIRA CRISTAL NEW</t>
  </si>
  <si>
    <t>30008801</t>
  </si>
  <si>
    <t>FUNDO 540X410X03 MDF - CADEIRA</t>
  </si>
  <si>
    <t>30008810</t>
  </si>
  <si>
    <t>TRAVESSA 390X60X20 MADEIRA - CADEIRA</t>
  </si>
  <si>
    <t>30008811</t>
  </si>
  <si>
    <t>TRAVESSA 390X40X20 MADEIRA - CADEIRA</t>
  </si>
  <si>
    <t>30008830</t>
  </si>
  <si>
    <t>ENCOSTO 625X435X25 D20</t>
  </si>
  <si>
    <t>30008831</t>
  </si>
  <si>
    <t>LAT ENCOSTO 630X100X10 D13</t>
  </si>
  <si>
    <t>300089</t>
  </si>
  <si>
    <t>CADEIRA RUBI NEW</t>
  </si>
  <si>
    <t>30009001</t>
  </si>
  <si>
    <t>TRAVESSA DOS PES 280X70X18 MDF - CADEIRA</t>
  </si>
  <si>
    <t>30009002</t>
  </si>
  <si>
    <t>ENCOSTO 390X150X15 MDP - CADEIRA</t>
  </si>
  <si>
    <t>30009003</t>
  </si>
  <si>
    <t>30009004</t>
  </si>
  <si>
    <t>30009005</t>
  </si>
  <si>
    <t>ENCOSTO 390X85X12 MDF - CADEIRA</t>
  </si>
  <si>
    <t>30009006</t>
  </si>
  <si>
    <t>ASSENTO 430X390X09 MDP - CADEIRA</t>
  </si>
  <si>
    <t>30009007</t>
  </si>
  <si>
    <t>LATERAL 650X100X12 MDP - CADEIRA</t>
  </si>
  <si>
    <t>30009013</t>
  </si>
  <si>
    <t>TRAVESSA 390X80X09 MDP - CADEIRA</t>
  </si>
  <si>
    <t>30009032</t>
  </si>
  <si>
    <t>ASSENTO 495X415X40 D20</t>
  </si>
  <si>
    <t>30009033</t>
  </si>
  <si>
    <t>LAT ASSENTO 422X130X10 D13</t>
  </si>
  <si>
    <t>30009101</t>
  </si>
  <si>
    <t>RIPA TAPEÇARIA 390X20X15 MDF - CAD RUBI MADEIRA</t>
  </si>
  <si>
    <t>30009191</t>
  </si>
  <si>
    <t>PE 445X35X35 MADEIRA - CADEIRA RUBI NEW</t>
  </si>
  <si>
    <t>30009192</t>
  </si>
  <si>
    <t>TRAVESSA 341X60X30 MADEIRA - CADEIRA RUBI NEW</t>
  </si>
  <si>
    <t>300093</t>
  </si>
  <si>
    <t>CADEIRA PADUA 920 - MULTIMOVEIS</t>
  </si>
  <si>
    <t>30009601</t>
  </si>
  <si>
    <t>TRAVESSA DOS PES CHANF 325X70X18 MDF - CADEIRA</t>
  </si>
  <si>
    <t>30009602</t>
  </si>
  <si>
    <t>PES FRONTAL 480X80 (125)X25 MDF - CADEIRA</t>
  </si>
  <si>
    <t>30009604</t>
  </si>
  <si>
    <t>ESPALDAR 405X45 (540)X25 MDF - CADEIRA RAVENA/VIGO</t>
  </si>
  <si>
    <t>30009607</t>
  </si>
  <si>
    <t>TRAV. PES PINTADA INF.325X70X18 MDF-CADEIRA</t>
  </si>
  <si>
    <t>30009610</t>
  </si>
  <si>
    <t>TRAV. SARRA. 390X40(450)X15 MDF - CADEIRA</t>
  </si>
  <si>
    <t>30009611</t>
  </si>
  <si>
    <t>PES TRASEIRO 480X80 (125)X25 MDF - CADEIRA</t>
  </si>
  <si>
    <t>30009619</t>
  </si>
  <si>
    <t>FUNDO 515X260 PAPELÃO - CADEIRA RAVENA</t>
  </si>
  <si>
    <t>30009703</t>
  </si>
  <si>
    <t>ESPALDAR 390X40(911)X25 MDF (24) - CADEIRA GRECIA</t>
  </si>
  <si>
    <t>30009704</t>
  </si>
  <si>
    <t>LATERAL 590X100X12 MDF - CADEIRA</t>
  </si>
  <si>
    <t>30009705</t>
  </si>
  <si>
    <t>TRAV. SARRA. 390X60X15 MDF - CADEIRA</t>
  </si>
  <si>
    <t>30009706</t>
  </si>
  <si>
    <t>TRAV CHANFRADA 390X400(35)X15 MDF - CAD RAVENA FIT</t>
  </si>
  <si>
    <t>30009730</t>
  </si>
  <si>
    <t>ENCOSTO 590X445X10 D20</t>
  </si>
  <si>
    <t>30009810</t>
  </si>
  <si>
    <t>LATERAL 540X90X12 MDF - CADEIRA</t>
  </si>
  <si>
    <t>30009819</t>
  </si>
  <si>
    <t>FUNDO 470X420 PAPELÃO - CADEIRA ATHENAS/CRETA</t>
  </si>
  <si>
    <t>30009820</t>
  </si>
  <si>
    <t>FUNDO 470X230 PAPELÃO - CADEIRA VIGO</t>
  </si>
  <si>
    <t>30009830</t>
  </si>
  <si>
    <t>ENCOSTO 560X445X10 D20</t>
  </si>
  <si>
    <t>30009831</t>
  </si>
  <si>
    <t>LAT ENCOSTO 600X110X10 D13</t>
  </si>
  <si>
    <t>30009832</t>
  </si>
  <si>
    <t>ASSENTO 545X405X30 D20</t>
  </si>
  <si>
    <t>30009833</t>
  </si>
  <si>
    <t>LAT ASSENTO 477X120X10 D13</t>
  </si>
  <si>
    <t>30009834</t>
  </si>
  <si>
    <t>FILETI TRASEIRO 400X60X10 D13</t>
  </si>
  <si>
    <t>30009901</t>
  </si>
  <si>
    <t>ASSENTO 440X425X30 D23 - CADEIRA RUBI MADEIRA</t>
  </si>
  <si>
    <t>30009902</t>
  </si>
  <si>
    <t>LAT ASSENTO 1300X80X10 D13 - CADEIRA RUBI MADEIRA</t>
  </si>
  <si>
    <t>30009903</t>
  </si>
  <si>
    <t>ENCOSTO 450X440X20 D20 - CADEIRA RUBI MADEIRA</t>
  </si>
  <si>
    <t>30009904</t>
  </si>
  <si>
    <t>ACABAMENTO 520X520X10 D13 - CADEIRA RUBI MADEIRA</t>
  </si>
  <si>
    <t>30009905</t>
  </si>
  <si>
    <t>ASSENTO 440X440X15 MDP - CADEIRA RUBI MADEIRA</t>
  </si>
  <si>
    <t>30009907</t>
  </si>
  <si>
    <t>PE 446X34X34 MADEIRA - CADEIRA RUBI FURACAO ANTIGA</t>
  </si>
  <si>
    <t>30009908</t>
  </si>
  <si>
    <t>TRAVESSA 340X60X28 MADEIRA - CADEIRA RUBI (ANTIGA)</t>
  </si>
  <si>
    <t>30011001</t>
  </si>
  <si>
    <t>PÉ TRASEIRO USINADO MDF 25MM - PROTOTIPO 2020</t>
  </si>
  <si>
    <t>30011002</t>
  </si>
  <si>
    <t>PES FRONTAL 441X60 (106)X25 MDF - PROTOTIPO 2020</t>
  </si>
  <si>
    <t>30011003</t>
  </si>
  <si>
    <t>LATERAL ASSENTO 430X80X18 MDF - PROTOTIPO 2020</t>
  </si>
  <si>
    <t>30011004</t>
  </si>
  <si>
    <t>FRONTAL ASSENTO 367X80X15 MDP - PROTOTIPO 2020</t>
  </si>
  <si>
    <t>30011005</t>
  </si>
  <si>
    <t>ASSENTO 480X403X12 MDP - PROTOTIPO 2020</t>
  </si>
  <si>
    <t>30011006</t>
  </si>
  <si>
    <t>TRAVESSA MAIOR ENC. 360X92X15 MDP - PROTOTIPO 2020</t>
  </si>
  <si>
    <t>30011007</t>
  </si>
  <si>
    <t>TRAVESSA MENOR ENC. 360X64X15 MDP - PROTOTIPO 2020</t>
  </si>
  <si>
    <t>30011008</t>
  </si>
  <si>
    <t>APOIO ESPALDAR 360X70X25 MDF - PROTOTIPO 2020</t>
  </si>
  <si>
    <t>30012004</t>
  </si>
  <si>
    <t>TRAVESSA CENTRAL 490X180X15 MDF - MESA VIGO</t>
  </si>
  <si>
    <t>30016001</t>
  </si>
  <si>
    <t>PE 01 780X90 (155)X25 MDF - MESA VIGO</t>
  </si>
  <si>
    <t>30016002</t>
  </si>
  <si>
    <t>TRAVESSA TAMPO 600X100X15 MDF - MESA VIGO</t>
  </si>
  <si>
    <t>30016003</t>
  </si>
  <si>
    <t>TRAVESSA INTERNA 345X180X18 MDF - MESA VIGO</t>
  </si>
  <si>
    <t>30016004</t>
  </si>
  <si>
    <t>TRAVESSA CENTRAL 890X180X15 MDF - MESA VIGO</t>
  </si>
  <si>
    <t>30016005</t>
  </si>
  <si>
    <t>APOIO PES 405X75 (155)X12 MDF - MESA VIGO</t>
  </si>
  <si>
    <t>30016006</t>
  </si>
  <si>
    <t>ACABAMENTO PES 750X354X03 MDF - MESA VIGO</t>
  </si>
  <si>
    <t>30016008</t>
  </si>
  <si>
    <t>PE 02 780X90 (155)X25 MDF - MESA VIGO</t>
  </si>
  <si>
    <t>30020001</t>
  </si>
  <si>
    <t>LAT ANGULO 560X760X12 MDF - MESA LISSE 1,36X1,36</t>
  </si>
  <si>
    <t>30020002</t>
  </si>
  <si>
    <t>FUNDO ANGULO 560X760X03 MDF - MESA LISSE 1,36X1,36</t>
  </si>
  <si>
    <t>30020003</t>
  </si>
  <si>
    <t>TAMP INTERNO 500X400X15 MDP - MESA LISSE 1,36X1,36</t>
  </si>
  <si>
    <t>30020004</t>
  </si>
  <si>
    <t>BASE 620X620X12 MDP - MESA LISSE 1,36X1,36</t>
  </si>
  <si>
    <t>30020005</t>
  </si>
  <si>
    <t>MOLDURA 1360X680X12 MDF - MESA LISSE 1,36X1,36</t>
  </si>
  <si>
    <t>30020006</t>
  </si>
  <si>
    <t>TAMPO 1360X680X15 MDP - MESA LISSE 1,36X1,36</t>
  </si>
  <si>
    <t>30020008</t>
  </si>
  <si>
    <t>TAMPO 1360X680X15 MDF - MESA AMST. 1,36X1,36</t>
  </si>
  <si>
    <t>30020009</t>
  </si>
  <si>
    <t>MOLDURA 1360X680X12 MDF - MESA AMST. 1,36X1,36</t>
  </si>
  <si>
    <t>30020010</t>
  </si>
  <si>
    <t>PRATO MENOR 300X300X12 MDF - MESA 1,20</t>
  </si>
  <si>
    <t>30020011</t>
  </si>
  <si>
    <t>PRATO MAIOR 400X400X12 MDF - MESA 1,20</t>
  </si>
  <si>
    <t>30020020</t>
  </si>
  <si>
    <t>30020021</t>
  </si>
  <si>
    <t>TRAV. MAIOR 1320X65 (135)X18 MDF - LISSE 1,36X1,36</t>
  </si>
  <si>
    <t>30020022</t>
  </si>
  <si>
    <t>TRAV. MENOR1190X65X18 MDF - MESA LISSE 1,36X1,36</t>
  </si>
  <si>
    <t>30020023</t>
  </si>
  <si>
    <t>PRATO MENOR 600X600X12 MDF - MESA LISSE 1,36X1,36</t>
  </si>
  <si>
    <t>30020025</t>
  </si>
  <si>
    <t>PRATO MAIOR 680X680X12 MDF - MESA LISSE 1,36X1,36</t>
  </si>
  <si>
    <t>30022001</t>
  </si>
  <si>
    <t>LAT ANGULO 450X760X12 MDF - MESA LISSE 1,20X1,20</t>
  </si>
  <si>
    <t>30022002</t>
  </si>
  <si>
    <t>FUNDO ANGULO 450X760X03 MDF - MESA LISSE 1,20X1,20</t>
  </si>
  <si>
    <t>30022004</t>
  </si>
  <si>
    <t>BASE 500X500X12 MDP - MESA LISSE 1,20X1,20</t>
  </si>
  <si>
    <t>30024001</t>
  </si>
  <si>
    <t>BASE 380X380X12 MDP - MESA LISSE 0,90X0,90</t>
  </si>
  <si>
    <t>30024002</t>
  </si>
  <si>
    <t>MOLDURA 900X900 MDF 12MM - MESA LISSE 0,90X0,90</t>
  </si>
  <si>
    <t>30024007</t>
  </si>
  <si>
    <t>TAMPO 900X900 MDP 15MM - MESA LISSE 0,90X0,90</t>
  </si>
  <si>
    <t>30024009</t>
  </si>
  <si>
    <t>TAMPO 380X380X12 MDP - MESA LISSE 0,90X0,90</t>
  </si>
  <si>
    <t>30024010</t>
  </si>
  <si>
    <t>MOLDURA 900X900 MDP 12MM - MESA LISSE 0,90X0,90</t>
  </si>
  <si>
    <t>30024011</t>
  </si>
  <si>
    <t>TRAV. MAIOR 835X65 (135)X18 MDF - AMST. 90X90</t>
  </si>
  <si>
    <t>30024012</t>
  </si>
  <si>
    <t>TRAV. MENOR 700X65X18 MDF - MESA AMST. 90X90</t>
  </si>
  <si>
    <t>30026001</t>
  </si>
  <si>
    <t>LAT MAIOR 850X760X12 MDF - MESA LISSE 1,60X0,90</t>
  </si>
  <si>
    <t>30026002</t>
  </si>
  <si>
    <t>LAT MENOR 350X760X12 MDF - MESA LISSE 1,60X0,90</t>
  </si>
  <si>
    <t>30026003</t>
  </si>
  <si>
    <t>FUNDO MAIOR 850X760X03 MDF - MESA LISSE 1,60X0,90</t>
  </si>
  <si>
    <t>30026004</t>
  </si>
  <si>
    <t>FUNDO MENOR 350X760X03 MDF - MESA LISSE 1,60X0,90</t>
  </si>
  <si>
    <t>30026005</t>
  </si>
  <si>
    <t>BASE 880X382X12 MDF - MESA LISSE 1,60X0,90</t>
  </si>
  <si>
    <t>30026007</t>
  </si>
  <si>
    <t>MOLDURA 1600X900 MDF12MM MESA LISSE 1,60X0,90</t>
  </si>
  <si>
    <t>30026008</t>
  </si>
  <si>
    <t>TAMPO 1600X900 MDP 15MM MESA LISSE 1,60X0,90</t>
  </si>
  <si>
    <t>30026009</t>
  </si>
  <si>
    <t>TAMPO 880X382X12 MDF - MESA LISSE 1,60X0,90</t>
  </si>
  <si>
    <t>30026010</t>
  </si>
  <si>
    <t>MOLDURA 1600X900 MDP 12MM MESA LISSE 1,60X0,90</t>
  </si>
  <si>
    <t>30026011</t>
  </si>
  <si>
    <t>TRAV. MAIOR 1420X65X18 MDF - MESA AMST. 1,60X0,90</t>
  </si>
  <si>
    <t>30026012</t>
  </si>
  <si>
    <t>TRAV. MENOR 860X65X18 MDF - MESA AMST. 1,60X0,90</t>
  </si>
  <si>
    <t>30030001</t>
  </si>
  <si>
    <t>LAT DIAG 1140X350X12 MDF-MES VIENA 1,70X0,90</t>
  </si>
  <si>
    <t>30030002</t>
  </si>
  <si>
    <t>LAT MENOR 595X350X12 MDF-MESA VIENA</t>
  </si>
  <si>
    <t>30030004</t>
  </si>
  <si>
    <t>LAT MENOR COMPOSE 595X350X12 MDF-MESA VIENA</t>
  </si>
  <si>
    <t>30030005</t>
  </si>
  <si>
    <t>LAT TRIA INF. 890(600)X443(680)X12 MDF-MESA VIENA</t>
  </si>
  <si>
    <t>30030006</t>
  </si>
  <si>
    <t>LAT TRIANGULAR COMPOSE 600X680X12 MDF-MESA VIENA</t>
  </si>
  <si>
    <t>30030007</t>
  </si>
  <si>
    <t>TAMPO VITREO 1805X905X25 MDF-MESA VIENA</t>
  </si>
  <si>
    <t>30030009</t>
  </si>
  <si>
    <t>LAT TRIA SUP. 890(600)X443(680)X12 MDF-MESA VIENA</t>
  </si>
  <si>
    <t>30030011</t>
  </si>
  <si>
    <t>LAT DIAG 1140X350X15 MDP-MES VIENA 1,0X0,90</t>
  </si>
  <si>
    <t>30030012</t>
  </si>
  <si>
    <t>LAT MENOR 595X350X15 MDP-MESA VIENA</t>
  </si>
  <si>
    <t>30030013</t>
  </si>
  <si>
    <t>LAT TRIA SUP. 890(600)X443(680)X12 MDF-BASE VIENA</t>
  </si>
  <si>
    <t>30030107</t>
  </si>
  <si>
    <t>TAMPO VIDRO 1800X900X25 MDF-MESA VIENA</t>
  </si>
  <si>
    <t>30031001</t>
  </si>
  <si>
    <t>TAMPO 912X390X12 MDP-BASE VIENA</t>
  </si>
  <si>
    <t>30032001</t>
  </si>
  <si>
    <t>LAT DIAG 1050X350X12 MDF-MES VIENA 1,20X0,90</t>
  </si>
  <si>
    <t>30032002</t>
  </si>
  <si>
    <t>LAT MENOR 565X350X12 MDF-MESA VIENA</t>
  </si>
  <si>
    <t>30032004</t>
  </si>
  <si>
    <t>LAT MENOR COMPOSE 565X350X12 MDF-MESA VIENA</t>
  </si>
  <si>
    <t>30032005</t>
  </si>
  <si>
    <t>LAT TRIAN INF. 795(580)X400(580)X12 MDF-MESA VIENA</t>
  </si>
  <si>
    <t>30032006</t>
  </si>
  <si>
    <t>LAT TRIANGULAR COMPOSE 580X580X12 MDF-MESA VIENA</t>
  </si>
  <si>
    <t>30032007</t>
  </si>
  <si>
    <t>TAMPO VITREO 1205X905X25 MDF-MESA VIENA</t>
  </si>
  <si>
    <t>30032008</t>
  </si>
  <si>
    <t>LAT TRIAN SUP. 795(580)X400(580)X12 MDF-MESA VIENA</t>
  </si>
  <si>
    <t>30032011</t>
  </si>
  <si>
    <t>LAT DIAG 1050X350X15 MDP-MES VIENA 1,20X0,90</t>
  </si>
  <si>
    <t>30032012</t>
  </si>
  <si>
    <t>LAT MENOR 565X350X15 MDP-MESA VIENA</t>
  </si>
  <si>
    <t>30032107</t>
  </si>
  <si>
    <t>TAMPO VIDRO 1200X900X25 MDF-MESA VIENA</t>
  </si>
  <si>
    <t>30033601</t>
  </si>
  <si>
    <t>TAMPO P/ VIDRO 1350X1350X25 MDF - MESA LISSE</t>
  </si>
  <si>
    <t>30034007</t>
  </si>
  <si>
    <t>TAMPO VITREO 1365X905X25 MDF-MESA VIENA</t>
  </si>
  <si>
    <t>30034107</t>
  </si>
  <si>
    <t>TAMPO VIDRO 1350X900X25 MDF-MESA VIENA</t>
  </si>
  <si>
    <t>30036007</t>
  </si>
  <si>
    <t>TAMPO VITREO 1605X905X25 MDF-MESA VIENA</t>
  </si>
  <si>
    <t>30036011</t>
  </si>
  <si>
    <t>BASE 960X400X12 MDP- BASE VIENA 1,60X0,90</t>
  </si>
  <si>
    <t>30036020</t>
  </si>
  <si>
    <t>FUNDO CANTONEIRA TAMPO 955X150X03 MDF</t>
  </si>
  <si>
    <t>30036021</t>
  </si>
  <si>
    <t>LATERAL CANTONEIRA TAMPO 135X55X12 MDP</t>
  </si>
  <si>
    <t>30036022</t>
  </si>
  <si>
    <t>TRAVESSA CANTONEIRA TAMPO 955X55X12 MDP</t>
  </si>
  <si>
    <t>30036023</t>
  </si>
  <si>
    <t>CANTONEIRA TAMPO 0,90 - MDF</t>
  </si>
  <si>
    <t>30036107</t>
  </si>
  <si>
    <t>TAMPO VIDRO 1600X900X25 MDF-MESA VIENA</t>
  </si>
  <si>
    <t>30040002</t>
  </si>
  <si>
    <t>TAMPO 900X900X25 MDF-MESA</t>
  </si>
  <si>
    <t>30040102</t>
  </si>
  <si>
    <t>TAMPO P/ VIDRO 900X900X25 MDF-MESA</t>
  </si>
  <si>
    <t>30040202</t>
  </si>
  <si>
    <t>TAMPO VITREO 900X900X18 MDF-MESA TEBAS</t>
  </si>
  <si>
    <t>30043202</t>
  </si>
  <si>
    <t>TAMPO VITREO 1600X900X18 MDF-MESA TEBAS</t>
  </si>
  <si>
    <t>30050001</t>
  </si>
  <si>
    <t>TRAVESSA CHANF. 830X90X25 MDF - MESA PARIS</t>
  </si>
  <si>
    <t>30050002</t>
  </si>
  <si>
    <t>PÉ 820X90 (151)X25 MDF - MESA PARIS</t>
  </si>
  <si>
    <t>30050003</t>
  </si>
  <si>
    <t>TRAVESSA SUPERIOR 350X90X25 MDF - MESA PARIS</t>
  </si>
  <si>
    <t>30050004</t>
  </si>
  <si>
    <t>TRAVESSA INTERM. 350X70X25 MDF - MESA PARIS</t>
  </si>
  <si>
    <t>30050005</t>
  </si>
  <si>
    <t>TRAVESSA CENTRAL 975X70X25 MDF - MESA PARIS</t>
  </si>
  <si>
    <t>30050007</t>
  </si>
  <si>
    <t>TAMPO OVAL 1800X900X25 MDF - MESA PARIS</t>
  </si>
  <si>
    <t>30052001</t>
  </si>
  <si>
    <t>TAMPO OVAL 1200X900X25 MDF - MESA PARIS</t>
  </si>
  <si>
    <t>30052002</t>
  </si>
  <si>
    <t>TRAVESSA CHANF. 350X90X25 MDF - MESA PARIS</t>
  </si>
  <si>
    <t>30052003</t>
  </si>
  <si>
    <t>TRAVESSA CENTRAL 500X70X25 MDF - MESA PARIS</t>
  </si>
  <si>
    <t>30054001</t>
  </si>
  <si>
    <t>TAMPO OVAL 1360X900X25 MDF - MESA PARIS</t>
  </si>
  <si>
    <t>30056001</t>
  </si>
  <si>
    <t>TAMPO OVAL 1600X900X25 MDF - MESA PARIS</t>
  </si>
  <si>
    <t>30065001</t>
  </si>
  <si>
    <t>BASE 400X400X12 MDP-MESA VEGAS C/V 1,10X1,10</t>
  </si>
  <si>
    <t>30065002</t>
  </si>
  <si>
    <t>LAT EXTER 760X370X12 MDF-MESA VEGAS C/V 1,10X1,10</t>
  </si>
  <si>
    <t>30065003</t>
  </si>
  <si>
    <t>LAT INTER 760X340X12 MDF-MESA VEGAS C/V 1,10X1,10</t>
  </si>
  <si>
    <t>30065004</t>
  </si>
  <si>
    <t>TAMPO 400X400X12 MDP-MESA VEGAS C/V 1,10X1,10</t>
  </si>
  <si>
    <t>30066001</t>
  </si>
  <si>
    <t>BASE 600X600X12 MDP-MESA VEGAS C/V 1,36X1,36</t>
  </si>
  <si>
    <t>30066003</t>
  </si>
  <si>
    <t>LAT INTER 760X530X12 MDF-MESA VEGAS C/V 1,36X1,36</t>
  </si>
  <si>
    <t>30066004</t>
  </si>
  <si>
    <t>TAMPO 600X600X12 MDP-MESA VEGAS C/V 1,36X1,36</t>
  </si>
  <si>
    <t>30067002</t>
  </si>
  <si>
    <t>LAT EXTERNA 760X560X12 MDF - BASE VEGAS 1,36X1,36</t>
  </si>
  <si>
    <t>30072001</t>
  </si>
  <si>
    <t>BASE 500X500X12 MDP - MESA ASMT. 1,20X1,20</t>
  </si>
  <si>
    <t>30072002</t>
  </si>
  <si>
    <t>LAT. DA BASE 750X425X12 MDP - MESA AMST. 1,20X1,20</t>
  </si>
  <si>
    <t>30072003</t>
  </si>
  <si>
    <t>TAMP INTERNO 395X395X15 MDP - MESA AMST. 1,20X1,20</t>
  </si>
  <si>
    <t>30072004</t>
  </si>
  <si>
    <t>TRAV. MAIOR 1160X65 (135)X18 MDF - AMST. 1,20X1,20</t>
  </si>
  <si>
    <t>30072005</t>
  </si>
  <si>
    <t>TRAV. MENOR 1030X65X18 MDF - MESA AMST. 1,20X1,20</t>
  </si>
  <si>
    <t>30072006</t>
  </si>
  <si>
    <t>LAT. C/ FRISO 750X450X12 MDF- MESA AMST. 1,20X1,20</t>
  </si>
  <si>
    <t>30074001</t>
  </si>
  <si>
    <t>30074002</t>
  </si>
  <si>
    <t>30074003</t>
  </si>
  <si>
    <t>LAT. COM FRISO 750X335X12 MDF - MESA AMSTERDAM</t>
  </si>
  <si>
    <t>30074004</t>
  </si>
  <si>
    <t>BASE 380X380X12 MDP - MESA AMSTERDAM</t>
  </si>
  <si>
    <t>30074005</t>
  </si>
  <si>
    <t>LAT. DA BASE 750X310X12 MDP - MESA AMSTERDAM</t>
  </si>
  <si>
    <t>30074006</t>
  </si>
  <si>
    <t>MOLDURA 900X900 MDF 12MM - MESA AMST. 0,90X0,90</t>
  </si>
  <si>
    <t>30074008</t>
  </si>
  <si>
    <t>TAMPO 900X900 MDF 15MM - MESA AMST. 0,90X0,90</t>
  </si>
  <si>
    <t>30074009</t>
  </si>
  <si>
    <t>TAMPO 380X380X12 MDP - MESA AMSTERDAM</t>
  </si>
  <si>
    <t>30076001</t>
  </si>
  <si>
    <t>30076002</t>
  </si>
  <si>
    <t>TRAV. MENOR 860X65 (135) X18 MDF - AMST. 1,60X0,90</t>
  </si>
  <si>
    <t>30076007</t>
  </si>
  <si>
    <t>MOLDURA 1600X900 MDF12MM MESA AMST. 1,60X0,90</t>
  </si>
  <si>
    <t>30076008</t>
  </si>
  <si>
    <t>TAMPO 1600X900 MDF 15MM MESA AMST. 1,60X0,90</t>
  </si>
  <si>
    <t>30080001</t>
  </si>
  <si>
    <t>(2) BASE 620X620X12 MDP - MESA ASMT. 1,36X1,36</t>
  </si>
  <si>
    <t>30080002</t>
  </si>
  <si>
    <t>(3)LAT. DA BASE 750X565X12 MDP-MESA AMST.1,36X1,36</t>
  </si>
  <si>
    <t>30080003</t>
  </si>
  <si>
    <t>(4)TAMP INTERNO 500X400X15MDP-MESA AMST.1,36X1,36</t>
  </si>
  <si>
    <t>30080004</t>
  </si>
  <si>
    <t>(6)TRAV. MAIOR 1320X65 (135)X15 MDP-AMST.1,36X1,36</t>
  </si>
  <si>
    <t>30080005</t>
  </si>
  <si>
    <t>(5) TRAV. MENOR1190X65X15 MDP-MESA AMST.1,36X1,36</t>
  </si>
  <si>
    <t>30080006</t>
  </si>
  <si>
    <t>(1)LAT. C/FRISO 750X590X12 MDF-MESA AMST.1,36X1,36</t>
  </si>
  <si>
    <t>30080008</t>
  </si>
  <si>
    <t>(1-7) TAMPO 1360X680X15 MDF - MESA AMST. 1,36X1,36</t>
  </si>
  <si>
    <t>30080009</t>
  </si>
  <si>
    <t>(4) MOLDURA 1360X680X12 MDF - MESA AMST. 1,36X1,36</t>
  </si>
  <si>
    <t>3008001</t>
  </si>
  <si>
    <t>MESA AMSTERDAM 1,36X1,36 VOL 1/2</t>
  </si>
  <si>
    <t>30080010</t>
  </si>
  <si>
    <t>PRATO MENOR 600X600X12 MDF - MESA AMST. 1,36X1,36</t>
  </si>
  <si>
    <t>30080011</t>
  </si>
  <si>
    <t>PRATO MAIOR 680X680X12 MDF - MESA AMST. 1,36X1,36</t>
  </si>
  <si>
    <t>30080012</t>
  </si>
  <si>
    <t>CANTONEIRA EMBALAGEM - 12MM APROVEITAMENTO</t>
  </si>
  <si>
    <t>30081001</t>
  </si>
  <si>
    <t>LATERAL LADO A 756X630X15 MDF - MESA TRIANGULAR</t>
  </si>
  <si>
    <t>30081002</t>
  </si>
  <si>
    <t>LATERAL LADO B 756X630X15 MDF - MESA TRIANGULAR</t>
  </si>
  <si>
    <t>30081003</t>
  </si>
  <si>
    <t>APLIQUE LADO A 450X315X12 MDF - MESA TRIANGULAR</t>
  </si>
  <si>
    <t>30081004</t>
  </si>
  <si>
    <t>APLIQUE LADO B 450X315X12 MDF - MESA TRIANGULAR</t>
  </si>
  <si>
    <t>30081005</t>
  </si>
  <si>
    <t>APOIO TAMPO 600X540X25 MDF - MESA TRIANGULAR</t>
  </si>
  <si>
    <t>30081006</t>
  </si>
  <si>
    <t>TAMPO 1360X680X25 MDF - MESA TRIANGULAR</t>
  </si>
  <si>
    <t>30081501</t>
  </si>
  <si>
    <t>LATERAL DETALHE 753X590X12 MDF - MESA ANCARA</t>
  </si>
  <si>
    <t>30081502</t>
  </si>
  <si>
    <t>LATERAL 753X566X12 MDP - MESA ANCARA</t>
  </si>
  <si>
    <t>30081503</t>
  </si>
  <si>
    <t>BASE 622X622X12 MDP - MESA ANCARA</t>
  </si>
  <si>
    <t>30081504</t>
  </si>
  <si>
    <t>CONTRA TAMPO 530X530X18 MDF - MESA ANCARA</t>
  </si>
  <si>
    <t>30081505</t>
  </si>
  <si>
    <t>TAMPO 1365X685X25 MDF - MESA ANCARA</t>
  </si>
  <si>
    <t>30081506</t>
  </si>
  <si>
    <t>FUNDO 753X530X03 MDF - MESA ANCARA</t>
  </si>
  <si>
    <t>30081507</t>
  </si>
  <si>
    <t>(2)PRATO MENOR 582X582X12 MDF-MESA ANCARA /AMSTERD</t>
  </si>
  <si>
    <t>30081508</t>
  </si>
  <si>
    <t>(3) PRATO MAIOR 664X664X12 MDF-MESA ANCARA/AMSTERD</t>
  </si>
  <si>
    <t>30082003</t>
  </si>
  <si>
    <t>TRAV FRONTAL 780X120X15 MDF - MESA SIENA 0,90X0,90</t>
  </si>
  <si>
    <t>30082006</t>
  </si>
  <si>
    <t>TAMPO 900X900X18 MDF MESA SIENA 0,90X0,90</t>
  </si>
  <si>
    <t>30082008</t>
  </si>
  <si>
    <t>TAMPO 1200X600X15 MDF - MESA AMST. 1,20X1,20</t>
  </si>
  <si>
    <t>30082009</t>
  </si>
  <si>
    <t>MOLDURA 1200X600X12 MDF - MESA AMST. 1,20X1,20</t>
  </si>
  <si>
    <t>30082203</t>
  </si>
  <si>
    <t>TRAV FRONT 1080X120X15 MDF-MESA SIENA C/V1,20X0,90</t>
  </si>
  <si>
    <t>30082208</t>
  </si>
  <si>
    <t>TAMPO 1200X900X18 MDF MESA SIENA 1,20X0,90</t>
  </si>
  <si>
    <t>30082301</t>
  </si>
  <si>
    <t>TAMPO 1350X900X18 MDF MESA SIENA 1,35X0,90</t>
  </si>
  <si>
    <t>30082401</t>
  </si>
  <si>
    <t>TAMPO 1350X900X18 MDF VITREO - MESA FLORENÇA</t>
  </si>
  <si>
    <t>30082501</t>
  </si>
  <si>
    <t>PE MAIOR 740X120 (194)X18 MDF - MESA SIENA</t>
  </si>
  <si>
    <t>30082502</t>
  </si>
  <si>
    <t>PE MENOR 740X100 (164)X18 MDF - MESA SIENA</t>
  </si>
  <si>
    <t>30082503</t>
  </si>
  <si>
    <t>TRAV FRONT 1480X120X15 MDF-MESA SIENA C/V1,60X0,90</t>
  </si>
  <si>
    <t>30082504</t>
  </si>
  <si>
    <t>TRAVESSA LATERAL 810X120X15 MDF-MESA SIENA</t>
  </si>
  <si>
    <t>30082508</t>
  </si>
  <si>
    <t>TAMPO 1600X900X18 MDF MESA SIENA 1,60X0,90</t>
  </si>
  <si>
    <t>30082701</t>
  </si>
  <si>
    <t>TRAV FRONT 1230X120X15 MDF-MESA SIENA C/V1,35X0,90</t>
  </si>
  <si>
    <t>30083002</t>
  </si>
  <si>
    <t>(4) LAT BAS INTERNA 780X455X15 MDP-MES TRENTO 0,90</t>
  </si>
  <si>
    <t>30083101</t>
  </si>
  <si>
    <t>TAMPO 900X900X18 MDF VITREO - MESA FLORENÇA</t>
  </si>
  <si>
    <t>30083202</t>
  </si>
  <si>
    <t>LAT.BAS IN.780X500X12 MDF-MES FLOREN C/V 1,20X0,90</t>
  </si>
  <si>
    <t>30083208</t>
  </si>
  <si>
    <t>30083301</t>
  </si>
  <si>
    <t>TAMPO 1200X900X18 MDF VITREO - MESA FLORENÇA</t>
  </si>
  <si>
    <t>30083501</t>
  </si>
  <si>
    <t>LAT BAS INTERNA 780X910X15 MDP-MES FLOREN 1,60</t>
  </si>
  <si>
    <t>30083502</t>
  </si>
  <si>
    <t>(2) LAT BASE EXTERNA 780X455X12 MDP-MESA TRENTO</t>
  </si>
  <si>
    <t>30083601</t>
  </si>
  <si>
    <t>TAMPO 1600X900X18 MDF VITREO - MESA FLORENÇA</t>
  </si>
  <si>
    <t>30084001</t>
  </si>
  <si>
    <t>PE MAIOR 730X114 (194)X15 MDP - MESA ATLANTA</t>
  </si>
  <si>
    <t>30084002</t>
  </si>
  <si>
    <t>PE MENOR 730X95 (164)X15 MDP - MESA ATLANTA</t>
  </si>
  <si>
    <t>30084003</t>
  </si>
  <si>
    <t>TRAV FRONT 1446X120X15 MDP - MESA ATLANTA</t>
  </si>
  <si>
    <t>30084004</t>
  </si>
  <si>
    <t>TRAVESSA LATERAL 774X120X15 MDP - MESA ATLANTA</t>
  </si>
  <si>
    <t>30084005</t>
  </si>
  <si>
    <t>TAMPO 1602X902X15 MDP - MESA ATLANTA 1,60</t>
  </si>
  <si>
    <t>30084006</t>
  </si>
  <si>
    <t>ENGRO MAIOR 1478X60X15 MDP - MESA ATLANTA / PADUA</t>
  </si>
  <si>
    <t>30084007</t>
  </si>
  <si>
    <t>ENGRO MENOR 902X60X15 MDP - MESA ATLANTA / PADUA</t>
  </si>
  <si>
    <t>30084103</t>
  </si>
  <si>
    <t>TRAV FRONT 1206X120X15 MDP - MESA ATLANTA 1,36</t>
  </si>
  <si>
    <t>30084105</t>
  </si>
  <si>
    <t>TAMPO 1362X902X15 MDP - MESA PADUA 1,36</t>
  </si>
  <si>
    <t>30084106</t>
  </si>
  <si>
    <t>ENGRO MAIOR 1240X60X15 MDP - MESA ATLANTA / PADUA</t>
  </si>
  <si>
    <t>30084203</t>
  </si>
  <si>
    <t>TRAV FRONT 1046X120X15 MDP - MESA ATLANTA 1,20</t>
  </si>
  <si>
    <t>30084205</t>
  </si>
  <si>
    <t>TAMPO 1202X902X15 MDP - MESA ATLANTA 1,20</t>
  </si>
  <si>
    <t>30084206</t>
  </si>
  <si>
    <t>ENGRO MAIOR 1080X60X15 MDP - MESA ATLANTA 1,20</t>
  </si>
  <si>
    <t>30084303</t>
  </si>
  <si>
    <t>TRAV FRONT 746X120X15 MDP - MESA ATLANTA 0,90</t>
  </si>
  <si>
    <t>30084305</t>
  </si>
  <si>
    <t>TAMPO 902X902X15 MDP - MESA ATLANTA 0,90</t>
  </si>
  <si>
    <t>30084306</t>
  </si>
  <si>
    <t>ENG MENOR 780X60X15 MDP - MESA ATLANTA/PADUA 0,90</t>
  </si>
  <si>
    <t>30086001</t>
  </si>
  <si>
    <t>TAMPO 1080X380X12 MDP - MESA AMST 1,60X0,90</t>
  </si>
  <si>
    <t>30086004</t>
  </si>
  <si>
    <t>LAT DA BASE 75,X310X12 MDP-MESA AMST C/V 1,60X0,90</t>
  </si>
  <si>
    <t>30086101</t>
  </si>
  <si>
    <t>30086102</t>
  </si>
  <si>
    <t>ENGRO MAIOR 1080X100X12 MDP - MESA AMSTERDAM</t>
  </si>
  <si>
    <t>30086103</t>
  </si>
  <si>
    <t>ENGRO MENOR 175X70X12 MDP - MESA AMSTERDAM</t>
  </si>
  <si>
    <t>30087006</t>
  </si>
  <si>
    <t>LAT. COM FRISO 750X335X12 MDF - BASE AMSTERDAM</t>
  </si>
  <si>
    <t>30088001</t>
  </si>
  <si>
    <t>LATERAL INTERNA 780X455X15 MDP-MESA PADUA</t>
  </si>
  <si>
    <t>30088005</t>
  </si>
  <si>
    <t>TAMPO 1602X902X15 MDP - MESA PADUA 1,60</t>
  </si>
  <si>
    <t>30088010</t>
  </si>
  <si>
    <t>TAMPO 902X902X15 MDP - MESA PADUA 0,90</t>
  </si>
  <si>
    <t>30088201</t>
  </si>
  <si>
    <t>LATERAL INTERNA 910X770X15 MDP-MESA PADUA</t>
  </si>
  <si>
    <t>30088202</t>
  </si>
  <si>
    <t>LATERAL EXTERNA 780X455X12 MDP-MESA PADUA</t>
  </si>
  <si>
    <t>30088204</t>
  </si>
  <si>
    <t>ENGRO MAIOR 1476X60X12 MDP - MESA PADUA</t>
  </si>
  <si>
    <t>30088205</t>
  </si>
  <si>
    <t>ENGRO MENOR 902X60X12 MDP - MESA PADUA</t>
  </si>
  <si>
    <t>30089001</t>
  </si>
  <si>
    <t>PE MAIOR 756X114 (194)X15 MDF - MESA BRUXELAS</t>
  </si>
  <si>
    <t>30089002</t>
  </si>
  <si>
    <t>PE MENOR 756X95 (164)X15 MDF - MESA BRUXELAS</t>
  </si>
  <si>
    <t>30089003</t>
  </si>
  <si>
    <t>TRAV FRONT 1518X105X15 MDF - MESA BRUXELAS</t>
  </si>
  <si>
    <t>30089004</t>
  </si>
  <si>
    <t>TRAVESSA LATERAL 848X105X15 MDF - MESA BRUXELAS</t>
  </si>
  <si>
    <t>30089005</t>
  </si>
  <si>
    <t>MOLDURA MAIOR 1590X61X15 MDF - MESA BRUXELAS</t>
  </si>
  <si>
    <t>30089006</t>
  </si>
  <si>
    <t>MOLDURA MENOR 890X61X15 MDF - MESA BRUXELAS</t>
  </si>
  <si>
    <t>30089007</t>
  </si>
  <si>
    <t>TAMPO 1602X902X12 MDP - MESA BRUXELAS</t>
  </si>
  <si>
    <t>30089008</t>
  </si>
  <si>
    <t>ENGRO MAIOR 1480X60X12 MDP - MESA BRUXELAS</t>
  </si>
  <si>
    <t>30089009</t>
  </si>
  <si>
    <t>ENGRO MENOR 902X60X12 MDP - MESA BRUXELAS</t>
  </si>
  <si>
    <t>30089103</t>
  </si>
  <si>
    <t>TRAV FRONT 1278X105X15 MDF - MESA BRUXELAS 1,36</t>
  </si>
  <si>
    <t>30089105</t>
  </si>
  <si>
    <t>MOLDURA MAIOR 1350X61X15 MDF - MESA BRUXELAS 1,36</t>
  </si>
  <si>
    <t>30089107</t>
  </si>
  <si>
    <t>TAMPO 1362X902X12 MDP - MESA BRUXELAS 1,36</t>
  </si>
  <si>
    <t>30089108</t>
  </si>
  <si>
    <t>ENGRO MAIOR 1240X60X12 MDP - MESA BRUXELAS 1,36</t>
  </si>
  <si>
    <t>30089901</t>
  </si>
  <si>
    <t>TAMPO 1200X900X18 MDF - MESA MADEIRA 1,20</t>
  </si>
  <si>
    <t>30090001</t>
  </si>
  <si>
    <t>PE 770X90X25 MDF - MESA RAVENA</t>
  </si>
  <si>
    <t>30090002</t>
  </si>
  <si>
    <t>TRAVESSA INFERIOR 350X90X25 MDF-MESA RAVENA</t>
  </si>
  <si>
    <t>30090003</t>
  </si>
  <si>
    <t>TRAVESSA 220 (450)X90X25 MDF-MESA RAVENA 0,90X0,90</t>
  </si>
  <si>
    <t>30090004</t>
  </si>
  <si>
    <t>TRAVESSA INTERM 350X90X25 MDF-MESA RAVENA</t>
  </si>
  <si>
    <t>30096002</t>
  </si>
  <si>
    <t>TRAV CENTRAL 1010X90X25 MDF - RAVENA 1,60X0,90</t>
  </si>
  <si>
    <t>30096003</t>
  </si>
  <si>
    <t>TRAV SUPERIOR 880X90X25 MDF-MESA RAVENA 1,60X0,90</t>
  </si>
  <si>
    <t>30104001</t>
  </si>
  <si>
    <t>(3-4) MOLDURA 862X755X15 MDF - BASE BILBAO 1,35</t>
  </si>
  <si>
    <t>30104003</t>
  </si>
  <si>
    <t>(5) TRAVA 336X300X12 MDP - BASE BILBAO 1,35</t>
  </si>
  <si>
    <t>30104007</t>
  </si>
  <si>
    <t>TAMPO VITREO 1365X905X25 MDF-MESA BILBAO (RAIO100)</t>
  </si>
  <si>
    <t>3010401</t>
  </si>
  <si>
    <t>BASE BILBAO 1,36X0,90 VOL 1/2</t>
  </si>
  <si>
    <t>30104012</t>
  </si>
  <si>
    <t>TAMPO 1365X905X25 MDF - MESA COM VIDRO (RAIO100)</t>
  </si>
  <si>
    <t>30106001</t>
  </si>
  <si>
    <t>(3-4) MOLDURA 962X755X15 MDF-BASE BILBAO 1,60/1,80</t>
  </si>
  <si>
    <t>30106002</t>
  </si>
  <si>
    <t>(2) LATERAL 778X336X12 MDP - BASE BILBAO</t>
  </si>
  <si>
    <t>30106003</t>
  </si>
  <si>
    <t>(5) TRAVA 386X336X12 MDP - BASE BILBAO 1,60/1,80</t>
  </si>
  <si>
    <t>30106004</t>
  </si>
  <si>
    <t>(6) APOIO 336X115X12 MDP - BASE BILBAO</t>
  </si>
  <si>
    <t>30106005</t>
  </si>
  <si>
    <t>(7) FECHAMENTO 640X348X03 MDF - BASE BILBAO</t>
  </si>
  <si>
    <t>30106007</t>
  </si>
  <si>
    <t>TAMPO VITREO 1605X905X25 MDF-MESA BILBAO (RAIO100)</t>
  </si>
  <si>
    <t>3010601</t>
  </si>
  <si>
    <t>BASE BILBAO 1,60/1,80X0,90 VOL 1/2</t>
  </si>
  <si>
    <t>30106012</t>
  </si>
  <si>
    <t>TAMPO 1605X905X25 MDF - MESA COM VIDRO (RAIO100)</t>
  </si>
  <si>
    <t>30108007</t>
  </si>
  <si>
    <t>TAMPO VITREO 1800X900X25 MDF-MESA BILBAO (RAIO100)</t>
  </si>
  <si>
    <t>30108012</t>
  </si>
  <si>
    <t>TAMPO 1805X905X25 MDF - MESA COM VIDRO (RAIO100)</t>
  </si>
  <si>
    <t>30114001</t>
  </si>
  <si>
    <t>FECHAMENTO MAIOR 610X348X15 MDF - BASE IMOLA 1,35</t>
  </si>
  <si>
    <t>30114003</t>
  </si>
  <si>
    <t>APOIO 422X264X12 MDP - BASE IMOLA 1,35</t>
  </si>
  <si>
    <t>30114004</t>
  </si>
  <si>
    <t>TRAVESSA MAIOR 412X136X15 MDP - BASE IMOLA 1,35</t>
  </si>
  <si>
    <t>30116001</t>
  </si>
  <si>
    <t>FECHAMENTO MAIOR 851X348X15 MDF - BASE IMOLA 1,60</t>
  </si>
  <si>
    <t>30116002</t>
  </si>
  <si>
    <t>FECHAMENTO MENOR 464X351X15 MDF - BASE IMOLA</t>
  </si>
  <si>
    <t>30116003</t>
  </si>
  <si>
    <t>APOIO 664X264X12 MDP - BASE IMOLA 1,60/1,80</t>
  </si>
  <si>
    <t>30116004</t>
  </si>
  <si>
    <t>TRAVESSA MAIOR 656X136X15 MDP - BASE IMOLA 1,60</t>
  </si>
  <si>
    <t>30116005</t>
  </si>
  <si>
    <t>TRAV MENOR 420(208)X136X15 MDF - BASE IMOLA</t>
  </si>
  <si>
    <t>30124001</t>
  </si>
  <si>
    <t>(1) PE MAIOR 830X750X25 MDF - BASE DUBLIN</t>
  </si>
  <si>
    <t>30124002</t>
  </si>
  <si>
    <t>PE MENOR 750X680X25 MDF - BASE DUBLIN</t>
  </si>
  <si>
    <t>30124003</t>
  </si>
  <si>
    <t>(4) APOIO TAMPO 680X452X12 MDP - BASE DUBLIN</t>
  </si>
  <si>
    <t>3012401</t>
  </si>
  <si>
    <t>BASE DUBLIN 1,36X0,90 VOL 1/2</t>
  </si>
  <si>
    <t>30124207</t>
  </si>
  <si>
    <t>TAMPO VITREO 1365X905X18 MDF-MESA DUBLIN (RAIO100)</t>
  </si>
  <si>
    <t>3012441</t>
  </si>
  <si>
    <t>BASE DUBLIN 1,36X0,90 VOL 1/2 - MULTIMOVEIS</t>
  </si>
  <si>
    <t>30124601</t>
  </si>
  <si>
    <t>PE ENCAIXE SUPERIOR 750X680X25 MDF - DUBLIN 1,03</t>
  </si>
  <si>
    <t>30124602</t>
  </si>
  <si>
    <t>PE ENCAIXE INFERIOR 750X680X25 MDF - DUBLIN 1,03</t>
  </si>
  <si>
    <t>3012461</t>
  </si>
  <si>
    <t>BASE DUBLIN 1,03X1,03 VOL 1/2</t>
  </si>
  <si>
    <t>30124801</t>
  </si>
  <si>
    <t>(2) PE MENOR 750X680X18 MDF - BASE DUBLIN</t>
  </si>
  <si>
    <t>30124802</t>
  </si>
  <si>
    <t>(4) PE ENCAIXE INFERIOR 750X680X18 MDF-DUBLIN 1,03</t>
  </si>
  <si>
    <t>3012481</t>
  </si>
  <si>
    <t>BASE DUBLIN 1,03X1,03 VOL 1/2 - LIGHT</t>
  </si>
  <si>
    <t>30124901</t>
  </si>
  <si>
    <t>PE MENOR 750X680X18 MDF - BASE DUBLIN</t>
  </si>
  <si>
    <t>30124902</t>
  </si>
  <si>
    <t>PE ENCAIXE INFERIOR 750X680X18 MDF - DUBLIN 1,03</t>
  </si>
  <si>
    <t>30126001</t>
  </si>
  <si>
    <t>PE MAIOR 1000X750X25 MDF - BASE DUBLIN 1,60</t>
  </si>
  <si>
    <t>30126003</t>
  </si>
  <si>
    <t>APOIO TAMPO 905X452X12 MDP - BASE DUBLIN 1,60</t>
  </si>
  <si>
    <t>3012601</t>
  </si>
  <si>
    <t>BASE DUBLIN 1,60X0,90 VOL 1/2</t>
  </si>
  <si>
    <t>30136001</t>
  </si>
  <si>
    <t>LATERAL 01 770X560X15 MDF - MESA MEMPHIS</t>
  </si>
  <si>
    <t>30136002</t>
  </si>
  <si>
    <t>LATERAL 02 770X560X15 MDF - MESA MEMPHIS</t>
  </si>
  <si>
    <t>30136003</t>
  </si>
  <si>
    <t>DETALHE 768X180X12 MDP - MESA MEMPHIS</t>
  </si>
  <si>
    <t>30136004</t>
  </si>
  <si>
    <t>TRAV INFERIOR 336X150X15 MDP - MESA MEMPHIS</t>
  </si>
  <si>
    <t>30136005</t>
  </si>
  <si>
    <t>TRAV SUPERIOR 336X150X12 MDP - MESA MEMPHIS</t>
  </si>
  <si>
    <t>30136006</t>
  </si>
  <si>
    <t>FECHAMENTO 825X348X03 MDF - MESA MEMPHIS</t>
  </si>
  <si>
    <t>30136008</t>
  </si>
  <si>
    <t>TRAV CENTRAL 312X150X15 MDP - MESA MEMPHIS</t>
  </si>
  <si>
    <t>30145001</t>
  </si>
  <si>
    <t>FECHAMENTO BORDA 540X349X15 MDP - BASE MONACO 1,36</t>
  </si>
  <si>
    <t>30145002</t>
  </si>
  <si>
    <t>FECHAMENTO 540X349X15 MDP - BASE MONACO 1,36</t>
  </si>
  <si>
    <t>30145003</t>
  </si>
  <si>
    <t>APOIO 338X310X12 MDP - BASE MONACO 1,36</t>
  </si>
  <si>
    <t>30145004</t>
  </si>
  <si>
    <t>TRAVESSA MAIOR 308X90X15 MDP - BASE MONACO 1,36</t>
  </si>
  <si>
    <t>30145005</t>
  </si>
  <si>
    <t>TRAV MENOR 248X90X15 MDP - BASE MONACO 1,36</t>
  </si>
  <si>
    <t>30145006</t>
  </si>
  <si>
    <t>CONTRA TAMPO 490X470X18 MDF - MESA MONACO</t>
  </si>
  <si>
    <t>30146001</t>
  </si>
  <si>
    <t>FECHAMENTO MAIOR 851X340X15 MDP - BASE MONACO (1)</t>
  </si>
  <si>
    <t>30146002</t>
  </si>
  <si>
    <t>FECHAMENTO MENOR 466X340X15 MDP - BASE MONACO</t>
  </si>
  <si>
    <t>30146003</t>
  </si>
  <si>
    <t>APOIO 712X292X12 MDP - BASE MONACO (6)</t>
  </si>
  <si>
    <t>30146004</t>
  </si>
  <si>
    <t>TRAVESSA MAIOR 682X90X15 MDP - BASE MONACO (4)</t>
  </si>
  <si>
    <t>30146005</t>
  </si>
  <si>
    <t>TRAV MENOR 230X90X15 MDP - BASE MONACO (5)</t>
  </si>
  <si>
    <t>30149001</t>
  </si>
  <si>
    <t>TAMPO VITREO 2100X1000X25 MDF - MONACO (RAIO100)</t>
  </si>
  <si>
    <t>30149020</t>
  </si>
  <si>
    <t>FUNDO CANTONEIRA TAMPO 1055X150X03 MDF</t>
  </si>
  <si>
    <t>30149022</t>
  </si>
  <si>
    <t>TRAVESSA CANTONEIRA TAMPO 1055X55X12 MDP</t>
  </si>
  <si>
    <t>30149023</t>
  </si>
  <si>
    <t>CANTONEIRA TAMPO 1,00 - MDF</t>
  </si>
  <si>
    <t>30205001</t>
  </si>
  <si>
    <t>TAMPO REDONDO 582X582X18 MDF - ESPLANADA</t>
  </si>
  <si>
    <t>30207001</t>
  </si>
  <si>
    <t>TAMPO MARMORE 702X702X15 MDP - ESPLANADA</t>
  </si>
  <si>
    <t>30207101</t>
  </si>
  <si>
    <t>TAMPO 702X702X12 MDP – ENCABEÇADO ESPLANADA</t>
  </si>
  <si>
    <t>30207102</t>
  </si>
  <si>
    <t>ENGRO MAIOR 702X60X15 MDP - TAMPO ESPLANADA</t>
  </si>
  <si>
    <t>30207103</t>
  </si>
  <si>
    <t>ENGRO MENOR 580X60X15 MDP - TAMPO ESPLANADA</t>
  </si>
  <si>
    <t>30210001</t>
  </si>
  <si>
    <t>TAMPO MARMORE 1002X602X15 MDP - ESPLANADA</t>
  </si>
  <si>
    <t>30210101</t>
  </si>
  <si>
    <t>TAMPO 1002X602X12 MDP - ENCABEÇADO ESPLANADA</t>
  </si>
  <si>
    <t>30210102</t>
  </si>
  <si>
    <t>ENGRO MENOR 602X60X15 MDP - TAMPO ESPLANADA</t>
  </si>
  <si>
    <t>30210103</t>
  </si>
  <si>
    <t>ENGRO MAIOR 880X60X15 MDP - TAMPO ESPLANADA</t>
  </si>
  <si>
    <t>30212001</t>
  </si>
  <si>
    <t>TAMPO MARMORE 1202X752X15 MDP - ESPLANADA</t>
  </si>
  <si>
    <t>30212101</t>
  </si>
  <si>
    <t>TAMPO 1202X752X12 MDP - ENCABEÇADO ESPLANADA</t>
  </si>
  <si>
    <t>30212102</t>
  </si>
  <si>
    <t>ENGRO MAIOR 1080X60X15 MDP - TAMPO ESPLANADA</t>
  </si>
  <si>
    <t>30212103</t>
  </si>
  <si>
    <t>ENGRO MENOR 752X60X15 MDP - TAMPO ESPLANADA</t>
  </si>
  <si>
    <t>30214001</t>
  </si>
  <si>
    <t>TAMPO MARMORE 1402X752X15 MDP - ESPLANADA</t>
  </si>
  <si>
    <t>30214101</t>
  </si>
  <si>
    <t>TAMPO 1402X752X12 MDP - ENCABEÇADO ESPLANADA</t>
  </si>
  <si>
    <t>30214102</t>
  </si>
  <si>
    <t>ENGRO MAIOR 1280X60X15 MDP - TAMPO ESPLANADA</t>
  </si>
  <si>
    <t>80200540</t>
  </si>
  <si>
    <t>VOLUME - MESA TOPAZIO 1030X1030</t>
  </si>
  <si>
    <t>80200543</t>
  </si>
  <si>
    <t>VOLUME - MESA TOPAZIO 1,36X0,90</t>
  </si>
  <si>
    <t>80200546</t>
  </si>
  <si>
    <t>VOLUME - MESA TOPAZIO 1,60X0,90</t>
  </si>
  <si>
    <t>80200548</t>
  </si>
  <si>
    <t>VOLUME - MESA TOPAZIO 1,80X0,90</t>
  </si>
  <si>
    <t>80200550</t>
  </si>
  <si>
    <t>VOLUME - MESA TOPAZIO 1030X1030 C/ VIDRO</t>
  </si>
  <si>
    <t>80200553</t>
  </si>
  <si>
    <t>VOLUME - MESA TOPAZIO 1,36X0,90 C/ VIDRO</t>
  </si>
  <si>
    <t>80200556</t>
  </si>
  <si>
    <t>VOLUME - MESA TOPAZIO 1,60X0,90 C/ VIDRO</t>
  </si>
  <si>
    <t>80200558</t>
  </si>
  <si>
    <t>VOLUME - MESA TOPAZIO 1,80X0,90 C/ VIDRO</t>
  </si>
  <si>
    <t>80200561</t>
  </si>
  <si>
    <t>VOLUME - MESA TOPAZIO 1030X1030 LIGHT C/ VIDRO</t>
  </si>
  <si>
    <t>80200563</t>
  </si>
  <si>
    <t>VOLUME - MESA TOPAZIO 1,36X0,90 LIGHT C/ VIDRO</t>
  </si>
  <si>
    <t>80200566</t>
  </si>
  <si>
    <t>VOLUME - MESA TOPAZIO 1,60X0,90 LIGHT C/ VIDRO</t>
  </si>
  <si>
    <t>80200568</t>
  </si>
  <si>
    <t>VOLUME - MESA TOPAZIO 1,80X0,90 LIGHT C/ VIDRO</t>
  </si>
  <si>
    <t>80200570</t>
  </si>
  <si>
    <t>VOLUME - MESA TOPAZIO 1030X1030 - VIA</t>
  </si>
  <si>
    <t>80200610</t>
  </si>
  <si>
    <t>VOLUME - MESA JADE 1,36X0,90 C/ VIDRO</t>
  </si>
  <si>
    <t>80200611</t>
  </si>
  <si>
    <t>VOLUME - MESA JADE 1,60X0,90 C/ VIDRO</t>
  </si>
  <si>
    <t>80200612</t>
  </si>
  <si>
    <t>VOLUME - MESA JADE 1,80X0,90 C/ VIDRO</t>
  </si>
  <si>
    <t>80200613</t>
  </si>
  <si>
    <t>VOLUME - MESA JADE 2,00X0,90 LIGHT C/ VIDRO</t>
  </si>
  <si>
    <t>80200614</t>
  </si>
  <si>
    <t>VOLUME - MESA JADE 1,36X0,90 LIGHT C/ VIDRO</t>
  </si>
  <si>
    <t>80200615</t>
  </si>
  <si>
    <t>VOLUME - MESA JADE 1,60X0,90 LIGHT C/ VIDRO</t>
  </si>
  <si>
    <t>80200616</t>
  </si>
  <si>
    <t>VOLUME - MESA JADE 1,80X0,90 LIGHT C/ VIDRO</t>
  </si>
  <si>
    <t>80200620</t>
  </si>
  <si>
    <t>VOLUME - MESA AMETISTA 1360X900 C/ VIDRO</t>
  </si>
  <si>
    <t>80200621</t>
  </si>
  <si>
    <t>VOLUME - MESA AMETISTA 1600X900 C/ VIDRO</t>
  </si>
  <si>
    <t>80200622</t>
  </si>
  <si>
    <t>VOLUME - MESA AMETISTA 1800X900 C/ VIDRO</t>
  </si>
  <si>
    <t>80200623</t>
  </si>
  <si>
    <t>VOLUME - MESA AMETISTA 1360X900 LIGHT C/ VIDRO</t>
  </si>
  <si>
    <t>80200624</t>
  </si>
  <si>
    <t>VOLUME - MESA AMETISTA 1600X900 LIGHT C/ VIDRO</t>
  </si>
  <si>
    <t>80200625</t>
  </si>
  <si>
    <t>VOLUME - MESA AMETISTA 1800X900 LIGHT C/ VIDRO</t>
  </si>
  <si>
    <t>80200630</t>
  </si>
  <si>
    <t>VOLUME - MESA PEROLA 1030X1030 LX C/ VIDRO</t>
  </si>
  <si>
    <t>80200631</t>
  </si>
  <si>
    <t>VOLUME - MESA PEROLA 1030X1030</t>
  </si>
  <si>
    <t>80200632</t>
  </si>
  <si>
    <t>VOLUME - MESA PEROLA 1030X1030 C/ VIDRO</t>
  </si>
  <si>
    <t>80200633</t>
  </si>
  <si>
    <t>VOLUME - MESA PEROLA 1,20X0,90 C/ VIDRO</t>
  </si>
  <si>
    <t>80200634</t>
  </si>
  <si>
    <t>VOLUME - MESA PEROLA 0,90X0,90 C/ VIDRO</t>
  </si>
  <si>
    <t>80200640</t>
  </si>
  <si>
    <t>VOLUME - MESA SAFIRA 1,36X0,90 C/ VIDRO</t>
  </si>
  <si>
    <t>80200641</t>
  </si>
  <si>
    <t>VOLUME - MESA SAFIRA 1,60X0,90 C/ VIDRO</t>
  </si>
  <si>
    <t>80200642</t>
  </si>
  <si>
    <t>VOLUME - MESA SAFIRA 1,80X0,90 C/ VIDRO</t>
  </si>
  <si>
    <t>80200643</t>
  </si>
  <si>
    <t>VOLUME - MESA SAFIRA 1,36X0,90</t>
  </si>
  <si>
    <t>80200644</t>
  </si>
  <si>
    <t>VOLUME - MESA SAFIRA 1,60X0,90</t>
  </si>
  <si>
    <t>80200645</t>
  </si>
  <si>
    <t>VOLUME - MESA SAFIRA 1,80X0,90</t>
  </si>
  <si>
    <t>80200646</t>
  </si>
  <si>
    <t>VOLUME - MESA SAFIRA 1,36X0,90 LIGHT C/ VIDRO</t>
  </si>
  <si>
    <t>80200647</t>
  </si>
  <si>
    <t>VOLUME -  MESA SAFIRA 1,60X0,90 LIGHT C/ VIDRO</t>
  </si>
  <si>
    <t>80200648</t>
  </si>
  <si>
    <t>VOLUME - MESA SAFIRA 1,80X0,90 LIGHT C/ VIDRO</t>
  </si>
  <si>
    <t>80200650</t>
  </si>
  <si>
    <t>VOLUME - MESA CELTA 1,20X0,90 C/ VIDRO</t>
  </si>
  <si>
    <t>80200651</t>
  </si>
  <si>
    <t>VOLUME - MESA CELTA 1,60X0,90 C/ VIDRO</t>
  </si>
  <si>
    <t>803000339</t>
  </si>
  <si>
    <t>VOLUME - CADEIRA TOPAZIO UN - MADEIRA PI</t>
  </si>
  <si>
    <t>803000369</t>
  </si>
  <si>
    <t>VOLUME - CADEIRA PEROLA UN - MADEIRA</t>
  </si>
  <si>
    <t>803000379</t>
  </si>
  <si>
    <t>VOLUME - CADEIRA SAFIRA - MADEIRA</t>
  </si>
  <si>
    <t>803000389</t>
  </si>
  <si>
    <t>VOLUME - CADEIRA JADE UN - MADEIRA</t>
  </si>
  <si>
    <t>803000420</t>
  </si>
  <si>
    <t>VOLUME - CADEIRA AMBAR 920 UN - MADEIRA EXP</t>
  </si>
  <si>
    <t>803000429</t>
  </si>
  <si>
    <t>VOLUME - CADEIRA AMBAR 920 UN - MADEIRA</t>
  </si>
  <si>
    <t>803000519</t>
  </si>
  <si>
    <t>VOLUME - CADEIRA AMETISTA - MADEIRA UN</t>
  </si>
  <si>
    <t>803000549</t>
  </si>
  <si>
    <t>VOLUME - CADEIRA CELTA - MADEIRA UN</t>
  </si>
  <si>
    <t>803000849</t>
  </si>
  <si>
    <t>VOLUME - CADEIRA SAFIRA MONTADA UN - MADEIRA</t>
  </si>
  <si>
    <t>803000869</t>
  </si>
  <si>
    <t>VOLUME - CADEIRA PRATA UN - MADEIRA PI</t>
  </si>
  <si>
    <t>803000879</t>
  </si>
  <si>
    <t>VOLUME - CADEIRA CRISTAL NEW - MADEIRA UN</t>
  </si>
  <si>
    <t>803000919</t>
  </si>
  <si>
    <t>VOLUME - CADEIRA RUBI NEW - MADEIRA UN</t>
  </si>
  <si>
    <t>803000999</t>
  </si>
  <si>
    <t>VOLUME - CADEIRA RUBI - MADEIRA UN</t>
  </si>
  <si>
    <t>910095131</t>
  </si>
  <si>
    <t>ESP. PAINEL 910X550X30 D13</t>
  </si>
  <si>
    <t>910100131</t>
  </si>
  <si>
    <t>ESP. CABECEIRA 1100X800X35 D13</t>
  </si>
  <si>
    <t>910100132</t>
  </si>
  <si>
    <t>ESP. CABECEIRA BASE 460X90X25 D13</t>
  </si>
  <si>
    <t>910100133</t>
  </si>
  <si>
    <t>ESP. CABECEIRA PLAQUETA 1100X230X10 D13</t>
  </si>
  <si>
    <t>910135131</t>
  </si>
  <si>
    <t>ESP. PAINEL 1310X550X30 D13</t>
  </si>
  <si>
    <t>910140131</t>
  </si>
  <si>
    <t>ESP. CABECEIRA 1500X800X35 D13</t>
  </si>
  <si>
    <t>910160131</t>
  </si>
  <si>
    <t>ESP. CABECEIRA 1710X800X35 D13</t>
  </si>
  <si>
    <t>910190131</t>
  </si>
  <si>
    <t>ESP. CABECEIRA 2070X800X35 D13</t>
  </si>
  <si>
    <t>910300131</t>
  </si>
  <si>
    <t>ESP. CABECEIRA 860X60X25 D13</t>
  </si>
  <si>
    <t>910300132</t>
  </si>
  <si>
    <t>ESP. CABECEIRA 1010X640X30 D13</t>
  </si>
  <si>
    <t>910300133</t>
  </si>
  <si>
    <t>ESP. CABECEIRA 510X60X25 D13</t>
  </si>
  <si>
    <t>910304132</t>
  </si>
  <si>
    <t>ESP. CABECEIRA 1410X640X30 D13</t>
  </si>
  <si>
    <t>910306132</t>
  </si>
  <si>
    <t>ESP. CABECEIRA 1610X640X30 D13</t>
  </si>
  <si>
    <t>91031101</t>
  </si>
  <si>
    <t>TRAVESSA MAIOR 965X70X15 MDP - CABECEIRA BAHIA</t>
  </si>
  <si>
    <t>91031102</t>
  </si>
  <si>
    <t>TRAVESSA MENOR 605X70X15 MDP - CABECEIRA BAHIA</t>
  </si>
  <si>
    <t>91031501</t>
  </si>
  <si>
    <t>TRAVESSA MAIOR 1365X70X15 MDP - CABECEIRA BAHIA</t>
  </si>
  <si>
    <t>91031701</t>
  </si>
  <si>
    <t>TRAVESSA MAIOR 1565X70X15 MDP - CABECEIRA BAHIA</t>
  </si>
  <si>
    <t>910324131</t>
  </si>
  <si>
    <t>ESP. CABECEIRA 1360X560X30 D13</t>
  </si>
  <si>
    <t>910324132</t>
  </si>
  <si>
    <t>ESP. CABECEIRA 1700X65X25 D13</t>
  </si>
  <si>
    <t>910324133</t>
  </si>
  <si>
    <t>ESP. CABECEIRA 1300X65X25 D13</t>
  </si>
  <si>
    <t>910324134</t>
  </si>
  <si>
    <t>ESP. CABECEIRA 1700X140X10 D13</t>
  </si>
  <si>
    <t>910326131</t>
  </si>
  <si>
    <t>ESP. CABECEIRA 1560X560X30 D13</t>
  </si>
  <si>
    <t>910326132</t>
  </si>
  <si>
    <t>ESP. CABECEIRA 1800X65X25 D14</t>
  </si>
  <si>
    <t>910326133</t>
  </si>
  <si>
    <t>ESP. CABECEIRA 1500X65X25 D14</t>
  </si>
  <si>
    <t>910326134</t>
  </si>
  <si>
    <t>ESP. CABECEIRA 1800X130X10 D14</t>
  </si>
  <si>
    <t>910330131</t>
  </si>
  <si>
    <t>ESP. CABECEIRA 1400X560X30 D13</t>
  </si>
  <si>
    <t>910330132</t>
  </si>
  <si>
    <t>ESP. CABECEIRA 1470X65X25 D14</t>
  </si>
  <si>
    <t>910330133</t>
  </si>
  <si>
    <t>ESP. CABECEIRA 860X65X25 D14</t>
  </si>
  <si>
    <t>910330134</t>
  </si>
  <si>
    <t>ESP. CABECEIRA 1480X130X10 D14</t>
  </si>
  <si>
    <t>910344132</t>
  </si>
  <si>
    <t>ESP. CABECEIRA 1400X140X10 D20</t>
  </si>
  <si>
    <t>910344133</t>
  </si>
  <si>
    <t>ESP. CABECEIRA 3500X140X10 D20</t>
  </si>
  <si>
    <t>910346132</t>
  </si>
  <si>
    <t>ESP. CABECEIRA 1600X140X10 D20</t>
  </si>
  <si>
    <t>910346133</t>
  </si>
  <si>
    <t>ESP. CABECEIRA 3700X140X10 D20</t>
  </si>
  <si>
    <t>911090131</t>
  </si>
  <si>
    <t>ESP. CABECEIRA 2050X800X25 D13</t>
  </si>
  <si>
    <t>911140131</t>
  </si>
  <si>
    <t>ESP. CABECEIRA 1510X440X35 D13</t>
  </si>
  <si>
    <t>911140132</t>
  </si>
  <si>
    <t>ESP. CABECEIRA 1510X480X35 D13</t>
  </si>
  <si>
    <t>911160131</t>
  </si>
  <si>
    <t>ESP. CABECEIRA 1710X440X35 D13</t>
  </si>
  <si>
    <t>911160132</t>
  </si>
  <si>
    <t>ESP. CABECEIRA 1710X480X35 D13</t>
  </si>
  <si>
    <t>911190131</t>
  </si>
  <si>
    <t>ESP. CABECEIRA 2070X440X35 D13</t>
  </si>
  <si>
    <t>911190132</t>
  </si>
  <si>
    <t>ESP. CABECEIRA 2070X480X35 D13</t>
  </si>
  <si>
    <t>911190133</t>
  </si>
  <si>
    <t>ESP. CABECEIRA PAINEL 870X490X20 D13</t>
  </si>
  <si>
    <t>91130905</t>
  </si>
  <si>
    <t>PAINEL 760X480X09 MDP - CAB BERLIM 0,90</t>
  </si>
  <si>
    <t>91130906</t>
  </si>
  <si>
    <t>ESP. CABECEIRA 990X60X25 D13 - CAB BERLIM 0,90</t>
  </si>
  <si>
    <t>91130907</t>
  </si>
  <si>
    <t>ESP. CABECEIRA 770X60X25 D13 - CAB BERLIM 0,90</t>
  </si>
  <si>
    <t>91130908</t>
  </si>
  <si>
    <t>ESP. CABECEIRA PAINEL 770X490X20 D13 - BERLIM 0,90</t>
  </si>
  <si>
    <t>911340130</t>
  </si>
  <si>
    <t>ESP. CABECEIRA 1090X60X25 D13</t>
  </si>
  <si>
    <t>911340131</t>
  </si>
  <si>
    <t>ESP. CABECEIRA 1260X60X25 D13</t>
  </si>
  <si>
    <t>911340132</t>
  </si>
  <si>
    <t>ESP. CABECEIRA PAINEL 1260X490X20 D13</t>
  </si>
  <si>
    <t>911360131</t>
  </si>
  <si>
    <t>ESP. CABECEIRA 1460X60X25 D13</t>
  </si>
  <si>
    <t>911360132</t>
  </si>
  <si>
    <t>ESP. CABECEIRA PAINEL 1460X490X20 D13</t>
  </si>
  <si>
    <t>91150005</t>
  </si>
  <si>
    <t>PAINEL 860X480X09 MDP - CAB ESTORIL</t>
  </si>
  <si>
    <t>911500131</t>
  </si>
  <si>
    <t>ESP. CABECEIRA 870X60X25 D13</t>
  </si>
  <si>
    <t>911500132</t>
  </si>
  <si>
    <t>ESP. CABECEIRA  PAINEL 870X490X30 D13</t>
  </si>
  <si>
    <t>911540131</t>
  </si>
  <si>
    <t>ESP. CABECEIRA PAINEL 1260X490X30 D13</t>
  </si>
  <si>
    <t>911542130</t>
  </si>
  <si>
    <t>ESP. CABECEIRA FITA 1600X140X10 D13</t>
  </si>
  <si>
    <t>911542131</t>
  </si>
  <si>
    <t>ESP. CABECEIRA 1160X60X25 D13</t>
  </si>
  <si>
    <t>911560132</t>
  </si>
  <si>
    <t>ESP. CABECEIRA PAINEL 1460X490X30 D13</t>
  </si>
  <si>
    <t>911758131</t>
  </si>
  <si>
    <t>ESP. PAINEL 1600X370X25 D20</t>
  </si>
  <si>
    <t>911840130</t>
  </si>
  <si>
    <t>ESP. CABECEIRA 1560X720X30 D13</t>
  </si>
  <si>
    <t>911840131</t>
  </si>
  <si>
    <t>ESP. CABECEIRA 1300X570X30 D13</t>
  </si>
  <si>
    <t>911840132</t>
  </si>
  <si>
    <t>ESP. CABECEIRA 1460X680X20 D13</t>
  </si>
  <si>
    <t>911840133</t>
  </si>
  <si>
    <t>ESP. CABECEIRA 640X130X30 D13</t>
  </si>
  <si>
    <t>911840134</t>
  </si>
  <si>
    <t>ESP. CABECEIRA 1460X80X25 D13</t>
  </si>
  <si>
    <t>911860130</t>
  </si>
  <si>
    <t>ESP. CABECEIRA 1760X720X30 D13</t>
  </si>
  <si>
    <t>911860131</t>
  </si>
  <si>
    <t>ESP. CABECEIRA 1500X570X30 D13</t>
  </si>
  <si>
    <t>911860132</t>
  </si>
  <si>
    <t>ESP. CABECEIRA 1660X680X20 D13</t>
  </si>
  <si>
    <t>911890130</t>
  </si>
  <si>
    <t>ESP. CABECEIRA 2110X720X30 D13</t>
  </si>
  <si>
    <t>911890131</t>
  </si>
  <si>
    <t>ESP. CABECEIRA 1850X570X30 D13</t>
  </si>
  <si>
    <t>911890132</t>
  </si>
  <si>
    <t>ESP. CABECEIRA 2010X680X20 D13</t>
  </si>
  <si>
    <t>91191130</t>
  </si>
  <si>
    <t>ESP. CABECEIRA 1000X650X35 D13</t>
  </si>
  <si>
    <t>91191131</t>
  </si>
  <si>
    <t>ESP. CABECEIRA 1530X140X30 D13</t>
  </si>
  <si>
    <t>911941130</t>
  </si>
  <si>
    <t>ESP. CABECEIRA 1500X650X35 D13</t>
  </si>
  <si>
    <t>911941131</t>
  </si>
  <si>
    <t>ESP. CABECEIRA 1780X140X30 D13</t>
  </si>
  <si>
    <t>911941132</t>
  </si>
  <si>
    <t>ESP. CABECEIRA 480X70X35 D13</t>
  </si>
  <si>
    <t>911961130</t>
  </si>
  <si>
    <t>ESP. CABECEIRA 1700X650X35 D13</t>
  </si>
  <si>
    <t>911961131</t>
  </si>
  <si>
    <t>ESP. CABECEIRA 1880X140X30 D13</t>
  </si>
  <si>
    <t>91199130</t>
  </si>
  <si>
    <t>ESP. CABECEIRA 2050X650X35 D13</t>
  </si>
  <si>
    <t>91199131</t>
  </si>
  <si>
    <t>ESP. CABECEIRA 2060X140X30 D13</t>
  </si>
  <si>
    <t>91200002</t>
  </si>
  <si>
    <t>LATERAL MENOR 924X301X15 MDP - CAMA BOX 0,90</t>
  </si>
  <si>
    <t>91200003</t>
  </si>
  <si>
    <t>TRAVESSA CENTRAL 890X248X12 MDP - CAMA BOX 0,90</t>
  </si>
  <si>
    <t>91200004</t>
  </si>
  <si>
    <t>TRAVESSA 890X150X12 MDP - CAMA BOX 0,90</t>
  </si>
  <si>
    <t>91200005</t>
  </si>
  <si>
    <t>TRAVESSA APOIO 888X90X12 MDP - CAMA BOX 0,90</t>
  </si>
  <si>
    <t>91204001</t>
  </si>
  <si>
    <t>(1-8)LATERAL MAIOR 1890X300X15 MDP - CAMA BOX 1,40</t>
  </si>
  <si>
    <t>91204002</t>
  </si>
  <si>
    <t>(5) LATERAL MENOR 1424X301X15 MDP - CAMA BOX 1,40</t>
  </si>
  <si>
    <t>91204003</t>
  </si>
  <si>
    <t>(4) TRAVESSA CENTRAL 1390X248X12 MDP-CAMA BOX 1,40</t>
  </si>
  <si>
    <t>91204004</t>
  </si>
  <si>
    <t>(2) TRAVESSA 1390X150X12 MDP - CAMA BOX 1,40</t>
  </si>
  <si>
    <t>91204005</t>
  </si>
  <si>
    <t>(3) TRAVESSA APOIO 1388X90X12 MDP - CAMA BOX 1,40</t>
  </si>
  <si>
    <t>91204006</t>
  </si>
  <si>
    <t>(7) LASTRO 1890X150X12 MDP - CAMA BOX 1,40</t>
  </si>
  <si>
    <t>912048130</t>
  </si>
  <si>
    <t>ESP. CABECEIRA 1920X280X12 D13</t>
  </si>
  <si>
    <t>912048131</t>
  </si>
  <si>
    <t>ESP. CABECEIRA 1620X280X12 D13</t>
  </si>
  <si>
    <t>91206001</t>
  </si>
  <si>
    <t>LATERAL MAIOR 1990X300X15 MDP - CAMA BOX</t>
  </si>
  <si>
    <t>91206002</t>
  </si>
  <si>
    <t>LATERAL MENOR 1624X301X15 MDP - CAMA BOX</t>
  </si>
  <si>
    <t>91206003</t>
  </si>
  <si>
    <t>TRAVESSA CENTRAL 1590X248X12 MDP - CAMA BOX</t>
  </si>
  <si>
    <t>91206004</t>
  </si>
  <si>
    <t>TRAVESSA 1590X150X12 MDP - CAMA BOX</t>
  </si>
  <si>
    <t>91206005</t>
  </si>
  <si>
    <t>TRAVESSA APOIO 1588X90X12 MDP - CAMA BOX</t>
  </si>
  <si>
    <t>91206006</t>
  </si>
  <si>
    <t>LASTRO 1990X150X12 MDP - CAMA BOX</t>
  </si>
  <si>
    <t>91206101</t>
  </si>
  <si>
    <t>LATERAL MAIOR 1890X300X15 MDP - CAMA BOX</t>
  </si>
  <si>
    <t>912068130</t>
  </si>
  <si>
    <t>ESP. CABECEIRA 2030X280X12 D13</t>
  </si>
  <si>
    <t>912068131</t>
  </si>
  <si>
    <t>ESP. CABECEIRA 1800X280X12 D13</t>
  </si>
  <si>
    <t>912205131</t>
  </si>
  <si>
    <t>ESP. PAINEL 1010X550X50 D20</t>
  </si>
  <si>
    <t>912245131</t>
  </si>
  <si>
    <t>ESP. PAINEL 1410X550X50 D20</t>
  </si>
  <si>
    <t>912265131</t>
  </si>
  <si>
    <t>ESP. PAINEL 1610X550X50 D20</t>
  </si>
  <si>
    <t>912330130</t>
  </si>
  <si>
    <t>912330131</t>
  </si>
  <si>
    <t>ESP. CABECEIRA 1290X590X25 D13</t>
  </si>
  <si>
    <t>91291130</t>
  </si>
  <si>
    <t>91291131</t>
  </si>
  <si>
    <t>912941130</t>
  </si>
  <si>
    <t>912941131</t>
  </si>
  <si>
    <t>912941132</t>
  </si>
  <si>
    <t>912961130</t>
  </si>
  <si>
    <t>912961131</t>
  </si>
  <si>
    <t>91299130</t>
  </si>
  <si>
    <t>91299131</t>
  </si>
  <si>
    <t>91414010</t>
  </si>
  <si>
    <t>PAINEL TRASEIRO MALAGA - 1200X605X15 MDF</t>
  </si>
  <si>
    <t>91414011</t>
  </si>
  <si>
    <t>PAINEL TAPECADO MALAGA - 1600X550X09 MDF</t>
  </si>
  <si>
    <t>91414013</t>
  </si>
  <si>
    <t>ESP. PAINEL CAB EXTENSIVEL 1600X550X10 D13</t>
  </si>
  <si>
    <t>91414014</t>
  </si>
  <si>
    <t>PAINEL CABECEIRA MALAGA - 1600X550X09 MDP (GRAUNA)</t>
  </si>
  <si>
    <t>914140910</t>
  </si>
  <si>
    <t>(2) PAINEL TRASEIRO MALAGA - 1200X605X15 MDF</t>
  </si>
  <si>
    <t>914140911</t>
  </si>
  <si>
    <t>(4) PAINEL TAPECADO MALAGA - 1600X550X09 MDF</t>
  </si>
  <si>
    <t>914140913</t>
  </si>
  <si>
    <t>91514002</t>
  </si>
  <si>
    <t>PAINEL 1350X480X09 MDP - CAB MUNIQUE</t>
  </si>
  <si>
    <t>915140130</t>
  </si>
  <si>
    <t>ESP. CABECEIRA APLIQUE 1300X250X10 D13</t>
  </si>
  <si>
    <t>915140161</t>
  </si>
  <si>
    <t>ESP. CABECEIRA PAINEL 1350X490X50 D20</t>
  </si>
  <si>
    <t>91516002</t>
  </si>
  <si>
    <t>PAINEL 1550X480X09 MDP - CAB MUNIQUE</t>
  </si>
  <si>
    <t>915160130</t>
  </si>
  <si>
    <t>ESP. CABECEIRA APLIQUE 1500X250X10 D13</t>
  </si>
  <si>
    <t>915160161</t>
  </si>
  <si>
    <t>ESP. CABECEIRA PAINEL 1550X490X50 D20</t>
  </si>
  <si>
    <t>916140131</t>
  </si>
  <si>
    <t>ESP. CABECEIRA 1500X800X30 D13</t>
  </si>
  <si>
    <t>916160131</t>
  </si>
  <si>
    <t>ESP. CABECEIRA 1700X800X30 D13</t>
  </si>
  <si>
    <t>91714001</t>
  </si>
  <si>
    <t>PAINEL 1140X510X09 MDP - CAB BARCELONA 1,40</t>
  </si>
  <si>
    <t>917140130</t>
  </si>
  <si>
    <t>ESP. CABECEIRA PAINEL 1160X520X20 D13</t>
  </si>
  <si>
    <t>917140131</t>
  </si>
  <si>
    <t>ESP. CABECEIRA FITÃO 1380X170X30 D13</t>
  </si>
  <si>
    <t>917140132</t>
  </si>
  <si>
    <t>ESP. CABECEIRA 520X180X30 D13</t>
  </si>
  <si>
    <t>91716001</t>
  </si>
  <si>
    <t>PAINEL 1340X510X09 MDP - CAB BARCELONA 1,60</t>
  </si>
  <si>
    <t>917160130</t>
  </si>
  <si>
    <t>ESP. CABECEIRA PAINEL 1350X520X20 D13</t>
  </si>
  <si>
    <t>917160131</t>
  </si>
  <si>
    <t>ESP. CABECEIRA FITÃO 1580X170X30 D13</t>
  </si>
  <si>
    <t>917160132</t>
  </si>
  <si>
    <t>91814002</t>
  </si>
  <si>
    <t>PAINEL 1345X480X09 MDP - CAB MONTE CARLO</t>
  </si>
  <si>
    <t>91816002</t>
  </si>
  <si>
    <t>PAINEL 1545X480X09 MDP - CAB MONTE CARLO</t>
  </si>
  <si>
    <t>92014001</t>
  </si>
  <si>
    <t>CHAPEU CAB. BARI 1,40 1100X62(911)X09 MDP (13PCS)</t>
  </si>
  <si>
    <t>920140130</t>
  </si>
  <si>
    <t>ESP. CABECEIRA BARI 1390X660X30 D13</t>
  </si>
  <si>
    <t>92016001</t>
  </si>
  <si>
    <t>CHAPEU CAB. BARI 1,60 1280X62(911)X09 MDP (12PCS)</t>
  </si>
  <si>
    <t>920160130</t>
  </si>
  <si>
    <t>ESP. CABECEIRA BARI 1590X660X30 D13</t>
  </si>
  <si>
    <t>921000130</t>
  </si>
  <si>
    <t>ESP. CABECEIRA FITA 1500X140X10 D13</t>
  </si>
  <si>
    <t>921000131</t>
  </si>
  <si>
    <t>ESP. CABECEIRA 1100X800X25 D13</t>
  </si>
  <si>
    <t>921040130</t>
  </si>
  <si>
    <t>ESP. CABECEIRA FITA 1700X140X10 D13</t>
  </si>
  <si>
    <t>921040131</t>
  </si>
  <si>
    <t>ESP. CABECEIRA 1500X800X25 D13</t>
  </si>
  <si>
    <t>921060130</t>
  </si>
  <si>
    <t>ESP. CABECEIRA FITA 1800X140X10 D13</t>
  </si>
  <si>
    <t>921060131</t>
  </si>
  <si>
    <t>ESP. CABECEIRA 1700X800X25 D13</t>
  </si>
  <si>
    <t>921100131</t>
  </si>
  <si>
    <t>ESP. CABECEIRA 990X660X30 D13</t>
  </si>
  <si>
    <t>921140131</t>
  </si>
  <si>
    <t>ESP. CABECEIRA 1390X660X30 D13</t>
  </si>
  <si>
    <t>921160131</t>
  </si>
  <si>
    <t>ESP. CABECEIRA 1590X660X30 D13</t>
  </si>
  <si>
    <t>92214030</t>
  </si>
  <si>
    <t>ESP. CAB. FITA HONDURAS 1990X140X10 D13</t>
  </si>
  <si>
    <t>92214031</t>
  </si>
  <si>
    <t>ESP. CAB. FRENTE HONDURAS 1420X210X10 D13</t>
  </si>
  <si>
    <t>92214032</t>
  </si>
  <si>
    <t>ESP. CAB. ISO HONDURAS 900X100X10 D13</t>
  </si>
  <si>
    <t>92214033</t>
  </si>
  <si>
    <t>ESP. CAB. ISO HONDURAS 900X200X10 D13</t>
  </si>
  <si>
    <t>92216030</t>
  </si>
  <si>
    <t>ESP. CAB. FITA HONDURAS 2090X140X10 D13</t>
  </si>
  <si>
    <t>92216031</t>
  </si>
  <si>
    <t>ESP. CAB. FRENTE HONDURAS 1620X210X10 D13</t>
  </si>
  <si>
    <t>92219030</t>
  </si>
  <si>
    <t>ESP. CAB. FITA HONDURAS 1,98 2290X140X10 D13</t>
  </si>
  <si>
    <t>92219031</t>
  </si>
  <si>
    <t>ESP. CAB. FRENTE HONDURAS 1920X210X10 D13</t>
  </si>
  <si>
    <t>923140131</t>
  </si>
  <si>
    <t>923140135</t>
  </si>
  <si>
    <t>ESP. CABECEIRA EDMIL 1600X800X50 D13</t>
  </si>
  <si>
    <t>923140136</t>
  </si>
  <si>
    <t>ESP. CABECEIRA EDMIL 460X90X50 D13</t>
  </si>
  <si>
    <t>92514001</t>
  </si>
  <si>
    <t>PLAQUETA CAB. BRAGA 1100X190(911)X09 MDF (5PCS)</t>
  </si>
  <si>
    <t>92514002</t>
  </si>
  <si>
    <t>TARUGO PLAQ CAB. BRAGA 1100X40X18 MDF</t>
  </si>
  <si>
    <t>92514003</t>
  </si>
  <si>
    <t>TARUGO PLAQ CAB. BRAGA 60X40X12</t>
  </si>
  <si>
    <t>925140130</t>
  </si>
  <si>
    <t>ESP. CABECEIRA 1470X740X30 D13</t>
  </si>
  <si>
    <t>925140131</t>
  </si>
  <si>
    <t>ESP. PLAQ CABECEIRA 1100X160X10 D13</t>
  </si>
  <si>
    <t>925140132</t>
  </si>
  <si>
    <t>ESP. PLAQ CABECEIRA 1310X60X10 D13</t>
  </si>
  <si>
    <t>925160130</t>
  </si>
  <si>
    <t>ESP. CABECEIRA 1670X740X30 D13</t>
  </si>
  <si>
    <t>92519001</t>
  </si>
  <si>
    <t>92519002</t>
  </si>
  <si>
    <t>925190130</t>
  </si>
  <si>
    <t>ESP. CABECEIRA 2010X740X30 D13</t>
  </si>
  <si>
    <t>925190131</t>
  </si>
  <si>
    <t>925190132</t>
  </si>
  <si>
    <t>926140131</t>
  </si>
  <si>
    <t>ESP. CABECEIRA 1480X800X30 D13</t>
  </si>
  <si>
    <t>926140132</t>
  </si>
  <si>
    <t>ESP. CABECEIRA 1480X200X10 D13</t>
  </si>
  <si>
    <t>926140133</t>
  </si>
  <si>
    <t>ESP. CABECEIRA 1920X150X20 D13</t>
  </si>
  <si>
    <t>926160130</t>
  </si>
  <si>
    <t>ESP. CABECEIRA 1680X800X30 D13</t>
  </si>
  <si>
    <t>926160131</t>
  </si>
  <si>
    <t>ESP. CABECEIRA 1680X200X10 D13</t>
  </si>
  <si>
    <t>926160132</t>
  </si>
  <si>
    <t>ESP. CABECEIRA 2020X150X20 D13</t>
  </si>
  <si>
    <t>931000130</t>
  </si>
  <si>
    <t>ESP. CABECEIRA BASE 490X70X30 D13</t>
  </si>
  <si>
    <t>931000131</t>
  </si>
  <si>
    <t>ESP. CABECEIRA 990X600X30 D13</t>
  </si>
  <si>
    <t>93100903</t>
  </si>
  <si>
    <t>ESP. CABECEIRA 890X600X30 D13 - MIAMI 0,90</t>
  </si>
  <si>
    <t>93100904</t>
  </si>
  <si>
    <t>ESP. CABECEIRA FITA 1400X140X10 D13 - MIAMI 0,90</t>
  </si>
  <si>
    <t>931040131</t>
  </si>
  <si>
    <t>ESP. CABECEIRA 1390X590X30 D13</t>
  </si>
  <si>
    <t>931040132</t>
  </si>
  <si>
    <t>ESP. CABECEIRA BASE 500X70X30 D13</t>
  </si>
  <si>
    <t>931060130</t>
  </si>
  <si>
    <t>ESP. CABECEIRA FITA 1900X140X10 D13</t>
  </si>
  <si>
    <t>931060131</t>
  </si>
  <si>
    <t>ESP. CABECEIRA 1590X590X30 D13</t>
  </si>
  <si>
    <t>931100130</t>
  </si>
  <si>
    <t>ESP. CABECEIRA 990X590X25 D13</t>
  </si>
  <si>
    <t>931140130</t>
  </si>
  <si>
    <t>ESP. CABECEIRA BASE 500X70X25 D13</t>
  </si>
  <si>
    <t>931140131</t>
  </si>
  <si>
    <t>ESP. CABECEIRA 1390X590X25 D13</t>
  </si>
  <si>
    <t>931160131</t>
  </si>
  <si>
    <t>ESP. CABECEIRA 1590X590X25 D13</t>
  </si>
  <si>
    <t>931190130</t>
  </si>
  <si>
    <t>ESP. CABECEIRA BASE 430X70X30 D13</t>
  </si>
  <si>
    <t>931190131</t>
  </si>
  <si>
    <t>ESP. CABECEIRA 1940X660X30 D13</t>
  </si>
  <si>
    <t>931190132</t>
  </si>
  <si>
    <t>ESP. CABECEIRA 1940X590X30 D13</t>
  </si>
  <si>
    <t>941100130</t>
  </si>
  <si>
    <t>ESP. CABECEIRA 400X130X25 D13</t>
  </si>
  <si>
    <t>941100131</t>
  </si>
  <si>
    <t>ESP. CABECEIRA 990X150X25 D13</t>
  </si>
  <si>
    <t>941100132</t>
  </si>
  <si>
    <t>ESP. CABECEIRA PAINEL 750X400X25 D13</t>
  </si>
  <si>
    <t>941140130</t>
  </si>
  <si>
    <t>ESP. CABECEIRA BASE 400X70X25 D13</t>
  </si>
  <si>
    <t>941140131</t>
  </si>
  <si>
    <t>ESP. CABECEIRA 1390X150X25 D13</t>
  </si>
  <si>
    <t>941140132</t>
  </si>
  <si>
    <t>ESP. CABECEIRA PAINEL 1150X400X25 D13</t>
  </si>
  <si>
    <t>941160131</t>
  </si>
  <si>
    <t>ESP. CABECEIRA 1590X150X25 D13</t>
  </si>
  <si>
    <t>941160132</t>
  </si>
  <si>
    <t>ESP. CABECEIRA PAINEL 1350X400X25 D13</t>
  </si>
  <si>
    <t>951100130</t>
  </si>
  <si>
    <t>ESP. CABECEIRA 920X250X10 D13</t>
  </si>
  <si>
    <t>951100131</t>
  </si>
  <si>
    <t>ESP. CABECEIRA PAINEL 960X490X30 D13</t>
  </si>
  <si>
    <t>951140131</t>
  </si>
  <si>
    <t>ESP. CABECEIRA PAINEL 1370X500X30 D13</t>
  </si>
  <si>
    <t>951160131</t>
  </si>
  <si>
    <t>ESP. CABECEIRA PAINEL 1570X500X30 D13</t>
  </si>
  <si>
    <t>951190130</t>
  </si>
  <si>
    <t>ESP. CABECEIRA 1870X250X10 D13</t>
  </si>
  <si>
    <t>951190131</t>
  </si>
  <si>
    <t>ESP. CABECEIRA PAINEL 1920X500X30 D13</t>
  </si>
  <si>
    <t>951190132</t>
  </si>
  <si>
    <t>ESP. CABECEIRA FITA 2050X140X10 D13</t>
  </si>
  <si>
    <t>95510003</t>
  </si>
  <si>
    <t>PAINEL 960X480X09 MDP - CAB MUNIQUE</t>
  </si>
  <si>
    <t>980105131</t>
  </si>
  <si>
    <t>ESP. PAINEL 1010X550X30 D13</t>
  </si>
  <si>
    <t>980140161</t>
  </si>
  <si>
    <t>ESP. BAÚ 1400X520X30 D20</t>
  </si>
  <si>
    <t>980145131</t>
  </si>
  <si>
    <t>ESP. PAINEL 1410X550X30 D13</t>
  </si>
  <si>
    <t>980160161</t>
  </si>
  <si>
    <t>ESP. BAU 1620X520X30 D20</t>
  </si>
  <si>
    <t>980165131</t>
  </si>
  <si>
    <t>ESP. PAINEL 1610X550X30 D13</t>
  </si>
  <si>
    <t>980190161</t>
  </si>
  <si>
    <t>ESP. BAÚ 1950X520X30 D20</t>
  </si>
  <si>
    <t>981840160</t>
  </si>
  <si>
    <t>ESP. BAU 1450X520X20 D20</t>
  </si>
  <si>
    <t>981840161</t>
  </si>
  <si>
    <t>ESP. BAU 1340X450X20 D20</t>
  </si>
  <si>
    <t>981840162</t>
  </si>
  <si>
    <t>ESP. BAU 450X60X10 D13</t>
  </si>
  <si>
    <t>981840163</t>
  </si>
  <si>
    <t>ESP. BAU 1400X60X10 D13</t>
  </si>
  <si>
    <t>981860160</t>
  </si>
  <si>
    <t>ESP. BAU 1650X520X20 D20</t>
  </si>
  <si>
    <t>981860161</t>
  </si>
  <si>
    <t>ESP. BAU 1540X450X20 D20</t>
  </si>
  <si>
    <t>981860163</t>
  </si>
  <si>
    <t>ESP. BAU 1600X60X10 D13</t>
  </si>
  <si>
    <t>98616005</t>
  </si>
  <si>
    <t>PAINEL 1100X105X09 MDP - CAB IMOLA</t>
  </si>
  <si>
    <t>98904001</t>
  </si>
  <si>
    <t>PÉ SOMMIER ISTAMBUL 1,40 - 12 MDP</t>
  </si>
  <si>
    <t>98904002</t>
  </si>
  <si>
    <t>LATERAL PÉ 90X250X12 MDP - SOMMIER ISTAMBUL 1,40</t>
  </si>
  <si>
    <t>98904003</t>
  </si>
  <si>
    <t>FRENTE PÉ 1300X250X12 MDP - SOMMIER ISTAMBUL 1,40</t>
  </si>
  <si>
    <t>98904004</t>
  </si>
  <si>
    <t>REFORÇO PÉ 90X238X12 MDP - SOMMIER ISTAMBUL 1,40</t>
  </si>
  <si>
    <t>98904005</t>
  </si>
  <si>
    <t>REFORÇO PÉ 1276X90X12 MDP - SOMMIER ISTAMBUL 1,40</t>
  </si>
  <si>
    <t>98906001</t>
  </si>
  <si>
    <t>PÉ SOMMIER ISTAMBUL 1,60 - 12 MDP</t>
  </si>
  <si>
    <t>98906003</t>
  </si>
  <si>
    <t>FRENTE PÉ 1500X250X12 MDP - SOMMIER ISTAMBUL 1,40</t>
  </si>
  <si>
    <t>98906005</t>
  </si>
  <si>
    <t>REFORÇO PÉ 1476X90X12 MDP - SOMMIER ISTAMBUL 1,40</t>
  </si>
  <si>
    <t>98914023</t>
  </si>
  <si>
    <t>PAINEL 850X100X09 MDP - CAB IMOLA</t>
  </si>
  <si>
    <t>9900010331</t>
  </si>
  <si>
    <t>ESPUMA PAINEL FRONTAL 1720X280X10 D13 - LINEA</t>
  </si>
  <si>
    <t>9900010341</t>
  </si>
  <si>
    <t>ESPUMA PAINEL LATERAL 2020X280X10 D13 - LINEA</t>
  </si>
  <si>
    <t>990001037</t>
  </si>
  <si>
    <t>ESTRUTURA CADEIRA MADEIRA TP.01 - TOPAZIO</t>
  </si>
  <si>
    <t>MADEIRA</t>
  </si>
  <si>
    <t>99010005</t>
  </si>
  <si>
    <t>ESPUMA CASCÃO 550X210X30 D30 - PAINEL MODULADO</t>
  </si>
  <si>
    <t>Data</t>
  </si>
  <si>
    <t>Produtos totais</t>
  </si>
  <si>
    <t>m² total cortado</t>
  </si>
  <si>
    <t>Chapas totais estimadas</t>
  </si>
  <si>
    <t>Peças totais</t>
  </si>
  <si>
    <t>Produtos diferentes</t>
  </si>
  <si>
    <t>Item</t>
  </si>
  <si>
    <t>Produto agregado / completo</t>
  </si>
  <si>
    <t>Qtde produtos</t>
  </si>
  <si>
    <t>Peças unit.</t>
  </si>
  <si>
    <t>m² unit.</t>
  </si>
  <si>
    <t>m² do lote</t>
  </si>
  <si>
    <t>IDX</t>
  </si>
  <si>
    <t>Qtde prod.</t>
  </si>
  <si>
    <t>Peça</t>
  </si>
  <si>
    <t>Comp. (m)</t>
  </si>
  <si>
    <t>Larg. (m)</t>
  </si>
  <si>
    <t>Esp. (mm)</t>
  </si>
  <si>
    <t>Material</t>
  </si>
  <si>
    <t>Tipo chapa</t>
  </si>
  <si>
    <t>Qtde peça/prod.</t>
  </si>
  <si>
    <t>Qtde peças lote</t>
  </si>
  <si>
    <t>m² lote</t>
  </si>
  <si>
    <t>Produto original</t>
  </si>
  <si>
    <t>Medida chapa</t>
  </si>
  <si>
    <t>m² cortado</t>
  </si>
  <si>
    <t>Comp. chapa (m)</t>
  </si>
  <si>
    <t>Larg. chapa (m)</t>
  </si>
  <si>
    <t>Aproveit.</t>
  </si>
  <si>
    <t>m² útil/chapa</t>
  </si>
  <si>
    <t>Qtde chapas usadas</t>
  </si>
  <si>
    <t>MDF 9mm</t>
  </si>
  <si>
    <t>CADEIRA PÉ INTEIRO</t>
  </si>
  <si>
    <t>MDF 25mm</t>
  </si>
  <si>
    <t>MESA MIAMI 160</t>
  </si>
  <si>
    <t>MDF 18mm</t>
  </si>
  <si>
    <t>MESA MIAMI 120</t>
  </si>
  <si>
    <t>MDF 15mm</t>
  </si>
  <si>
    <t>BASE DUBLIN</t>
  </si>
  <si>
    <t>MDP 12mm</t>
  </si>
  <si>
    <t>MDP 9mm</t>
  </si>
  <si>
    <t>MDP 15mm</t>
  </si>
  <si>
    <t>MDP 25mm</t>
  </si>
  <si>
    <t>HDF 9mm</t>
  </si>
  <si>
    <t>MDF 3mm</t>
  </si>
  <si>
    <t>TOTAL DO LOTE</t>
  </si>
  <si>
    <t>Produto Agrupado</t>
  </si>
  <si>
    <t>Produto Original</t>
  </si>
  <si>
    <t>Comprimento (m)</t>
  </si>
  <si>
    <t>Largura (m)</t>
  </si>
  <si>
    <t>Espessura (mm)</t>
  </si>
  <si>
    <t>Tipo Chapa</t>
  </si>
  <si>
    <t>Qtde peça/produto</t>
  </si>
  <si>
    <t>m² peça unit.</t>
  </si>
  <si>
    <t>Qtde produto no lote</t>
  </si>
  <si>
    <t>Qtde peças no lote</t>
  </si>
  <si>
    <t>m² no lote</t>
  </si>
  <si>
    <t>Produto extraído antes do agrupamento</t>
  </si>
  <si>
    <t>PE TRAS 880X30(911)X25 MDF (13PC) ESQ SANTIAGO</t>
  </si>
  <si>
    <t>MDF</t>
  </si>
  <si>
    <t>PE TRAS 880X30(911)X25 MDF (13PC) DIR SANTIAGO</t>
  </si>
  <si>
    <t>PE FRONTAL 430X(108)51X25 MDF (DIR) SANTIAGO</t>
  </si>
  <si>
    <t>TRAVESSA ASSENTO 360X70X18 MDF</t>
  </si>
  <si>
    <t>TRAVESSA LATERAL 340X70X18 MDF</t>
  </si>
  <si>
    <t>MOLDURA ENCOSTO 445X280X15 MDF</t>
  </si>
  <si>
    <t>MDP</t>
  </si>
  <si>
    <t>LAT ASSENTO 430X80X18 MDF CAD PE INTEIRO</t>
  </si>
  <si>
    <t>TRAV ASSENTO 367X80X15 MDP CAD PE INTEIRO</t>
  </si>
  <si>
    <t>PÉ FRONTAL 441X65(911)X25 MDF (16PÇS) - CAD PÉ</t>
  </si>
  <si>
    <t>PE TRASEIRO 920X65(911)X25 MDF (11PCS)- CAD PE IN</t>
  </si>
  <si>
    <t>(3) TRAV.MENOR 610X100X15 MDP-MESA MIAMI 1,37X0,</t>
  </si>
  <si>
    <t>(2)TRAV.MAIOR 1442X100X15 MDP-MESA MIAMI 1,60X0,</t>
  </si>
  <si>
    <t>TRAVESSA MAIOR 1030X100X15 MDP-MESA MIAMI</t>
  </si>
  <si>
    <t>RAV.MENOR 610X100X15 MDP-MESA MIAM</t>
  </si>
  <si>
    <t>TAMPO C/ MOLDURA 1,03 X 1,03 - SANTIAGO</t>
  </si>
  <si>
    <t>TAMPO C/ MOLDURA 1,60 X 0,90 - AMSTERDAM</t>
  </si>
  <si>
    <t>2002002</t>
  </si>
  <si>
    <t>TAMPO LIGHT 1360X900X18 - VITREO</t>
  </si>
  <si>
    <t>2002052</t>
  </si>
  <si>
    <t>TAMPO LIGHT 1600X900X18 - VITREO</t>
  </si>
  <si>
    <t>2002112</t>
  </si>
  <si>
    <t>TAMPO LIGHT 1800X900X18 - VITREO</t>
  </si>
  <si>
    <t>2002133</t>
  </si>
  <si>
    <t>TAMPO LIGHT PLUS 1360X900X15 - VITREO</t>
  </si>
  <si>
    <t>2002162</t>
  </si>
  <si>
    <t>TAMPO C/ VIDRO LIGHT 1600X900X18MM</t>
  </si>
  <si>
    <t>2002163</t>
  </si>
  <si>
    <t>TAMPO LIGHT PLUS 1600X900X15 - VITREO</t>
  </si>
  <si>
    <t>2002182</t>
  </si>
  <si>
    <t>TAMPO C/ VIDRO LIGHT 1800X900X18MM</t>
  </si>
  <si>
    <t>200286</t>
  </si>
  <si>
    <t>TAMPO OVAL 1600X900X18 - VITREO</t>
  </si>
  <si>
    <t>200288</t>
  </si>
  <si>
    <t>TAMPO OVAL 1800X900X18 - VITREO</t>
  </si>
  <si>
    <t>200296</t>
  </si>
  <si>
    <t>TAMPO OVAL 1600X900X18 - C/VIDRO</t>
  </si>
  <si>
    <t>200298</t>
  </si>
  <si>
    <t>TAMPO OVAL 1800X900X18 - C/VIDRO</t>
  </si>
  <si>
    <t>2003132</t>
  </si>
  <si>
    <t>TAMPO C/ VIDRO LIGHT PLUS 1360X900X15MM</t>
  </si>
  <si>
    <t>2003162</t>
  </si>
  <si>
    <t>TAMPO C/ VIDRO LIGHT PLUS 1600X900X15MM</t>
  </si>
  <si>
    <t>2005002</t>
  </si>
  <si>
    <t>TAMPO REDONDO 1030X1030X25 - VITREO</t>
  </si>
  <si>
    <t>2005012</t>
  </si>
  <si>
    <t>TAMPO MESA TURIM 1030X1030 VOL 2/2</t>
  </si>
  <si>
    <t>2005102</t>
  </si>
  <si>
    <t>TAMPO REDONDO LIGHT 1030X1030X18 - VITREO</t>
  </si>
  <si>
    <t>2005212</t>
  </si>
  <si>
    <t>TAMPO LIGHT 900X900X18 - VITREO</t>
  </si>
  <si>
    <t>2005222</t>
  </si>
  <si>
    <t>TAMPO LIGHT 1200X900X18 - VITREO</t>
  </si>
  <si>
    <t>2005302</t>
  </si>
  <si>
    <t>TAMPO REDONDO C/ VIDRO LIGHT 1030X1030X18</t>
  </si>
  <si>
    <t>2005312</t>
  </si>
  <si>
    <t>TAMPO C/ VIDRO LIGHT 900X900X18MM</t>
  </si>
  <si>
    <t>2005322</t>
  </si>
  <si>
    <t>TAMPO C/ VIDRO LIGHT 1200X900X18MM</t>
  </si>
  <si>
    <t>2005342</t>
  </si>
  <si>
    <t>TAMPO C/ VIDRO LIGHT 1360X900X18MM</t>
  </si>
  <si>
    <t>2005802</t>
  </si>
  <si>
    <t>TAMPO REDONDO C/ VIDRO 1030X1030X25</t>
  </si>
  <si>
    <t>2005822</t>
  </si>
  <si>
    <t>TAMPO C/ VIDRO 1200X900X25MM</t>
  </si>
  <si>
    <t>2005842</t>
  </si>
  <si>
    <t>TAMPO C/ VIDRO 1360X900X25MM</t>
  </si>
  <si>
    <t>2005862</t>
  </si>
  <si>
    <t>TAMPO C/ VIDRO 1600X900X25MM</t>
  </si>
  <si>
    <t>2005882</t>
  </si>
  <si>
    <t>TAMPO C/ VIDRO 1800X900X25MM</t>
  </si>
  <si>
    <t>2005892</t>
  </si>
  <si>
    <t>TAMPO C/ VIDRO 1360X1360X25MM</t>
  </si>
  <si>
    <t>2006132</t>
  </si>
  <si>
    <t>TAMPO (R100) C/ VIDRO LIGHT 2000X900X18</t>
  </si>
  <si>
    <t>2006402</t>
  </si>
  <si>
    <t>TAMPO C/ VIDRO 1360X900X25MM SAFIRA</t>
  </si>
  <si>
    <t>2006403</t>
  </si>
  <si>
    <t>TAMPO 1360X900X25MM SAFIRA</t>
  </si>
  <si>
    <t>2006404</t>
  </si>
  <si>
    <t>TAMPO C/ VIDRO 1360X900X18MM SAFIRA</t>
  </si>
  <si>
    <t>2006412</t>
  </si>
  <si>
    <t>TAMPO C/ VIDRO 1600X900X25MM SAFIRA</t>
  </si>
  <si>
    <t>2006413</t>
  </si>
  <si>
    <t>TAMPO 1600X900X25MM SAFIRA</t>
  </si>
  <si>
    <t>2006414</t>
  </si>
  <si>
    <t>TAMPO C/ VIDRO 1600X900X18MM SAFIRA</t>
  </si>
  <si>
    <t>2006422</t>
  </si>
  <si>
    <t>TAMPO C/ VIDRO 1800X900X25MM SAFIRA</t>
  </si>
  <si>
    <t>2006423</t>
  </si>
  <si>
    <t>TAMPO 1800X900X25MM SAFIRA</t>
  </si>
  <si>
    <t>2006424</t>
  </si>
  <si>
    <t>TAMPO C/ VIDRO 1800X900X18MM SAFIRA</t>
  </si>
  <si>
    <t>2008302</t>
  </si>
  <si>
    <t>TAMPO (R100) LIGHT 1360X900X18 - VITREO</t>
  </si>
  <si>
    <t>2008322</t>
  </si>
  <si>
    <t>TAMPO (R100) C/ VIDRO LIGHT 1360X900X18</t>
  </si>
  <si>
    <t>2008602</t>
  </si>
  <si>
    <t>TAMPO (R100) LIGHT 1600X900X18 - VITREO</t>
  </si>
  <si>
    <t>2008622</t>
  </si>
  <si>
    <t>TAMPO (R100) C/ VIDRO LIGHT 1600X900X18</t>
  </si>
  <si>
    <t>2008802</t>
  </si>
  <si>
    <t>TAMPO (R100) LIGHT 1800X900X18 - VITREO</t>
  </si>
  <si>
    <t>2008822</t>
  </si>
  <si>
    <t>TAMPO (R100) C/ VIDRO LIGHT 1800X900X18</t>
  </si>
  <si>
    <t>3003002</t>
  </si>
  <si>
    <t>TAMPO 1800X900X25 - VITREO</t>
  </si>
  <si>
    <t>3003202</t>
  </si>
  <si>
    <t>TAMPO 1200X900X25 - VITREO</t>
  </si>
  <si>
    <t>3003402</t>
  </si>
  <si>
    <t>TAMPO 1360X900X25 - VITREO</t>
  </si>
  <si>
    <t>3003602</t>
  </si>
  <si>
    <t>TAMPO 1600X900X25 - VITREO</t>
  </si>
  <si>
    <t>3008002</t>
  </si>
  <si>
    <t>TAMPO C/ PRATO GIRATORIO 1,36 X 1,36</t>
  </si>
  <si>
    <t>3010402</t>
  </si>
  <si>
    <t>TAMPO (R100) 1360X900X25 - VITREO</t>
  </si>
  <si>
    <t>3010442</t>
  </si>
  <si>
    <t>TAMPO (R100) C/ VIDRO 1360X900X25</t>
  </si>
  <si>
    <t>3010602</t>
  </si>
  <si>
    <t>TAMPO (R100) 1600X900X25 - VITREO</t>
  </si>
  <si>
    <t>3010642</t>
  </si>
  <si>
    <t>TAMPO (R100) C/ VIDRO 1600X900X25</t>
  </si>
  <si>
    <t>3010802</t>
  </si>
  <si>
    <t>TAMPO (R100) 1800X900X25 - VITREO</t>
  </si>
  <si>
    <t>3010842</t>
  </si>
  <si>
    <t>TAMPO (R100) C/ VIDRO 1800X900X25</t>
  </si>
  <si>
    <t>BASE DUBLIN 136</t>
  </si>
  <si>
    <t>BASE BILBAO 136</t>
  </si>
  <si>
    <t>Produto agregado</t>
  </si>
  <si>
    <t>Peças unitárias</t>
  </si>
  <si>
    <t>m² unitário/produto</t>
  </si>
  <si>
    <t>Tipos de chapa usados</t>
  </si>
  <si>
    <t>Nomes originais agregados</t>
  </si>
  <si>
    <t>BASE BILBAO</t>
  </si>
  <si>
    <t>MDP 12mm,MDF 25mm</t>
  </si>
  <si>
    <t>BAU MALAGA</t>
  </si>
  <si>
    <t>MDP 9mm, MDF 18mm, MDP 15mm, MDF 25mm</t>
  </si>
  <si>
    <t>MDP 15mm,MDP 12mm, MDF 15mm</t>
  </si>
  <si>
    <t>BASE DUBLIN 160</t>
  </si>
  <si>
    <t>BASE DUBLIN 103</t>
  </si>
  <si>
    <t>BASE BILBAO 160/180</t>
  </si>
  <si>
    <t>APOIO 336X115X12 MDP - BASE BILBAO</t>
  </si>
  <si>
    <t>MOLDURA 962X755X15 MDF-BASE BILBAO 1,60/1,8</t>
  </si>
  <si>
    <t>LATERAL 778X336X12 MDP - BASE BILBAO</t>
  </si>
  <si>
    <t>TRAVA 386X336X12 MDP - BASE BILBAO 1,60/1,80</t>
  </si>
  <si>
    <t>FECHAMENTO 640X348X03 MDF - BASE BILBAO</t>
  </si>
  <si>
    <t>MDP 12mm, MDF 3mm, MDF 15mm</t>
  </si>
  <si>
    <t>BASE AMSTERDAM 136</t>
  </si>
  <si>
    <t>BASE 620X620X12 MDP - MESA ASMT. 1,36X1,36</t>
  </si>
  <si>
    <t>LAT. DA BASE 750X565X12 MDP-MESA AMST.1,36</t>
  </si>
  <si>
    <t>MDF 12mm</t>
  </si>
  <si>
    <t>LAT. C/FRISO 750X590X12 MDF-MESA AMST.1,36</t>
  </si>
  <si>
    <t>MDP 12mm, MDF 12mm</t>
  </si>
  <si>
    <t>BASE DUBAI 160</t>
  </si>
  <si>
    <t>LATERAL 1180X92X15 MDF - BASE DUBAI</t>
  </si>
  <si>
    <t>FECHAMENTO I 1090X295X12 MDF - BASE DUBAI</t>
  </si>
  <si>
    <t>FECHAMENTO IV 453X327X12 MDF - BASE DUBAI</t>
  </si>
  <si>
    <t>FECHAMENTO III 545X327X12 MDF - BASE DUBA</t>
  </si>
  <si>
    <t>FECHAMENTO II 600X295X12 MDF - BASE DUBAI</t>
  </si>
  <si>
    <t>MDF 12mm, MDF 15mm</t>
  </si>
  <si>
    <t>MDF 15mm, MDF 18mm, MDF 25mm</t>
  </si>
  <si>
    <t>MDF 15mm, MDF 12mm, MDF 18mm</t>
  </si>
  <si>
    <t>TRAV.MAIOR 980X65(135)X15 MDF-TAMPO AMST.1,03</t>
  </si>
  <si>
    <t>TRAV. MENOR 850X65X15 MDF - TAMPO AMST. 1,03</t>
  </si>
  <si>
    <t>MOLDURA 1030X515X15 MDF - TAMPO AMST. 1,03</t>
  </si>
  <si>
    <t>TAMPO 1030X1030X15 MDF - TAMPO AMST. 1,03</t>
  </si>
  <si>
    <t>MESA TURIM VOL1/2</t>
  </si>
  <si>
    <t>MESA TURIM VOL1/3</t>
  </si>
  <si>
    <t>MESA TURIM VOL1/4</t>
  </si>
  <si>
    <t>MESA TURIM VOL1/5</t>
  </si>
  <si>
    <t>MDP 15mm, MDF 12mm</t>
  </si>
  <si>
    <t>MESA PADUA 90/136 VOL1</t>
  </si>
  <si>
    <t>MESA PADUA 160 VOL1</t>
  </si>
  <si>
    <t>MESA PADUA 90 VOL2</t>
  </si>
  <si>
    <t>MESA PADUA 136 VOL2</t>
  </si>
  <si>
    <t>MESA PADUA 160 VOL2</t>
  </si>
  <si>
    <t>MDP 12mm, MDP 15mm</t>
  </si>
  <si>
    <t xml:space="preserve">MDP </t>
  </si>
  <si>
    <t>BASE CATEDRAL 103 VOL1</t>
  </si>
  <si>
    <t>BASE CATEDRAL 160/180 VOL1</t>
  </si>
  <si>
    <t>BASE REDONDA 500X500X18 MDF - MESA CATEDRA</t>
  </si>
  <si>
    <t>GENOVA TAMPO ENGROSSADO 136 VOL2</t>
  </si>
  <si>
    <t>GENOVA TAMPO ENGROSSADO C/VIDRO 136 VOL2</t>
  </si>
  <si>
    <t>BASE GENOVA 160 VOL1</t>
  </si>
  <si>
    <t>GENOVA TAMPO ENGROSSADO 160</t>
  </si>
  <si>
    <t>GENOVA TAMPO ENGROSSADO C/VIDRO 160 VOL2</t>
  </si>
  <si>
    <t>GENOVA TAMPO ENGROSSADO 180</t>
  </si>
  <si>
    <t>GENOVA TAMPO ENGORSSADO C/VIDRO 180</t>
  </si>
  <si>
    <t>MDP 25mm,MDF 15mm</t>
  </si>
  <si>
    <t xml:space="preserve">BASE GENOVA 180 VOL1 </t>
  </si>
  <si>
    <t>TAMPO 1600X900X15 MDF - TAMPO C/ENGROSSO R10</t>
  </si>
  <si>
    <t>MDP 25mm, MDF 18mm</t>
  </si>
  <si>
    <t>BASE GENOVA 136/ 160 VOL1</t>
  </si>
  <si>
    <t>MESA NOVA YORK 120</t>
  </si>
  <si>
    <t>MESA NOVA YORK 136</t>
  </si>
  <si>
    <t>MESA NOVA YORK 160</t>
  </si>
  <si>
    <t>PE MAIOR 800(818)X100(169)X15 MDF - NOVA YORK</t>
  </si>
  <si>
    <t>PE MENOR 800(818)X84(138)X15 MDF - NOVA YORK</t>
  </si>
  <si>
    <t>TRAV MAIOR 942(952)X100X15 MDP-NOVA YORK 1,2</t>
  </si>
  <si>
    <t>TRAV MENOR 614(624)X100X15 MDP-NOVA YORK 1,2</t>
  </si>
  <si>
    <t>MDP 15mm, MDF 15mm</t>
  </si>
  <si>
    <t>TRAV MENOR 614(624)X100X15 MDP-NOVA YORK</t>
  </si>
  <si>
    <t>TRAV MAIOR 1102(1112)X100X15 MDP - NOVA YORK</t>
  </si>
  <si>
    <t>TRAV MAIOR 1342(1352)X100X15 MDP-NOVA YORK</t>
  </si>
  <si>
    <t>MESA ATHENAS 120/135 VOL1</t>
  </si>
  <si>
    <t>MESA ATHENAS VOL1</t>
  </si>
  <si>
    <t>APOIO TAMPO 740X440X12 MDP - MESA ATHENAS</t>
  </si>
  <si>
    <t>BASE MAIOR 742X124X25 MDF - MESA ATHENAS 1,2</t>
  </si>
  <si>
    <t>BASE MENOR 446(220)X124X25 MDF-MESA ATHENAS</t>
  </si>
  <si>
    <t>APOIO TAMPO 540X386X12 MDP - MESA ATHENAS</t>
  </si>
  <si>
    <t>BASE MENOR 386 (189)X124X25 MDF - MESA ATHENA</t>
  </si>
  <si>
    <t>MDP 12mm, MDF 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</si>
</sst>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Calibri"/>
      <family val="2"/>
      <charset val="1"/>
    </font>
    <font>
      <b/>
      <sz val="11"/>
      <color rgb="FF000080"/>
      <name val="Calibri"/>
      <family val="2"/>
      <charset val="1"/>
    </font>
    <font>
      <b/>
      <sz val="10"/>
      <color rgb="FF595959"/>
      <name val="Calibri"/>
      <family val="2"/>
      <charset val="1"/>
    </font>
    <font>
      <b/>
      <sz val="11"/>
      <color rgb="FF1F1F1F"/>
      <name val="Calibri"/>
      <family val="2"/>
      <charset val="1"/>
    </font>
    <font>
      <sz val="10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1F1F1F"/>
      <name val="Calibri"/>
      <family val="2"/>
      <charset val="1"/>
    </font>
    <font>
      <b/>
      <sz val="10"/>
      <color rgb="FF1F4E79"/>
      <name val="Calibri"/>
      <family val="2"/>
      <charset val="1"/>
    </font>
    <font>
      <sz val="10"/>
      <color rgb="FF1F1F1F"/>
      <name val="Calibri"/>
      <family val="2"/>
      <charset val="1"/>
    </font>
    <font>
      <b/>
      <sz val="10"/>
      <color rgb="FF375623"/>
      <name val="Calibri"/>
      <family val="2"/>
      <charset val="1"/>
    </font>
    <font>
      <i/>
      <sz val="10"/>
      <color rgb="FF595959"/>
      <name val="Calibri"/>
      <family val="2"/>
      <charset val="1"/>
    </font>
    <font>
      <sz val="10"/>
      <name val="Arial"/>
      <family val="2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sz val="9"/>
      <name val="Calibri"/>
      <family val="2"/>
      <charset val="1"/>
    </font>
    <font>
      <sz val="7"/>
      <name val="Arial"/>
      <family val="2"/>
      <charset val="1"/>
    </font>
    <font>
      <sz val="7"/>
      <color rgb="FF000000"/>
      <name val="Arial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 vertical="center" wrapText="1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12" fillId="0" borderId="0" xfId="0" applyFont="1"/>
    <xf numFmtId="0" fontId="8" fillId="0" borderId="0" xfId="0" applyFont="1" applyAlignment="1">
      <alignment horizontal="right" vertical="center"/>
    </xf>
    <xf numFmtId="0" fontId="13" fillId="0" borderId="1" xfId="0" applyFont="1" applyBorder="1" applyAlignment="1">
      <alignment horizontal="left" vertical="top" shrinkToFit="1"/>
    </xf>
    <xf numFmtId="0" fontId="13" fillId="0" borderId="1" xfId="0" applyFont="1" applyBorder="1" applyAlignment="1">
      <alignment vertical="top" shrinkToFit="1"/>
    </xf>
    <xf numFmtId="0" fontId="14" fillId="0" borderId="1" xfId="0" applyFont="1" applyBorder="1" applyAlignment="1">
      <alignment vertical="top" wrapText="1"/>
    </xf>
    <xf numFmtId="0" fontId="13" fillId="0" borderId="1" xfId="0" applyFont="1" applyBorder="1" applyAlignment="1">
      <alignment horizontal="right" vertical="top" shrinkToFit="1"/>
    </xf>
    <xf numFmtId="0" fontId="15" fillId="0" borderId="1" xfId="0" applyFont="1" applyBorder="1" applyAlignment="1">
      <alignment vertical="top" wrapText="1"/>
    </xf>
    <xf numFmtId="0" fontId="13" fillId="0" borderId="0" xfId="0" applyFont="1" applyAlignment="1">
      <alignment horizontal="left" vertical="top" shrinkToFit="1"/>
    </xf>
    <xf numFmtId="0" fontId="14" fillId="0" borderId="0" xfId="0" applyFont="1" applyAlignment="1">
      <alignment vertical="top" wrapText="1"/>
    </xf>
    <xf numFmtId="0" fontId="0" fillId="0" borderId="0" xfId="0" applyAlignment="1">
      <alignment horizontal="left"/>
    </xf>
    <xf numFmtId="0" fontId="13" fillId="0" borderId="0" xfId="0" applyFont="1"/>
    <xf numFmtId="0" fontId="16" fillId="0" borderId="1" xfId="0" applyFont="1" applyBorder="1" applyAlignment="1">
      <alignment horizontal="right" vertical="top" shrinkToFit="1"/>
    </xf>
    <xf numFmtId="0" fontId="10" fillId="0" borderId="0" xfId="0" applyFont="1" applyAlignment="1">
      <alignment vertical="center" wrapText="1"/>
    </xf>
    <xf numFmtId="0" fontId="15" fillId="0" borderId="0" xfId="0" applyFont="1" applyFill="1" applyBorder="1" applyAlignment="1">
      <alignment vertical="top" wrapText="1"/>
    </xf>
    <xf numFmtId="0" fontId="14" fillId="0" borderId="0" xfId="0" applyFont="1" applyBorder="1" applyAlignment="1">
      <alignment vertical="top" wrapText="1"/>
    </xf>
    <xf numFmtId="2" fontId="6" fillId="0" borderId="0" xfId="0" applyNumberFormat="1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808080"/>
      </font>
      <fill>
        <patternFill>
          <bgColor rgb="FFF2F2F2"/>
        </patternFill>
      </fill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7"/>
  <sheetViews>
    <sheetView zoomScaleNormal="100" workbookViewId="0"/>
  </sheetViews>
  <sheetFormatPr defaultColWidth="8.6328125" defaultRowHeight="14.25" customHeight="1" x14ac:dyDescent="0.35"/>
  <cols>
    <col min="1" max="1" width="13.36328125" customWidth="1"/>
    <col min="2" max="2" width="54.26953125" customWidth="1"/>
    <col min="3" max="3" width="12.81640625" customWidth="1"/>
    <col min="4" max="4" width="7.08984375" customWidth="1"/>
    <col min="5" max="5" width="6.08984375" customWidth="1"/>
    <col min="6" max="6" width="13.269531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0.75600000000000001</v>
      </c>
      <c r="D2">
        <v>0.33600000000000002</v>
      </c>
      <c r="E2">
        <v>1.4999999999999999E-2</v>
      </c>
      <c r="F2" t="s">
        <v>8</v>
      </c>
    </row>
    <row r="3" spans="1:6" x14ac:dyDescent="0.35">
      <c r="A3" t="s">
        <v>9</v>
      </c>
      <c r="B3" t="s">
        <v>10</v>
      </c>
      <c r="C3">
        <v>1.198</v>
      </c>
      <c r="D3">
        <v>0.33600000000000002</v>
      </c>
      <c r="E3">
        <v>1.2E-2</v>
      </c>
      <c r="F3" t="s">
        <v>8</v>
      </c>
    </row>
    <row r="4" spans="1:6" x14ac:dyDescent="0.35">
      <c r="A4" t="s">
        <v>11</v>
      </c>
      <c r="B4" t="s">
        <v>12</v>
      </c>
      <c r="C4">
        <v>1.163</v>
      </c>
      <c r="D4">
        <v>0.222</v>
      </c>
      <c r="E4">
        <v>1.2E-2</v>
      </c>
      <c r="F4" t="s">
        <v>8</v>
      </c>
    </row>
    <row r="5" spans="1:6" x14ac:dyDescent="0.35">
      <c r="A5" t="s">
        <v>13</v>
      </c>
      <c r="B5" t="s">
        <v>14</v>
      </c>
      <c r="C5">
        <v>1.0980000000000001</v>
      </c>
      <c r="D5">
        <v>6.4000000000000001E-2</v>
      </c>
      <c r="E5">
        <v>1.2E-2</v>
      </c>
      <c r="F5" t="s">
        <v>8</v>
      </c>
    </row>
    <row r="6" spans="1:6" x14ac:dyDescent="0.35">
      <c r="A6" t="s">
        <v>15</v>
      </c>
      <c r="B6" t="s">
        <v>16</v>
      </c>
      <c r="C6">
        <v>0.77</v>
      </c>
      <c r="D6">
        <v>6.5000000000000002E-2</v>
      </c>
      <c r="E6">
        <v>1.2E-2</v>
      </c>
      <c r="F6" t="s">
        <v>8</v>
      </c>
    </row>
    <row r="7" spans="1:6" x14ac:dyDescent="0.35">
      <c r="A7" t="s">
        <v>17</v>
      </c>
      <c r="B7" t="s">
        <v>18</v>
      </c>
      <c r="C7">
        <v>1.077</v>
      </c>
      <c r="D7">
        <v>6.0999999999999999E-2</v>
      </c>
      <c r="E7">
        <v>1.2E-2</v>
      </c>
      <c r="F7" t="s">
        <v>8</v>
      </c>
    </row>
    <row r="8" spans="1:6" x14ac:dyDescent="0.35">
      <c r="A8" t="s">
        <v>19</v>
      </c>
      <c r="B8" t="s">
        <v>20</v>
      </c>
      <c r="C8">
        <v>1.202</v>
      </c>
      <c r="D8">
        <v>0.36199999999999999</v>
      </c>
      <c r="E8">
        <v>1.4999999999999999E-2</v>
      </c>
      <c r="F8" t="s">
        <v>8</v>
      </c>
    </row>
    <row r="9" spans="1:6" x14ac:dyDescent="0.35">
      <c r="A9" t="s">
        <v>21</v>
      </c>
      <c r="B9" t="s">
        <v>22</v>
      </c>
      <c r="C9">
        <v>1.3520000000000001</v>
      </c>
      <c r="D9">
        <v>0.33600000000000002</v>
      </c>
      <c r="E9">
        <v>1.2E-2</v>
      </c>
      <c r="F9" t="s">
        <v>8</v>
      </c>
    </row>
    <row r="10" spans="1:6" x14ac:dyDescent="0.35">
      <c r="A10" t="s">
        <v>23</v>
      </c>
      <c r="B10" t="s">
        <v>24</v>
      </c>
      <c r="C10">
        <v>1.3240000000000001</v>
      </c>
      <c r="D10">
        <v>0.222</v>
      </c>
      <c r="E10">
        <v>1.2E-2</v>
      </c>
      <c r="F10" t="s">
        <v>8</v>
      </c>
    </row>
    <row r="11" spans="1:6" x14ac:dyDescent="0.35">
      <c r="A11" t="s">
        <v>25</v>
      </c>
      <c r="B11" t="s">
        <v>26</v>
      </c>
      <c r="C11">
        <v>1.3520000000000001</v>
      </c>
      <c r="D11">
        <v>6.2E-2</v>
      </c>
      <c r="E11">
        <v>1.2E-2</v>
      </c>
      <c r="F11" t="s">
        <v>8</v>
      </c>
    </row>
    <row r="12" spans="1:6" x14ac:dyDescent="0.35">
      <c r="A12" t="s">
        <v>27</v>
      </c>
      <c r="B12" t="s">
        <v>28</v>
      </c>
      <c r="C12">
        <v>1.232</v>
      </c>
      <c r="D12">
        <v>6.0999999999999999E-2</v>
      </c>
      <c r="E12">
        <v>1.2E-2</v>
      </c>
      <c r="F12" t="s">
        <v>8</v>
      </c>
    </row>
    <row r="13" spans="1:6" x14ac:dyDescent="0.35">
      <c r="A13" t="s">
        <v>29</v>
      </c>
      <c r="B13" t="s">
        <v>30</v>
      </c>
      <c r="C13">
        <v>1.3520000000000001</v>
      </c>
      <c r="D13">
        <v>0.36199999999999999</v>
      </c>
      <c r="E13">
        <v>1.4999999999999999E-2</v>
      </c>
      <c r="F13" t="s">
        <v>8</v>
      </c>
    </row>
    <row r="14" spans="1:6" x14ac:dyDescent="0.35">
      <c r="A14" t="s">
        <v>31</v>
      </c>
      <c r="B14" t="s">
        <v>32</v>
      </c>
      <c r="C14">
        <v>1.36</v>
      </c>
      <c r="D14">
        <v>0.68</v>
      </c>
      <c r="E14">
        <v>1.4999999999999999E-2</v>
      </c>
      <c r="F14" t="s">
        <v>8</v>
      </c>
    </row>
    <row r="15" spans="1:6" x14ac:dyDescent="0.35">
      <c r="A15" t="s">
        <v>33</v>
      </c>
      <c r="B15" t="s">
        <v>34</v>
      </c>
      <c r="C15">
        <v>1.33</v>
      </c>
      <c r="D15">
        <v>0.36</v>
      </c>
      <c r="E15">
        <v>1.4999999999999999E-2</v>
      </c>
      <c r="F15" t="s">
        <v>8</v>
      </c>
    </row>
    <row r="16" spans="1:6" x14ac:dyDescent="0.35">
      <c r="A16" t="s">
        <v>35</v>
      </c>
      <c r="B16" t="s">
        <v>36</v>
      </c>
      <c r="C16">
        <v>0.68</v>
      </c>
      <c r="D16">
        <v>0.36</v>
      </c>
      <c r="E16">
        <v>1.2E-2</v>
      </c>
      <c r="F16" t="s">
        <v>8</v>
      </c>
    </row>
    <row r="17" spans="1:6" x14ac:dyDescent="0.35">
      <c r="A17" t="s">
        <v>37</v>
      </c>
      <c r="B17" t="s">
        <v>38</v>
      </c>
      <c r="C17">
        <v>1.33</v>
      </c>
      <c r="D17">
        <v>7.0000000000000007E-2</v>
      </c>
      <c r="E17">
        <v>1.2E-2</v>
      </c>
      <c r="F17" t="s">
        <v>8</v>
      </c>
    </row>
    <row r="18" spans="1:6" x14ac:dyDescent="0.35">
      <c r="A18" t="s">
        <v>39</v>
      </c>
      <c r="B18" t="s">
        <v>40</v>
      </c>
      <c r="C18">
        <v>0.57999999999999996</v>
      </c>
      <c r="D18">
        <v>0.36</v>
      </c>
      <c r="E18">
        <v>1.4999999999999999E-2</v>
      </c>
      <c r="F18" t="s">
        <v>8</v>
      </c>
    </row>
    <row r="19" spans="1:6" x14ac:dyDescent="0.35">
      <c r="A19" t="s">
        <v>41</v>
      </c>
      <c r="B19" t="s">
        <v>42</v>
      </c>
      <c r="C19">
        <v>0.432</v>
      </c>
      <c r="D19">
        <v>0.34</v>
      </c>
      <c r="E19">
        <v>1.2E-2</v>
      </c>
      <c r="F19" t="s">
        <v>8</v>
      </c>
    </row>
    <row r="20" spans="1:6" x14ac:dyDescent="0.35">
      <c r="A20" t="s">
        <v>43</v>
      </c>
      <c r="B20" t="s">
        <v>44</v>
      </c>
      <c r="C20">
        <v>0.6</v>
      </c>
      <c r="D20">
        <v>0.44500000000000001</v>
      </c>
      <c r="E20">
        <v>1.2E-2</v>
      </c>
      <c r="F20" t="s">
        <v>8</v>
      </c>
    </row>
    <row r="21" spans="1:6" x14ac:dyDescent="0.35">
      <c r="A21" t="s">
        <v>45</v>
      </c>
      <c r="B21" t="s">
        <v>46</v>
      </c>
      <c r="C21">
        <v>0.89600000000000002</v>
      </c>
      <c r="D21">
        <v>0.60399999999999998</v>
      </c>
      <c r="E21">
        <v>3.0000000000000001E-3</v>
      </c>
      <c r="F21" t="s">
        <v>8</v>
      </c>
    </row>
    <row r="22" spans="1:6" x14ac:dyDescent="0.35">
      <c r="A22" t="s">
        <v>47</v>
      </c>
      <c r="B22" t="s">
        <v>48</v>
      </c>
      <c r="C22">
        <v>0.38</v>
      </c>
      <c r="D22">
        <v>2.5000000000000001E-2</v>
      </c>
      <c r="E22">
        <v>2.5000000000000001E-2</v>
      </c>
      <c r="F22" t="s">
        <v>8</v>
      </c>
    </row>
    <row r="23" spans="1:6" x14ac:dyDescent="0.35">
      <c r="A23" t="s">
        <v>49</v>
      </c>
      <c r="B23" t="s">
        <v>50</v>
      </c>
      <c r="C23">
        <v>0.88200000000000001</v>
      </c>
      <c r="D23">
        <v>0.34</v>
      </c>
      <c r="E23">
        <v>1.2E-2</v>
      </c>
      <c r="F23" t="s">
        <v>8</v>
      </c>
    </row>
    <row r="24" spans="1:6" x14ac:dyDescent="0.35">
      <c r="A24" t="s">
        <v>51</v>
      </c>
      <c r="B24" t="s">
        <v>52</v>
      </c>
      <c r="C24">
        <v>0.68</v>
      </c>
      <c r="D24">
        <v>0.36</v>
      </c>
      <c r="E24">
        <v>1.2E-2</v>
      </c>
      <c r="F24" t="s">
        <v>8</v>
      </c>
    </row>
    <row r="25" spans="1:6" x14ac:dyDescent="0.35">
      <c r="A25" t="s">
        <v>53</v>
      </c>
      <c r="B25" t="s">
        <v>54</v>
      </c>
      <c r="C25">
        <v>0.45300000000000001</v>
      </c>
      <c r="D25">
        <v>0.60399999999999998</v>
      </c>
      <c r="E25">
        <v>3.0000000000000001E-3</v>
      </c>
      <c r="F25" t="s">
        <v>8</v>
      </c>
    </row>
    <row r="26" spans="1:6" x14ac:dyDescent="0.35">
      <c r="A26" t="s">
        <v>55</v>
      </c>
      <c r="B26" t="s">
        <v>56</v>
      </c>
      <c r="C26">
        <v>0.44700000000000001</v>
      </c>
      <c r="D26">
        <v>0.19700000000000001</v>
      </c>
      <c r="E26">
        <v>1.2E-2</v>
      </c>
      <c r="F26" t="s">
        <v>8</v>
      </c>
    </row>
    <row r="27" spans="1:6" x14ac:dyDescent="0.35">
      <c r="A27" t="s">
        <v>57</v>
      </c>
      <c r="B27" t="s">
        <v>58</v>
      </c>
      <c r="C27">
        <v>0.39700000000000002</v>
      </c>
      <c r="D27">
        <v>0.30599999999999999</v>
      </c>
      <c r="E27">
        <v>3.0000000000000001E-3</v>
      </c>
      <c r="F27" t="s">
        <v>8</v>
      </c>
    </row>
    <row r="28" spans="1:6" x14ac:dyDescent="0.35">
      <c r="A28" t="s">
        <v>59</v>
      </c>
      <c r="B28" t="s">
        <v>60</v>
      </c>
      <c r="C28">
        <v>1.33</v>
      </c>
      <c r="D28">
        <v>0.36</v>
      </c>
      <c r="E28">
        <v>1.4999999999999999E-2</v>
      </c>
      <c r="F28" t="s">
        <v>8</v>
      </c>
    </row>
    <row r="29" spans="1:6" x14ac:dyDescent="0.35">
      <c r="A29" t="s">
        <v>61</v>
      </c>
      <c r="B29" t="s">
        <v>62</v>
      </c>
      <c r="C29">
        <v>1.33</v>
      </c>
      <c r="D29">
        <v>0.36</v>
      </c>
      <c r="E29">
        <v>1.4999999999999999E-2</v>
      </c>
      <c r="F29" t="s">
        <v>8</v>
      </c>
    </row>
    <row r="30" spans="1:6" x14ac:dyDescent="0.35">
      <c r="A30" t="s">
        <v>63</v>
      </c>
      <c r="B30" t="s">
        <v>64</v>
      </c>
      <c r="C30">
        <v>0.57999999999999996</v>
      </c>
      <c r="D30">
        <v>0.36</v>
      </c>
      <c r="E30">
        <v>1.4999999999999999E-2</v>
      </c>
      <c r="F30" t="s">
        <v>8</v>
      </c>
    </row>
    <row r="31" spans="1:6" x14ac:dyDescent="0.35">
      <c r="A31" t="s">
        <v>65</v>
      </c>
      <c r="B31" t="s">
        <v>66</v>
      </c>
      <c r="C31">
        <v>0.3</v>
      </c>
      <c r="D31">
        <v>0.15</v>
      </c>
      <c r="E31">
        <v>1.2E-2</v>
      </c>
      <c r="F31" t="s">
        <v>8</v>
      </c>
    </row>
    <row r="32" spans="1:6" x14ac:dyDescent="0.35">
      <c r="A32" t="s">
        <v>67</v>
      </c>
      <c r="B32" t="s">
        <v>68</v>
      </c>
      <c r="C32">
        <v>0.38500000000000001</v>
      </c>
      <c r="D32">
        <v>0.128</v>
      </c>
      <c r="E32">
        <v>1.2E-2</v>
      </c>
      <c r="F32" t="s">
        <v>8</v>
      </c>
    </row>
    <row r="33" spans="1:6" x14ac:dyDescent="0.35">
      <c r="A33" t="s">
        <v>69</v>
      </c>
      <c r="B33" t="s">
        <v>70</v>
      </c>
      <c r="C33">
        <v>1.353</v>
      </c>
      <c r="D33">
        <v>0.60499999999999998</v>
      </c>
      <c r="E33">
        <v>3.0000000000000001E-3</v>
      </c>
      <c r="F33" t="s">
        <v>8</v>
      </c>
    </row>
    <row r="34" spans="1:6" x14ac:dyDescent="0.35">
      <c r="A34" t="s">
        <v>71</v>
      </c>
      <c r="B34" t="s">
        <v>72</v>
      </c>
      <c r="C34">
        <v>0.57999999999999996</v>
      </c>
      <c r="D34">
        <v>0.36</v>
      </c>
      <c r="E34">
        <v>1.4999999999999999E-2</v>
      </c>
      <c r="F34" t="s">
        <v>8</v>
      </c>
    </row>
    <row r="35" spans="1:6" x14ac:dyDescent="0.35">
      <c r="A35" t="s">
        <v>73</v>
      </c>
      <c r="B35" t="s">
        <v>74</v>
      </c>
      <c r="C35">
        <v>1.18</v>
      </c>
      <c r="D35">
        <v>9.1999999999999998E-2</v>
      </c>
      <c r="E35">
        <v>1.4999999999999999E-2</v>
      </c>
      <c r="F35" t="s">
        <v>8</v>
      </c>
    </row>
    <row r="36" spans="1:6" x14ac:dyDescent="0.35">
      <c r="A36" t="s">
        <v>75</v>
      </c>
      <c r="B36" t="s">
        <v>76</v>
      </c>
      <c r="C36">
        <v>1.0900000000000001</v>
      </c>
      <c r="D36">
        <v>0.23799999999999999</v>
      </c>
      <c r="E36">
        <v>1.2E-2</v>
      </c>
      <c r="F36" t="s">
        <v>8</v>
      </c>
    </row>
    <row r="37" spans="1:6" x14ac:dyDescent="0.35">
      <c r="A37" t="s">
        <v>77</v>
      </c>
      <c r="B37" t="s">
        <v>78</v>
      </c>
      <c r="C37">
        <v>0.6</v>
      </c>
      <c r="D37">
        <v>0.23799999999999999</v>
      </c>
      <c r="E37">
        <v>1.2E-2</v>
      </c>
      <c r="F37" t="s">
        <v>8</v>
      </c>
    </row>
    <row r="38" spans="1:6" x14ac:dyDescent="0.35">
      <c r="A38" t="s">
        <v>79</v>
      </c>
      <c r="B38" t="s">
        <v>80</v>
      </c>
      <c r="C38">
        <v>0.54500000000000004</v>
      </c>
      <c r="D38">
        <v>0.27</v>
      </c>
      <c r="E38">
        <v>1.2E-2</v>
      </c>
      <c r="F38" t="s">
        <v>8</v>
      </c>
    </row>
    <row r="39" spans="1:6" x14ac:dyDescent="0.35">
      <c r="A39" t="s">
        <v>81</v>
      </c>
      <c r="B39" t="s">
        <v>82</v>
      </c>
      <c r="C39">
        <v>0.45300000000000001</v>
      </c>
      <c r="D39">
        <v>0.27</v>
      </c>
      <c r="E39">
        <v>1.2E-2</v>
      </c>
      <c r="F39" t="s">
        <v>8</v>
      </c>
    </row>
    <row r="40" spans="1:6" x14ac:dyDescent="0.35">
      <c r="A40" t="s">
        <v>83</v>
      </c>
      <c r="B40" t="s">
        <v>84</v>
      </c>
      <c r="C40">
        <v>1.36</v>
      </c>
      <c r="D40">
        <v>0.36</v>
      </c>
      <c r="E40">
        <v>2.5000000000000001E-2</v>
      </c>
      <c r="F40" t="s">
        <v>85</v>
      </c>
    </row>
    <row r="41" spans="1:6" x14ac:dyDescent="0.35">
      <c r="A41" t="s">
        <v>86</v>
      </c>
      <c r="B41" t="s">
        <v>87</v>
      </c>
      <c r="C41">
        <v>1.3620000000000001</v>
      </c>
      <c r="D41">
        <v>0.40100000000000002</v>
      </c>
      <c r="E41">
        <v>1.4999999999999999E-2</v>
      </c>
      <c r="F41" t="s">
        <v>85</v>
      </c>
    </row>
    <row r="42" spans="1:6" x14ac:dyDescent="0.35">
      <c r="A42" t="s">
        <v>88</v>
      </c>
      <c r="B42" t="s">
        <v>89</v>
      </c>
      <c r="C42">
        <v>0.53600000000000003</v>
      </c>
      <c r="D42">
        <v>0.10100000000000001</v>
      </c>
      <c r="E42">
        <v>1.4999999999999999E-2</v>
      </c>
      <c r="F42" t="s">
        <v>85</v>
      </c>
    </row>
    <row r="43" spans="1:6" x14ac:dyDescent="0.35">
      <c r="A43" t="s">
        <v>90</v>
      </c>
      <c r="B43" t="s">
        <v>91</v>
      </c>
      <c r="C43">
        <v>0.72</v>
      </c>
      <c r="D43">
        <v>0.39100000000000001</v>
      </c>
      <c r="E43">
        <v>1.2E-2</v>
      </c>
      <c r="F43" t="s">
        <v>85</v>
      </c>
    </row>
    <row r="44" spans="1:6" x14ac:dyDescent="0.35">
      <c r="A44" t="s">
        <v>92</v>
      </c>
      <c r="B44" t="s">
        <v>93</v>
      </c>
      <c r="C44">
        <v>1.32</v>
      </c>
      <c r="D44">
        <v>0.39</v>
      </c>
      <c r="E44">
        <v>1.2E-2</v>
      </c>
      <c r="F44" t="s">
        <v>85</v>
      </c>
    </row>
    <row r="45" spans="1:6" x14ac:dyDescent="0.35">
      <c r="A45" t="s">
        <v>94</v>
      </c>
      <c r="B45" t="s">
        <v>95</v>
      </c>
      <c r="C45">
        <v>1.32</v>
      </c>
      <c r="D45">
        <v>0.10100000000000001</v>
      </c>
      <c r="E45">
        <v>1.2E-2</v>
      </c>
      <c r="F45" t="s">
        <v>85</v>
      </c>
    </row>
    <row r="46" spans="1:6" x14ac:dyDescent="0.35">
      <c r="A46" t="s">
        <v>96</v>
      </c>
      <c r="B46" t="s">
        <v>97</v>
      </c>
      <c r="C46">
        <v>1.32</v>
      </c>
      <c r="D46">
        <v>0.08</v>
      </c>
      <c r="E46">
        <v>1.2E-2</v>
      </c>
      <c r="F46" t="s">
        <v>85</v>
      </c>
    </row>
    <row r="47" spans="1:6" x14ac:dyDescent="0.35">
      <c r="A47" t="s">
        <v>98</v>
      </c>
      <c r="B47" t="s">
        <v>99</v>
      </c>
      <c r="C47">
        <v>1.32</v>
      </c>
      <c r="D47">
        <v>0.28899999999999998</v>
      </c>
      <c r="E47">
        <v>1.2E-2</v>
      </c>
      <c r="F47" t="s">
        <v>85</v>
      </c>
    </row>
    <row r="48" spans="1:6" x14ac:dyDescent="0.35">
      <c r="A48" t="s">
        <v>100</v>
      </c>
      <c r="B48" t="s">
        <v>101</v>
      </c>
      <c r="C48">
        <v>0.57999999999999996</v>
      </c>
      <c r="D48">
        <v>0.443</v>
      </c>
      <c r="E48">
        <v>1.2E-2</v>
      </c>
      <c r="F48" t="s">
        <v>85</v>
      </c>
    </row>
    <row r="49" spans="1:6" x14ac:dyDescent="0.35">
      <c r="A49" t="s">
        <v>102</v>
      </c>
      <c r="B49" t="s">
        <v>103</v>
      </c>
      <c r="C49">
        <v>0.72</v>
      </c>
      <c r="D49">
        <v>0.39100000000000001</v>
      </c>
      <c r="E49">
        <v>1.2E-2</v>
      </c>
      <c r="F49" t="s">
        <v>85</v>
      </c>
    </row>
    <row r="50" spans="1:6" x14ac:dyDescent="0.35">
      <c r="A50" t="s">
        <v>104</v>
      </c>
      <c r="B50" t="s">
        <v>105</v>
      </c>
      <c r="C50">
        <v>0.308</v>
      </c>
      <c r="D50">
        <v>7.0999999999999994E-2</v>
      </c>
      <c r="E50">
        <v>1.4999999999999999E-2</v>
      </c>
      <c r="F50" t="s">
        <v>85</v>
      </c>
    </row>
    <row r="51" spans="1:6" x14ac:dyDescent="0.35">
      <c r="A51" t="s">
        <v>106</v>
      </c>
      <c r="B51" t="s">
        <v>107</v>
      </c>
      <c r="C51">
        <v>1.32</v>
      </c>
      <c r="D51">
        <v>0.08</v>
      </c>
      <c r="E51">
        <v>1.2E-2</v>
      </c>
      <c r="F51" t="s">
        <v>85</v>
      </c>
    </row>
    <row r="52" spans="1:6" x14ac:dyDescent="0.35">
      <c r="A52" t="s">
        <v>108</v>
      </c>
      <c r="B52" t="s">
        <v>32</v>
      </c>
      <c r="C52">
        <v>1.36</v>
      </c>
      <c r="D52">
        <v>0.68</v>
      </c>
      <c r="E52">
        <v>1.4999999999999999E-2</v>
      </c>
      <c r="F52" t="s">
        <v>8</v>
      </c>
    </row>
    <row r="53" spans="1:6" x14ac:dyDescent="0.35">
      <c r="A53" t="s">
        <v>109</v>
      </c>
      <c r="B53" t="s">
        <v>34</v>
      </c>
      <c r="C53">
        <v>1.33</v>
      </c>
      <c r="D53">
        <v>0.36</v>
      </c>
      <c r="E53">
        <v>1.4999999999999999E-2</v>
      </c>
      <c r="F53" t="s">
        <v>8</v>
      </c>
    </row>
    <row r="54" spans="1:6" x14ac:dyDescent="0.35">
      <c r="A54" t="s">
        <v>110</v>
      </c>
      <c r="B54" t="s">
        <v>36</v>
      </c>
      <c r="C54">
        <v>0.68</v>
      </c>
      <c r="D54">
        <v>0.36</v>
      </c>
      <c r="E54">
        <v>1.2E-2</v>
      </c>
      <c r="F54" t="s">
        <v>8</v>
      </c>
    </row>
    <row r="55" spans="1:6" x14ac:dyDescent="0.35">
      <c r="A55" t="s">
        <v>111</v>
      </c>
      <c r="B55" t="s">
        <v>38</v>
      </c>
      <c r="C55">
        <v>1.33</v>
      </c>
      <c r="D55">
        <v>7.0000000000000007E-2</v>
      </c>
      <c r="E55">
        <v>1.2E-2</v>
      </c>
      <c r="F55" t="s">
        <v>8</v>
      </c>
    </row>
    <row r="56" spans="1:6" x14ac:dyDescent="0.35">
      <c r="A56" t="s">
        <v>112</v>
      </c>
      <c r="B56" t="s">
        <v>40</v>
      </c>
      <c r="C56">
        <v>0.57999999999999996</v>
      </c>
      <c r="D56">
        <v>0.36</v>
      </c>
      <c r="E56">
        <v>1.4999999999999999E-2</v>
      </c>
      <c r="F56" t="s">
        <v>8</v>
      </c>
    </row>
    <row r="57" spans="1:6" x14ac:dyDescent="0.35">
      <c r="A57" t="s">
        <v>113</v>
      </c>
      <c r="B57" t="s">
        <v>42</v>
      </c>
      <c r="C57">
        <v>0.432</v>
      </c>
      <c r="D57">
        <v>0.34</v>
      </c>
      <c r="E57">
        <v>1.2E-2</v>
      </c>
      <c r="F57" t="s">
        <v>8</v>
      </c>
    </row>
    <row r="58" spans="1:6" x14ac:dyDescent="0.35">
      <c r="A58" t="s">
        <v>114</v>
      </c>
      <c r="B58" t="s">
        <v>44</v>
      </c>
      <c r="C58">
        <v>0.6</v>
      </c>
      <c r="D58">
        <v>0.44500000000000001</v>
      </c>
      <c r="E58">
        <v>1.2E-2</v>
      </c>
      <c r="F58" t="s">
        <v>8</v>
      </c>
    </row>
    <row r="59" spans="1:6" x14ac:dyDescent="0.35">
      <c r="A59" t="s">
        <v>115</v>
      </c>
      <c r="B59" t="s">
        <v>46</v>
      </c>
      <c r="C59">
        <v>0.89600000000000002</v>
      </c>
      <c r="D59">
        <v>0.60399999999999998</v>
      </c>
      <c r="E59">
        <v>3.0000000000000001E-3</v>
      </c>
      <c r="F59" t="s">
        <v>8</v>
      </c>
    </row>
    <row r="60" spans="1:6" x14ac:dyDescent="0.35">
      <c r="A60" t="s">
        <v>116</v>
      </c>
      <c r="B60" t="s">
        <v>50</v>
      </c>
      <c r="C60">
        <v>0.88200000000000001</v>
      </c>
      <c r="D60">
        <v>0.34</v>
      </c>
      <c r="E60">
        <v>1.2E-2</v>
      </c>
      <c r="F60" t="s">
        <v>8</v>
      </c>
    </row>
    <row r="61" spans="1:6" x14ac:dyDescent="0.35">
      <c r="A61" t="s">
        <v>117</v>
      </c>
      <c r="B61" t="s">
        <v>52</v>
      </c>
      <c r="C61">
        <v>0.68</v>
      </c>
      <c r="D61">
        <v>0.36</v>
      </c>
      <c r="E61">
        <v>1.2E-2</v>
      </c>
      <c r="F61" t="s">
        <v>8</v>
      </c>
    </row>
    <row r="62" spans="1:6" x14ac:dyDescent="0.35">
      <c r="A62" t="s">
        <v>118</v>
      </c>
      <c r="B62" t="s">
        <v>54</v>
      </c>
      <c r="C62">
        <v>0.45300000000000001</v>
      </c>
      <c r="D62">
        <v>0.60399999999999998</v>
      </c>
      <c r="E62">
        <v>3.0000000000000001E-3</v>
      </c>
      <c r="F62" t="s">
        <v>8</v>
      </c>
    </row>
    <row r="63" spans="1:6" x14ac:dyDescent="0.35">
      <c r="A63" t="s">
        <v>119</v>
      </c>
      <c r="B63" t="s">
        <v>120</v>
      </c>
      <c r="C63">
        <v>0</v>
      </c>
      <c r="D63">
        <v>0</v>
      </c>
      <c r="E63">
        <v>0</v>
      </c>
      <c r="F63" t="s">
        <v>8</v>
      </c>
    </row>
    <row r="64" spans="1:6" x14ac:dyDescent="0.35">
      <c r="A64" t="s">
        <v>121</v>
      </c>
      <c r="B64" t="s">
        <v>122</v>
      </c>
      <c r="C64">
        <v>0</v>
      </c>
      <c r="D64">
        <v>0</v>
      </c>
      <c r="E64">
        <v>0</v>
      </c>
      <c r="F64" t="s">
        <v>8</v>
      </c>
    </row>
    <row r="65" spans="1:6" x14ac:dyDescent="0.35">
      <c r="A65" t="s">
        <v>123</v>
      </c>
      <c r="B65" t="s">
        <v>124</v>
      </c>
      <c r="C65">
        <v>0</v>
      </c>
      <c r="D65">
        <v>0</v>
      </c>
      <c r="E65">
        <v>0</v>
      </c>
      <c r="F65" t="s">
        <v>8</v>
      </c>
    </row>
    <row r="66" spans="1:6" x14ac:dyDescent="0.35">
      <c r="A66" t="s">
        <v>125</v>
      </c>
      <c r="B66" t="s">
        <v>126</v>
      </c>
      <c r="C66">
        <v>0</v>
      </c>
      <c r="D66">
        <v>0</v>
      </c>
      <c r="E66">
        <v>0</v>
      </c>
      <c r="F66" t="s">
        <v>8</v>
      </c>
    </row>
    <row r="67" spans="1:6" x14ac:dyDescent="0.35">
      <c r="A67" t="s">
        <v>127</v>
      </c>
      <c r="B67" t="s">
        <v>128</v>
      </c>
      <c r="C67">
        <v>0</v>
      </c>
      <c r="D67">
        <v>0</v>
      </c>
      <c r="E67">
        <v>0</v>
      </c>
      <c r="F67" t="s">
        <v>8</v>
      </c>
    </row>
    <row r="68" spans="1:6" x14ac:dyDescent="0.35">
      <c r="A68" t="s">
        <v>129</v>
      </c>
      <c r="B68" t="s">
        <v>130</v>
      </c>
      <c r="C68">
        <v>0</v>
      </c>
      <c r="D68">
        <v>0</v>
      </c>
      <c r="E68">
        <v>0</v>
      </c>
      <c r="F68" t="s">
        <v>8</v>
      </c>
    </row>
    <row r="69" spans="1:6" x14ac:dyDescent="0.35">
      <c r="A69" t="s">
        <v>131</v>
      </c>
      <c r="B69" t="s">
        <v>132</v>
      </c>
      <c r="C69">
        <v>0</v>
      </c>
      <c r="D69">
        <v>0</v>
      </c>
      <c r="E69">
        <v>0</v>
      </c>
      <c r="F69" t="s">
        <v>8</v>
      </c>
    </row>
    <row r="70" spans="1:6" x14ac:dyDescent="0.35">
      <c r="A70" t="s">
        <v>133</v>
      </c>
      <c r="B70" t="s">
        <v>134</v>
      </c>
      <c r="C70">
        <v>0</v>
      </c>
      <c r="D70">
        <v>0</v>
      </c>
      <c r="E70">
        <v>0</v>
      </c>
      <c r="F70" t="s">
        <v>8</v>
      </c>
    </row>
    <row r="71" spans="1:6" x14ac:dyDescent="0.35">
      <c r="A71" t="s">
        <v>135</v>
      </c>
      <c r="B71" t="s">
        <v>136</v>
      </c>
      <c r="C71">
        <v>0</v>
      </c>
      <c r="D71">
        <v>0</v>
      </c>
      <c r="E71">
        <v>0</v>
      </c>
      <c r="F71" t="s">
        <v>8</v>
      </c>
    </row>
    <row r="72" spans="1:6" x14ac:dyDescent="0.35">
      <c r="A72" t="s">
        <v>137</v>
      </c>
      <c r="B72" t="s">
        <v>138</v>
      </c>
      <c r="C72">
        <v>0</v>
      </c>
      <c r="D72">
        <v>0</v>
      </c>
      <c r="E72">
        <v>0</v>
      </c>
      <c r="F72" t="s">
        <v>8</v>
      </c>
    </row>
    <row r="73" spans="1:6" x14ac:dyDescent="0.35">
      <c r="A73" t="s">
        <v>139</v>
      </c>
      <c r="B73" t="s">
        <v>140</v>
      </c>
      <c r="C73">
        <v>0</v>
      </c>
      <c r="D73">
        <v>0</v>
      </c>
      <c r="E73">
        <v>0</v>
      </c>
      <c r="F73" t="s">
        <v>8</v>
      </c>
    </row>
    <row r="74" spans="1:6" x14ac:dyDescent="0.35">
      <c r="A74" t="s">
        <v>141</v>
      </c>
      <c r="B74" t="s">
        <v>142</v>
      </c>
      <c r="C74">
        <v>0</v>
      </c>
      <c r="D74">
        <v>0</v>
      </c>
      <c r="E74">
        <v>0</v>
      </c>
      <c r="F74" t="s">
        <v>8</v>
      </c>
    </row>
    <row r="75" spans="1:6" x14ac:dyDescent="0.35">
      <c r="A75" t="s">
        <v>143</v>
      </c>
      <c r="B75" t="s">
        <v>144</v>
      </c>
      <c r="C75">
        <v>0</v>
      </c>
      <c r="D75">
        <v>0</v>
      </c>
      <c r="E75">
        <v>0</v>
      </c>
      <c r="F75" t="s">
        <v>8</v>
      </c>
    </row>
    <row r="76" spans="1:6" x14ac:dyDescent="0.35">
      <c r="A76" t="s">
        <v>145</v>
      </c>
      <c r="B76" t="s">
        <v>146</v>
      </c>
      <c r="C76">
        <v>0</v>
      </c>
      <c r="D76">
        <v>0</v>
      </c>
      <c r="E76">
        <v>0</v>
      </c>
      <c r="F76" t="s">
        <v>8</v>
      </c>
    </row>
    <row r="77" spans="1:6" x14ac:dyDescent="0.35">
      <c r="A77" t="s">
        <v>147</v>
      </c>
      <c r="B77" t="s">
        <v>148</v>
      </c>
      <c r="C77">
        <v>0</v>
      </c>
      <c r="D77">
        <v>0</v>
      </c>
      <c r="E77">
        <v>0</v>
      </c>
      <c r="F77" t="s">
        <v>8</v>
      </c>
    </row>
    <row r="78" spans="1:6" x14ac:dyDescent="0.35">
      <c r="A78" t="s">
        <v>149</v>
      </c>
      <c r="B78" t="s">
        <v>150</v>
      </c>
      <c r="C78">
        <v>0</v>
      </c>
      <c r="D78">
        <v>0</v>
      </c>
      <c r="E78">
        <v>0</v>
      </c>
      <c r="F78" t="s">
        <v>8</v>
      </c>
    </row>
    <row r="79" spans="1:6" x14ac:dyDescent="0.35">
      <c r="A79" t="s">
        <v>151</v>
      </c>
      <c r="B79" t="s">
        <v>152</v>
      </c>
      <c r="C79">
        <v>0</v>
      </c>
      <c r="D79">
        <v>0</v>
      </c>
      <c r="E79">
        <v>0</v>
      </c>
      <c r="F79" t="s">
        <v>8</v>
      </c>
    </row>
    <row r="80" spans="1:6" x14ac:dyDescent="0.35">
      <c r="A80" t="s">
        <v>153</v>
      </c>
      <c r="B80" t="s">
        <v>154</v>
      </c>
      <c r="C80">
        <v>0</v>
      </c>
      <c r="D80">
        <v>0</v>
      </c>
      <c r="E80">
        <v>0</v>
      </c>
      <c r="F80" t="s">
        <v>8</v>
      </c>
    </row>
    <row r="81" spans="1:6" x14ac:dyDescent="0.35">
      <c r="A81" t="s">
        <v>155</v>
      </c>
      <c r="B81" t="s">
        <v>156</v>
      </c>
      <c r="C81">
        <v>0</v>
      </c>
      <c r="D81">
        <v>0</v>
      </c>
      <c r="E81">
        <v>0</v>
      </c>
      <c r="F81" t="s">
        <v>8</v>
      </c>
    </row>
    <row r="82" spans="1:6" x14ac:dyDescent="0.35">
      <c r="A82" t="s">
        <v>157</v>
      </c>
      <c r="B82" t="s">
        <v>158</v>
      </c>
      <c r="C82">
        <v>0</v>
      </c>
      <c r="D82">
        <v>0</v>
      </c>
      <c r="E82">
        <v>0</v>
      </c>
      <c r="F82" t="s">
        <v>8</v>
      </c>
    </row>
    <row r="83" spans="1:6" x14ac:dyDescent="0.35">
      <c r="A83" t="s">
        <v>159</v>
      </c>
      <c r="B83" t="s">
        <v>160</v>
      </c>
      <c r="C83">
        <v>0</v>
      </c>
      <c r="D83">
        <v>0</v>
      </c>
      <c r="E83">
        <v>0</v>
      </c>
      <c r="F83" t="s">
        <v>8</v>
      </c>
    </row>
    <row r="84" spans="1:6" x14ac:dyDescent="0.35">
      <c r="A84" t="s">
        <v>161</v>
      </c>
      <c r="B84" t="s">
        <v>162</v>
      </c>
      <c r="C84">
        <v>0</v>
      </c>
      <c r="D84">
        <v>0</v>
      </c>
      <c r="E84">
        <v>0</v>
      </c>
      <c r="F84" t="s">
        <v>8</v>
      </c>
    </row>
    <row r="85" spans="1:6" x14ac:dyDescent="0.35">
      <c r="A85" t="s">
        <v>163</v>
      </c>
      <c r="B85" t="s">
        <v>164</v>
      </c>
      <c r="C85">
        <v>0</v>
      </c>
      <c r="D85">
        <v>0</v>
      </c>
      <c r="E85">
        <v>0</v>
      </c>
      <c r="F85" t="s">
        <v>8</v>
      </c>
    </row>
    <row r="86" spans="1:6" x14ac:dyDescent="0.35">
      <c r="A86" t="s">
        <v>165</v>
      </c>
      <c r="B86" t="s">
        <v>166</v>
      </c>
      <c r="C86">
        <v>0</v>
      </c>
      <c r="D86">
        <v>0</v>
      </c>
      <c r="E86">
        <v>0</v>
      </c>
      <c r="F86" t="s">
        <v>8</v>
      </c>
    </row>
    <row r="87" spans="1:6" x14ac:dyDescent="0.35">
      <c r="A87" t="s">
        <v>167</v>
      </c>
      <c r="B87" t="s">
        <v>168</v>
      </c>
      <c r="C87">
        <v>0</v>
      </c>
      <c r="D87">
        <v>0</v>
      </c>
      <c r="E87">
        <v>0</v>
      </c>
      <c r="F87" t="s">
        <v>8</v>
      </c>
    </row>
    <row r="88" spans="1:6" x14ac:dyDescent="0.35">
      <c r="A88" t="s">
        <v>169</v>
      </c>
      <c r="B88" t="s">
        <v>170</v>
      </c>
      <c r="C88">
        <v>0</v>
      </c>
      <c r="D88">
        <v>0</v>
      </c>
      <c r="E88">
        <v>0</v>
      </c>
      <c r="F88" t="s">
        <v>8</v>
      </c>
    </row>
    <row r="89" spans="1:6" x14ac:dyDescent="0.35">
      <c r="A89" t="s">
        <v>171</v>
      </c>
      <c r="B89" t="s">
        <v>172</v>
      </c>
      <c r="C89">
        <v>0</v>
      </c>
      <c r="D89">
        <v>0</v>
      </c>
      <c r="E89">
        <v>0</v>
      </c>
      <c r="F89" t="s">
        <v>8</v>
      </c>
    </row>
    <row r="90" spans="1:6" x14ac:dyDescent="0.35">
      <c r="A90" t="s">
        <v>173</v>
      </c>
      <c r="B90" t="s">
        <v>174</v>
      </c>
      <c r="C90">
        <v>0</v>
      </c>
      <c r="D90">
        <v>0</v>
      </c>
      <c r="E90">
        <v>0</v>
      </c>
      <c r="F90" t="s">
        <v>8</v>
      </c>
    </row>
    <row r="91" spans="1:6" x14ac:dyDescent="0.35">
      <c r="A91" t="s">
        <v>175</v>
      </c>
      <c r="B91" t="s">
        <v>176</v>
      </c>
      <c r="C91">
        <v>0</v>
      </c>
      <c r="D91">
        <v>0</v>
      </c>
      <c r="E91">
        <v>0</v>
      </c>
      <c r="F91" t="s">
        <v>8</v>
      </c>
    </row>
    <row r="92" spans="1:6" x14ac:dyDescent="0.35">
      <c r="A92" t="s">
        <v>177</v>
      </c>
      <c r="B92" t="s">
        <v>178</v>
      </c>
      <c r="C92">
        <v>0</v>
      </c>
      <c r="D92">
        <v>0</v>
      </c>
      <c r="E92">
        <v>0</v>
      </c>
      <c r="F92" t="s">
        <v>8</v>
      </c>
    </row>
    <row r="93" spans="1:6" x14ac:dyDescent="0.35">
      <c r="A93" t="s">
        <v>179</v>
      </c>
      <c r="B93" t="s">
        <v>180</v>
      </c>
      <c r="C93">
        <v>0</v>
      </c>
      <c r="D93">
        <v>0</v>
      </c>
      <c r="E93">
        <v>0</v>
      </c>
      <c r="F93" t="s">
        <v>8</v>
      </c>
    </row>
    <row r="94" spans="1:6" x14ac:dyDescent="0.35">
      <c r="A94" t="s">
        <v>181</v>
      </c>
      <c r="B94" t="s">
        <v>182</v>
      </c>
      <c r="C94">
        <v>0</v>
      </c>
      <c r="D94">
        <v>0</v>
      </c>
      <c r="E94">
        <v>0</v>
      </c>
      <c r="F94" t="s">
        <v>8</v>
      </c>
    </row>
    <row r="95" spans="1:6" x14ac:dyDescent="0.35">
      <c r="A95" t="s">
        <v>183</v>
      </c>
      <c r="B95" t="s">
        <v>184</v>
      </c>
      <c r="C95">
        <v>0</v>
      </c>
      <c r="D95">
        <v>0</v>
      </c>
      <c r="E95">
        <v>0</v>
      </c>
      <c r="F95" t="s">
        <v>8</v>
      </c>
    </row>
    <row r="96" spans="1:6" x14ac:dyDescent="0.35">
      <c r="A96" t="s">
        <v>185</v>
      </c>
      <c r="B96" t="s">
        <v>186</v>
      </c>
      <c r="C96">
        <v>0</v>
      </c>
      <c r="D96">
        <v>0</v>
      </c>
      <c r="E96">
        <v>0</v>
      </c>
      <c r="F96" t="s">
        <v>8</v>
      </c>
    </row>
    <row r="97" spans="1:6" x14ac:dyDescent="0.35">
      <c r="A97" t="s">
        <v>187</v>
      </c>
      <c r="B97" t="s">
        <v>188</v>
      </c>
      <c r="C97">
        <v>0</v>
      </c>
      <c r="D97">
        <v>0</v>
      </c>
      <c r="E97">
        <v>0</v>
      </c>
      <c r="F97" t="s">
        <v>8</v>
      </c>
    </row>
    <row r="98" spans="1:6" x14ac:dyDescent="0.35">
      <c r="A98" t="s">
        <v>189</v>
      </c>
      <c r="B98" t="s">
        <v>190</v>
      </c>
      <c r="C98">
        <v>0</v>
      </c>
      <c r="D98">
        <v>0</v>
      </c>
      <c r="E98">
        <v>0</v>
      </c>
      <c r="F98" t="s">
        <v>8</v>
      </c>
    </row>
    <row r="99" spans="1:6" x14ac:dyDescent="0.35">
      <c r="A99" t="s">
        <v>191</v>
      </c>
      <c r="B99" t="s">
        <v>192</v>
      </c>
      <c r="C99">
        <v>0</v>
      </c>
      <c r="D99">
        <v>0</v>
      </c>
      <c r="E99">
        <v>0</v>
      </c>
      <c r="F99" t="s">
        <v>8</v>
      </c>
    </row>
    <row r="100" spans="1:6" x14ac:dyDescent="0.35">
      <c r="A100" t="s">
        <v>193</v>
      </c>
      <c r="B100" t="s">
        <v>194</v>
      </c>
      <c r="C100">
        <v>0</v>
      </c>
      <c r="D100">
        <v>0</v>
      </c>
      <c r="E100">
        <v>0</v>
      </c>
      <c r="F100" t="s">
        <v>8</v>
      </c>
    </row>
    <row r="101" spans="1:6" x14ac:dyDescent="0.35">
      <c r="A101" t="s">
        <v>195</v>
      </c>
      <c r="B101" t="s">
        <v>196</v>
      </c>
      <c r="C101">
        <v>0</v>
      </c>
      <c r="D101">
        <v>0</v>
      </c>
      <c r="E101">
        <v>0</v>
      </c>
      <c r="F101" t="s">
        <v>8</v>
      </c>
    </row>
    <row r="102" spans="1:6" x14ac:dyDescent="0.35">
      <c r="A102" t="s">
        <v>197</v>
      </c>
      <c r="B102" t="s">
        <v>198</v>
      </c>
      <c r="C102">
        <v>0</v>
      </c>
      <c r="D102">
        <v>0</v>
      </c>
      <c r="E102">
        <v>0</v>
      </c>
      <c r="F102" t="s">
        <v>8</v>
      </c>
    </row>
    <row r="103" spans="1:6" x14ac:dyDescent="0.35">
      <c r="A103" t="s">
        <v>199</v>
      </c>
      <c r="B103" t="s">
        <v>200</v>
      </c>
      <c r="C103">
        <v>0</v>
      </c>
      <c r="D103">
        <v>0</v>
      </c>
      <c r="E103">
        <v>0</v>
      </c>
      <c r="F103" t="s">
        <v>8</v>
      </c>
    </row>
    <row r="104" spans="1:6" x14ac:dyDescent="0.35">
      <c r="A104" t="s">
        <v>201</v>
      </c>
      <c r="B104" t="s">
        <v>202</v>
      </c>
      <c r="C104">
        <v>0</v>
      </c>
      <c r="D104">
        <v>0</v>
      </c>
      <c r="E104">
        <v>0</v>
      </c>
      <c r="F104" t="s">
        <v>8</v>
      </c>
    </row>
    <row r="105" spans="1:6" x14ac:dyDescent="0.35">
      <c r="A105" t="s">
        <v>203</v>
      </c>
      <c r="B105" t="s">
        <v>204</v>
      </c>
      <c r="C105">
        <v>0</v>
      </c>
      <c r="D105">
        <v>0</v>
      </c>
      <c r="E105">
        <v>0</v>
      </c>
      <c r="F105" t="s">
        <v>8</v>
      </c>
    </row>
    <row r="106" spans="1:6" x14ac:dyDescent="0.35">
      <c r="A106" t="s">
        <v>205</v>
      </c>
      <c r="B106" t="s">
        <v>206</v>
      </c>
      <c r="C106">
        <v>0</v>
      </c>
      <c r="D106">
        <v>0</v>
      </c>
      <c r="E106">
        <v>0</v>
      </c>
      <c r="F106" t="s">
        <v>8</v>
      </c>
    </row>
    <row r="107" spans="1:6" x14ac:dyDescent="0.35">
      <c r="A107" t="s">
        <v>207</v>
      </c>
      <c r="B107" t="s">
        <v>208</v>
      </c>
      <c r="C107">
        <v>0</v>
      </c>
      <c r="D107">
        <v>0</v>
      </c>
      <c r="E107">
        <v>0</v>
      </c>
      <c r="F107" t="s">
        <v>8</v>
      </c>
    </row>
    <row r="108" spans="1:6" x14ac:dyDescent="0.35">
      <c r="A108" t="s">
        <v>209</v>
      </c>
      <c r="B108" t="s">
        <v>210</v>
      </c>
      <c r="C108">
        <v>0</v>
      </c>
      <c r="D108">
        <v>0</v>
      </c>
      <c r="E108">
        <v>0</v>
      </c>
      <c r="F108" t="s">
        <v>8</v>
      </c>
    </row>
    <row r="109" spans="1:6" x14ac:dyDescent="0.35">
      <c r="A109" t="s">
        <v>211</v>
      </c>
      <c r="B109" t="s">
        <v>212</v>
      </c>
      <c r="C109">
        <v>0</v>
      </c>
      <c r="D109">
        <v>0</v>
      </c>
      <c r="E109">
        <v>0</v>
      </c>
      <c r="F109" t="s">
        <v>8</v>
      </c>
    </row>
    <row r="110" spans="1:6" x14ac:dyDescent="0.35">
      <c r="A110" t="s">
        <v>213</v>
      </c>
      <c r="B110" t="s">
        <v>214</v>
      </c>
      <c r="C110">
        <v>0</v>
      </c>
      <c r="D110">
        <v>0</v>
      </c>
      <c r="E110">
        <v>0</v>
      </c>
      <c r="F110" t="s">
        <v>8</v>
      </c>
    </row>
    <row r="111" spans="1:6" x14ac:dyDescent="0.35">
      <c r="A111" t="s">
        <v>215</v>
      </c>
      <c r="B111" t="s">
        <v>216</v>
      </c>
      <c r="C111">
        <v>0</v>
      </c>
      <c r="D111">
        <v>0</v>
      </c>
      <c r="E111">
        <v>0</v>
      </c>
      <c r="F111" t="s">
        <v>8</v>
      </c>
    </row>
    <row r="112" spans="1:6" x14ac:dyDescent="0.35">
      <c r="A112" t="s">
        <v>217</v>
      </c>
      <c r="B112" t="s">
        <v>218</v>
      </c>
      <c r="C112">
        <v>0.45200000000000001</v>
      </c>
      <c r="D112">
        <v>0.39</v>
      </c>
      <c r="E112">
        <v>1.4999999999999999E-2</v>
      </c>
      <c r="F112" t="s">
        <v>8</v>
      </c>
    </row>
    <row r="113" spans="1:6" x14ac:dyDescent="0.35">
      <c r="A113" t="s">
        <v>219</v>
      </c>
      <c r="B113" t="s">
        <v>220</v>
      </c>
      <c r="C113">
        <v>0.55000000000000004</v>
      </c>
      <c r="D113">
        <v>0.38500000000000001</v>
      </c>
      <c r="E113">
        <v>1.4999999999999999E-2</v>
      </c>
      <c r="F113" t="s">
        <v>8</v>
      </c>
    </row>
    <row r="114" spans="1:6" x14ac:dyDescent="0.35">
      <c r="A114" t="s">
        <v>221</v>
      </c>
      <c r="B114" t="s">
        <v>222</v>
      </c>
      <c r="C114">
        <v>0.41399999999999998</v>
      </c>
      <c r="D114">
        <v>0.38700000000000001</v>
      </c>
      <c r="E114">
        <v>1.4999999999999999E-2</v>
      </c>
      <c r="F114" t="s">
        <v>8</v>
      </c>
    </row>
    <row r="115" spans="1:6" x14ac:dyDescent="0.35">
      <c r="A115" t="s">
        <v>223</v>
      </c>
      <c r="B115" t="s">
        <v>224</v>
      </c>
      <c r="C115">
        <v>0</v>
      </c>
      <c r="D115">
        <v>0</v>
      </c>
      <c r="E115">
        <v>0</v>
      </c>
      <c r="F115" t="s">
        <v>8</v>
      </c>
    </row>
    <row r="116" spans="1:6" x14ac:dyDescent="0.35">
      <c r="A116" t="s">
        <v>225</v>
      </c>
      <c r="B116" t="s">
        <v>226</v>
      </c>
      <c r="C116">
        <v>0</v>
      </c>
      <c r="D116">
        <v>0</v>
      </c>
      <c r="E116">
        <v>0</v>
      </c>
      <c r="F116" t="s">
        <v>8</v>
      </c>
    </row>
    <row r="117" spans="1:6" x14ac:dyDescent="0.35">
      <c r="A117" t="s">
        <v>227</v>
      </c>
      <c r="B117" t="s">
        <v>228</v>
      </c>
      <c r="C117">
        <v>0</v>
      </c>
      <c r="D117">
        <v>0</v>
      </c>
      <c r="E117">
        <v>0</v>
      </c>
      <c r="F117" t="s">
        <v>8</v>
      </c>
    </row>
    <row r="118" spans="1:6" x14ac:dyDescent="0.35">
      <c r="A118" t="s">
        <v>229</v>
      </c>
      <c r="B118" t="s">
        <v>230</v>
      </c>
      <c r="C118">
        <v>0</v>
      </c>
      <c r="D118">
        <v>0</v>
      </c>
      <c r="E118">
        <v>0</v>
      </c>
      <c r="F118" t="s">
        <v>8</v>
      </c>
    </row>
    <row r="119" spans="1:6" x14ac:dyDescent="0.35">
      <c r="A119" t="s">
        <v>231</v>
      </c>
      <c r="B119" t="s">
        <v>232</v>
      </c>
      <c r="C119">
        <v>0</v>
      </c>
      <c r="D119">
        <v>0</v>
      </c>
      <c r="E119">
        <v>0</v>
      </c>
      <c r="F119" t="s">
        <v>8</v>
      </c>
    </row>
    <row r="120" spans="1:6" x14ac:dyDescent="0.35">
      <c r="A120" t="s">
        <v>233</v>
      </c>
      <c r="B120" t="s">
        <v>234</v>
      </c>
      <c r="C120">
        <v>0</v>
      </c>
      <c r="D120">
        <v>0</v>
      </c>
      <c r="E120">
        <v>0</v>
      </c>
      <c r="F120" t="s">
        <v>8</v>
      </c>
    </row>
    <row r="121" spans="1:6" x14ac:dyDescent="0.35">
      <c r="A121" t="s">
        <v>235</v>
      </c>
      <c r="B121" t="s">
        <v>236</v>
      </c>
      <c r="C121">
        <v>0</v>
      </c>
      <c r="D121">
        <v>0</v>
      </c>
      <c r="E121">
        <v>0</v>
      </c>
      <c r="F121" t="s">
        <v>8</v>
      </c>
    </row>
    <row r="122" spans="1:6" x14ac:dyDescent="0.35">
      <c r="A122" t="s">
        <v>237</v>
      </c>
      <c r="B122" t="s">
        <v>238</v>
      </c>
      <c r="C122">
        <v>0</v>
      </c>
      <c r="D122">
        <v>0</v>
      </c>
      <c r="E122">
        <v>0</v>
      </c>
      <c r="F122" t="s">
        <v>8</v>
      </c>
    </row>
    <row r="123" spans="1:6" x14ac:dyDescent="0.35">
      <c r="A123" t="s">
        <v>239</v>
      </c>
      <c r="B123" t="s">
        <v>240</v>
      </c>
      <c r="C123">
        <v>0</v>
      </c>
      <c r="D123">
        <v>0</v>
      </c>
      <c r="E123">
        <v>0</v>
      </c>
      <c r="F123" t="s">
        <v>8</v>
      </c>
    </row>
    <row r="124" spans="1:6" x14ac:dyDescent="0.35">
      <c r="A124" t="s">
        <v>241</v>
      </c>
      <c r="B124" t="s">
        <v>242</v>
      </c>
      <c r="C124">
        <v>0</v>
      </c>
      <c r="D124">
        <v>0</v>
      </c>
      <c r="E124">
        <v>0</v>
      </c>
      <c r="F124" t="s">
        <v>8</v>
      </c>
    </row>
    <row r="125" spans="1:6" x14ac:dyDescent="0.35">
      <c r="A125" t="s">
        <v>243</v>
      </c>
      <c r="B125" t="s">
        <v>244</v>
      </c>
      <c r="C125">
        <v>0</v>
      </c>
      <c r="D125">
        <v>0</v>
      </c>
      <c r="E125">
        <v>0</v>
      </c>
      <c r="F125" t="s">
        <v>8</v>
      </c>
    </row>
    <row r="126" spans="1:6" x14ac:dyDescent="0.35">
      <c r="A126" t="s">
        <v>245</v>
      </c>
      <c r="B126" t="s">
        <v>246</v>
      </c>
      <c r="C126">
        <v>0.9</v>
      </c>
      <c r="D126">
        <v>0.42</v>
      </c>
      <c r="E126">
        <v>1.4999999999999999E-2</v>
      </c>
      <c r="F126" t="s">
        <v>8</v>
      </c>
    </row>
    <row r="127" spans="1:6" x14ac:dyDescent="0.35">
      <c r="A127" t="s">
        <v>247</v>
      </c>
      <c r="B127" t="s">
        <v>248</v>
      </c>
      <c r="C127">
        <v>0.46</v>
      </c>
      <c r="D127">
        <v>0.45</v>
      </c>
      <c r="E127">
        <v>0.18</v>
      </c>
      <c r="F127" t="s">
        <v>8</v>
      </c>
    </row>
    <row r="128" spans="1:6" x14ac:dyDescent="0.35">
      <c r="A128" t="s">
        <v>249</v>
      </c>
      <c r="B128" t="s">
        <v>250</v>
      </c>
      <c r="C128">
        <v>0.9</v>
      </c>
      <c r="D128">
        <v>0.26500000000000001</v>
      </c>
      <c r="E128">
        <v>1.4999999999999999E-2</v>
      </c>
      <c r="F128" t="s">
        <v>8</v>
      </c>
    </row>
    <row r="129" spans="1:6" x14ac:dyDescent="0.35">
      <c r="A129" t="s">
        <v>251</v>
      </c>
      <c r="B129" t="s">
        <v>252</v>
      </c>
      <c r="C129">
        <v>0.42</v>
      </c>
      <c r="D129">
        <v>0.25</v>
      </c>
      <c r="E129">
        <v>1.4999999999999999E-2</v>
      </c>
      <c r="F129" t="s">
        <v>8</v>
      </c>
    </row>
    <row r="130" spans="1:6" x14ac:dyDescent="0.35">
      <c r="A130" t="s">
        <v>253</v>
      </c>
      <c r="B130" t="s">
        <v>254</v>
      </c>
      <c r="C130">
        <v>0.45</v>
      </c>
      <c r="D130">
        <v>0.22900000000000001</v>
      </c>
      <c r="E130">
        <v>1.7999999999999999E-2</v>
      </c>
      <c r="F130" t="s">
        <v>8</v>
      </c>
    </row>
    <row r="131" spans="1:6" x14ac:dyDescent="0.35">
      <c r="A131" t="s">
        <v>255</v>
      </c>
      <c r="B131" t="s">
        <v>256</v>
      </c>
      <c r="C131">
        <v>0.46</v>
      </c>
      <c r="D131">
        <v>0.45</v>
      </c>
      <c r="E131">
        <v>0.18</v>
      </c>
      <c r="F131" t="s">
        <v>8</v>
      </c>
    </row>
    <row r="132" spans="1:6" x14ac:dyDescent="0.35">
      <c r="A132" t="s">
        <v>257</v>
      </c>
      <c r="B132" t="s">
        <v>258</v>
      </c>
      <c r="C132">
        <v>0.36</v>
      </c>
      <c r="D132">
        <v>0.12</v>
      </c>
      <c r="E132">
        <v>1.7999999999999999E-2</v>
      </c>
      <c r="F132" t="s">
        <v>8</v>
      </c>
    </row>
    <row r="133" spans="1:6" x14ac:dyDescent="0.35">
      <c r="A133" t="s">
        <v>259</v>
      </c>
      <c r="B133" t="s">
        <v>260</v>
      </c>
      <c r="C133">
        <v>0.6</v>
      </c>
      <c r="D133">
        <v>0.11799999999999999</v>
      </c>
      <c r="E133">
        <v>1.7999999999999999E-2</v>
      </c>
      <c r="F133" t="s">
        <v>8</v>
      </c>
    </row>
    <row r="134" spans="1:6" x14ac:dyDescent="0.35">
      <c r="A134" t="s">
        <v>261</v>
      </c>
      <c r="B134" t="s">
        <v>262</v>
      </c>
      <c r="C134">
        <v>0</v>
      </c>
      <c r="D134">
        <v>0</v>
      </c>
      <c r="E134">
        <v>0</v>
      </c>
      <c r="F134" t="s">
        <v>8</v>
      </c>
    </row>
    <row r="135" spans="1:6" x14ac:dyDescent="0.35">
      <c r="A135" t="s">
        <v>263</v>
      </c>
      <c r="B135" t="s">
        <v>264</v>
      </c>
      <c r="C135">
        <v>0.9</v>
      </c>
      <c r="D135">
        <v>0.45</v>
      </c>
      <c r="E135">
        <v>1.4999999999999999E-2</v>
      </c>
      <c r="F135" t="s">
        <v>8</v>
      </c>
    </row>
    <row r="136" spans="1:6" x14ac:dyDescent="0.35">
      <c r="A136" t="s">
        <v>265</v>
      </c>
      <c r="B136" t="s">
        <v>266</v>
      </c>
      <c r="C136">
        <v>0.92</v>
      </c>
      <c r="D136">
        <v>0.45</v>
      </c>
      <c r="E136">
        <v>0.03</v>
      </c>
      <c r="F136" t="s">
        <v>8</v>
      </c>
    </row>
    <row r="137" spans="1:6" x14ac:dyDescent="0.35">
      <c r="A137" t="s">
        <v>267</v>
      </c>
      <c r="B137" t="s">
        <v>268</v>
      </c>
      <c r="C137">
        <v>0.44400000000000001</v>
      </c>
      <c r="D137">
        <v>0.35</v>
      </c>
      <c r="E137">
        <v>1.4999999999999999E-2</v>
      </c>
      <c r="F137" t="s">
        <v>8</v>
      </c>
    </row>
    <row r="138" spans="1:6" x14ac:dyDescent="0.35">
      <c r="A138" t="s">
        <v>269</v>
      </c>
      <c r="B138" t="s">
        <v>270</v>
      </c>
      <c r="C138">
        <v>0.55000000000000004</v>
      </c>
      <c r="D138">
        <v>0.38500000000000001</v>
      </c>
      <c r="E138">
        <v>1.4999999999999999E-2</v>
      </c>
      <c r="F138" t="s">
        <v>8</v>
      </c>
    </row>
    <row r="139" spans="1:6" x14ac:dyDescent="0.35">
      <c r="A139" t="s">
        <v>271</v>
      </c>
      <c r="B139" t="s">
        <v>272</v>
      </c>
      <c r="C139">
        <v>0.41399999999999998</v>
      </c>
      <c r="D139">
        <v>0.38500000000000001</v>
      </c>
      <c r="E139">
        <v>1.4999999999999999E-2</v>
      </c>
      <c r="F139" t="s">
        <v>8</v>
      </c>
    </row>
    <row r="140" spans="1:6" x14ac:dyDescent="0.35">
      <c r="A140" t="s">
        <v>273</v>
      </c>
      <c r="B140" t="s">
        <v>274</v>
      </c>
      <c r="C140">
        <v>0.38500000000000001</v>
      </c>
      <c r="D140">
        <v>0.18</v>
      </c>
      <c r="E140">
        <v>1.4999999999999999E-2</v>
      </c>
      <c r="F140" t="s">
        <v>8</v>
      </c>
    </row>
    <row r="141" spans="1:6" x14ac:dyDescent="0.35">
      <c r="A141" t="s">
        <v>275</v>
      </c>
      <c r="B141" t="s">
        <v>276</v>
      </c>
      <c r="C141">
        <v>0.38500000000000001</v>
      </c>
      <c r="D141">
        <v>0.18</v>
      </c>
      <c r="E141">
        <v>1.4999999999999999E-2</v>
      </c>
      <c r="F141" t="s">
        <v>8</v>
      </c>
    </row>
    <row r="142" spans="1:6" x14ac:dyDescent="0.35">
      <c r="A142" t="s">
        <v>277</v>
      </c>
      <c r="B142" t="s">
        <v>278</v>
      </c>
      <c r="C142">
        <v>0.41399999999999998</v>
      </c>
      <c r="D142">
        <v>0.38500000000000001</v>
      </c>
      <c r="E142">
        <v>1.4999999999999999E-2</v>
      </c>
      <c r="F142" t="s">
        <v>8</v>
      </c>
    </row>
    <row r="143" spans="1:6" x14ac:dyDescent="0.35">
      <c r="A143" t="s">
        <v>279</v>
      </c>
      <c r="B143" t="s">
        <v>230</v>
      </c>
      <c r="C143">
        <v>0</v>
      </c>
      <c r="D143">
        <v>0</v>
      </c>
      <c r="E143">
        <v>0</v>
      </c>
      <c r="F143" t="s">
        <v>8</v>
      </c>
    </row>
    <row r="144" spans="1:6" x14ac:dyDescent="0.35">
      <c r="A144" t="s">
        <v>280</v>
      </c>
      <c r="B144" t="s">
        <v>281</v>
      </c>
      <c r="C144">
        <v>0</v>
      </c>
      <c r="D144">
        <v>0</v>
      </c>
      <c r="E144">
        <v>0</v>
      </c>
      <c r="F144" t="s">
        <v>8</v>
      </c>
    </row>
    <row r="145" spans="1:6" x14ac:dyDescent="0.35">
      <c r="A145" t="s">
        <v>282</v>
      </c>
      <c r="B145" t="s">
        <v>283</v>
      </c>
      <c r="C145">
        <v>0</v>
      </c>
      <c r="D145">
        <v>0</v>
      </c>
      <c r="E145">
        <v>0</v>
      </c>
      <c r="F145" t="s">
        <v>8</v>
      </c>
    </row>
    <row r="146" spans="1:6" x14ac:dyDescent="0.35">
      <c r="A146" t="s">
        <v>284</v>
      </c>
      <c r="B146" t="s">
        <v>236</v>
      </c>
      <c r="C146">
        <v>0</v>
      </c>
      <c r="D146">
        <v>0</v>
      </c>
      <c r="E146">
        <v>0</v>
      </c>
      <c r="F146" t="s">
        <v>8</v>
      </c>
    </row>
    <row r="147" spans="1:6" x14ac:dyDescent="0.35">
      <c r="A147" t="s">
        <v>285</v>
      </c>
      <c r="B147" t="s">
        <v>238</v>
      </c>
      <c r="C147">
        <v>0</v>
      </c>
      <c r="D147">
        <v>0</v>
      </c>
      <c r="E147">
        <v>0</v>
      </c>
      <c r="F147" t="s">
        <v>8</v>
      </c>
    </row>
    <row r="148" spans="1:6" x14ac:dyDescent="0.35">
      <c r="A148" t="s">
        <v>286</v>
      </c>
      <c r="B148" t="s">
        <v>240</v>
      </c>
      <c r="C148">
        <v>0</v>
      </c>
      <c r="D148">
        <v>0</v>
      </c>
      <c r="E148">
        <v>0</v>
      </c>
      <c r="F148" t="s">
        <v>8</v>
      </c>
    </row>
    <row r="149" spans="1:6" x14ac:dyDescent="0.35">
      <c r="A149" t="s">
        <v>287</v>
      </c>
      <c r="B149" t="s">
        <v>242</v>
      </c>
      <c r="C149">
        <v>0</v>
      </c>
      <c r="D149">
        <v>0</v>
      </c>
      <c r="E149">
        <v>0</v>
      </c>
      <c r="F149" t="s">
        <v>8</v>
      </c>
    </row>
    <row r="150" spans="1:6" x14ac:dyDescent="0.35">
      <c r="A150" t="s">
        <v>288</v>
      </c>
      <c r="B150" t="s">
        <v>244</v>
      </c>
      <c r="C150">
        <v>0</v>
      </c>
      <c r="D150">
        <v>0</v>
      </c>
      <c r="E150">
        <v>0</v>
      </c>
      <c r="F150" t="s">
        <v>8</v>
      </c>
    </row>
    <row r="151" spans="1:6" x14ac:dyDescent="0.35">
      <c r="A151" t="s">
        <v>289</v>
      </c>
      <c r="B151" t="s">
        <v>290</v>
      </c>
      <c r="C151">
        <v>0.9</v>
      </c>
      <c r="D151">
        <v>0.9</v>
      </c>
      <c r="E151">
        <v>1.2E-2</v>
      </c>
      <c r="F151" t="s">
        <v>8</v>
      </c>
    </row>
    <row r="152" spans="1:6" x14ac:dyDescent="0.35">
      <c r="A152" t="s">
        <v>291</v>
      </c>
      <c r="B152" t="s">
        <v>292</v>
      </c>
      <c r="C152">
        <v>0.9</v>
      </c>
      <c r="D152">
        <v>0.06</v>
      </c>
      <c r="E152">
        <v>1.4999999999999999E-2</v>
      </c>
      <c r="F152" t="s">
        <v>8</v>
      </c>
    </row>
    <row r="153" spans="1:6" x14ac:dyDescent="0.35">
      <c r="A153" t="s">
        <v>293</v>
      </c>
      <c r="B153" t="s">
        <v>294</v>
      </c>
      <c r="C153">
        <v>0.78</v>
      </c>
      <c r="D153">
        <v>0.06</v>
      </c>
      <c r="E153">
        <v>1.4999999999999999E-2</v>
      </c>
      <c r="F153" t="s">
        <v>8</v>
      </c>
    </row>
    <row r="154" spans="1:6" x14ac:dyDescent="0.35">
      <c r="A154" t="s">
        <v>295</v>
      </c>
      <c r="B154" t="s">
        <v>296</v>
      </c>
      <c r="C154">
        <v>0.74</v>
      </c>
      <c r="D154">
        <v>0.1</v>
      </c>
      <c r="E154">
        <v>1.4999999999999999E-2</v>
      </c>
      <c r="F154" t="s">
        <v>8</v>
      </c>
    </row>
    <row r="155" spans="1:6" x14ac:dyDescent="0.35">
      <c r="A155" t="s">
        <v>297</v>
      </c>
      <c r="B155" t="s">
        <v>298</v>
      </c>
      <c r="C155">
        <v>0.71</v>
      </c>
      <c r="D155">
        <v>0.1</v>
      </c>
      <c r="E155">
        <v>1.4999999999999999E-2</v>
      </c>
      <c r="F155" t="s">
        <v>8</v>
      </c>
    </row>
    <row r="156" spans="1:6" x14ac:dyDescent="0.35">
      <c r="A156" t="s">
        <v>299</v>
      </c>
      <c r="B156" t="s">
        <v>300</v>
      </c>
      <c r="C156">
        <v>0</v>
      </c>
      <c r="D156">
        <v>0</v>
      </c>
      <c r="E156">
        <v>0</v>
      </c>
      <c r="F156" t="s">
        <v>301</v>
      </c>
    </row>
    <row r="157" spans="1:6" x14ac:dyDescent="0.35">
      <c r="A157" t="s">
        <v>302</v>
      </c>
      <c r="B157" t="s">
        <v>303</v>
      </c>
      <c r="C157">
        <v>1.202</v>
      </c>
      <c r="D157">
        <v>0.80200000000000005</v>
      </c>
      <c r="E157">
        <v>1.2E-2</v>
      </c>
      <c r="F157" t="s">
        <v>8</v>
      </c>
    </row>
    <row r="158" spans="1:6" x14ac:dyDescent="0.35">
      <c r="A158" t="s">
        <v>304</v>
      </c>
      <c r="B158" t="s">
        <v>305</v>
      </c>
      <c r="C158">
        <v>1.03</v>
      </c>
      <c r="D158">
        <v>0.1</v>
      </c>
      <c r="E158">
        <v>1.4999999999999999E-2</v>
      </c>
      <c r="F158" t="s">
        <v>8</v>
      </c>
    </row>
    <row r="159" spans="1:6" x14ac:dyDescent="0.35">
      <c r="A159" t="s">
        <v>306</v>
      </c>
      <c r="B159" t="s">
        <v>307</v>
      </c>
      <c r="C159">
        <v>1.2</v>
      </c>
      <c r="D159">
        <v>0.06</v>
      </c>
      <c r="E159">
        <v>1.4999999999999999E-2</v>
      </c>
      <c r="F159" t="s">
        <v>8</v>
      </c>
    </row>
    <row r="160" spans="1:6" x14ac:dyDescent="0.35">
      <c r="A160" t="s">
        <v>308</v>
      </c>
      <c r="B160" t="s">
        <v>309</v>
      </c>
      <c r="C160">
        <v>0.80200000000000005</v>
      </c>
      <c r="D160">
        <v>0.06</v>
      </c>
      <c r="E160">
        <v>1.4999999999999999E-2</v>
      </c>
      <c r="F160" t="s">
        <v>8</v>
      </c>
    </row>
    <row r="161" spans="1:6" x14ac:dyDescent="0.35">
      <c r="A161" t="s">
        <v>310</v>
      </c>
      <c r="B161" t="s">
        <v>311</v>
      </c>
      <c r="C161">
        <v>0</v>
      </c>
      <c r="D161">
        <v>0</v>
      </c>
      <c r="E161">
        <v>0</v>
      </c>
      <c r="F161" t="s">
        <v>301</v>
      </c>
    </row>
    <row r="162" spans="1:6" x14ac:dyDescent="0.35">
      <c r="A162" t="s">
        <v>312</v>
      </c>
      <c r="B162" t="s">
        <v>313</v>
      </c>
      <c r="C162">
        <v>1.08</v>
      </c>
      <c r="D162">
        <v>0.06</v>
      </c>
      <c r="E162">
        <v>1.4999999999999999E-2</v>
      </c>
      <c r="F162" t="s">
        <v>8</v>
      </c>
    </row>
    <row r="163" spans="1:6" x14ac:dyDescent="0.35">
      <c r="A163" t="s">
        <v>314</v>
      </c>
      <c r="B163" t="s">
        <v>315</v>
      </c>
      <c r="C163">
        <v>1.2</v>
      </c>
      <c r="D163">
        <v>0.8</v>
      </c>
      <c r="E163">
        <v>1.4999999999999999E-2</v>
      </c>
      <c r="F163" t="s">
        <v>8</v>
      </c>
    </row>
    <row r="164" spans="1:6" x14ac:dyDescent="0.35">
      <c r="A164" t="s">
        <v>316</v>
      </c>
      <c r="B164" t="s">
        <v>317</v>
      </c>
      <c r="C164">
        <v>0</v>
      </c>
      <c r="D164">
        <v>0</v>
      </c>
      <c r="E164">
        <v>0</v>
      </c>
      <c r="F164" t="s">
        <v>301</v>
      </c>
    </row>
    <row r="165" spans="1:6" x14ac:dyDescent="0.35">
      <c r="A165" t="s">
        <v>318</v>
      </c>
      <c r="B165" t="s">
        <v>319</v>
      </c>
      <c r="C165">
        <v>1.3680000000000001</v>
      </c>
      <c r="D165">
        <v>0.80200000000000005</v>
      </c>
      <c r="E165">
        <v>1.2E-2</v>
      </c>
      <c r="F165" t="s">
        <v>8</v>
      </c>
    </row>
    <row r="166" spans="1:6" x14ac:dyDescent="0.35">
      <c r="A166" t="s">
        <v>320</v>
      </c>
      <c r="B166" t="s">
        <v>321</v>
      </c>
      <c r="C166">
        <v>0.76</v>
      </c>
      <c r="D166">
        <v>8.5000000000000006E-2</v>
      </c>
      <c r="E166">
        <v>1.4999999999999999E-2</v>
      </c>
      <c r="F166" t="s">
        <v>8</v>
      </c>
    </row>
    <row r="167" spans="1:6" x14ac:dyDescent="0.35">
      <c r="A167" t="s">
        <v>322</v>
      </c>
      <c r="B167" t="s">
        <v>323</v>
      </c>
      <c r="C167">
        <v>0.76</v>
      </c>
      <c r="D167">
        <v>6.8000000000000005E-2</v>
      </c>
      <c r="E167">
        <v>1.4999999999999999E-2</v>
      </c>
      <c r="F167" t="s">
        <v>8</v>
      </c>
    </row>
    <row r="168" spans="1:6" x14ac:dyDescent="0.35">
      <c r="A168" t="s">
        <v>324</v>
      </c>
      <c r="B168" t="s">
        <v>325</v>
      </c>
      <c r="C168">
        <v>1.246</v>
      </c>
      <c r="D168">
        <v>0.06</v>
      </c>
      <c r="E168">
        <v>1.4999999999999999E-2</v>
      </c>
      <c r="F168" t="s">
        <v>8</v>
      </c>
    </row>
    <row r="169" spans="1:6" x14ac:dyDescent="0.35">
      <c r="A169" t="s">
        <v>326</v>
      </c>
      <c r="B169" t="s">
        <v>327</v>
      </c>
      <c r="C169">
        <v>1.21</v>
      </c>
      <c r="D169">
        <v>0.1</v>
      </c>
      <c r="E169">
        <v>1.4999999999999999E-2</v>
      </c>
      <c r="F169" t="s">
        <v>8</v>
      </c>
    </row>
    <row r="170" spans="1:6" x14ac:dyDescent="0.35">
      <c r="A170" t="s">
        <v>328</v>
      </c>
      <c r="B170" t="s">
        <v>329</v>
      </c>
      <c r="C170">
        <v>0.61</v>
      </c>
      <c r="D170">
        <v>0.1</v>
      </c>
      <c r="E170">
        <v>1.4999999999999999E-2</v>
      </c>
      <c r="F170" t="s">
        <v>8</v>
      </c>
    </row>
    <row r="171" spans="1:6" x14ac:dyDescent="0.35">
      <c r="A171" t="s">
        <v>330</v>
      </c>
      <c r="B171" t="s">
        <v>331</v>
      </c>
      <c r="C171">
        <v>0</v>
      </c>
      <c r="D171">
        <v>0</v>
      </c>
      <c r="E171">
        <v>0</v>
      </c>
      <c r="F171" t="s">
        <v>301</v>
      </c>
    </row>
    <row r="172" spans="1:6" x14ac:dyDescent="0.35">
      <c r="A172" t="s">
        <v>332</v>
      </c>
      <c r="B172" t="s">
        <v>333</v>
      </c>
      <c r="C172">
        <v>0.76</v>
      </c>
      <c r="D172">
        <v>0.12</v>
      </c>
      <c r="E172">
        <v>1.4999999999999999E-2</v>
      </c>
      <c r="F172" t="s">
        <v>8</v>
      </c>
    </row>
    <row r="173" spans="1:6" x14ac:dyDescent="0.35">
      <c r="A173" t="s">
        <v>334</v>
      </c>
      <c r="B173" t="s">
        <v>335</v>
      </c>
      <c r="C173">
        <v>0.76</v>
      </c>
      <c r="D173">
        <v>0.1</v>
      </c>
      <c r="E173">
        <v>1.4999999999999999E-2</v>
      </c>
      <c r="F173" t="s">
        <v>8</v>
      </c>
    </row>
    <row r="174" spans="1:6" x14ac:dyDescent="0.35">
      <c r="A174" t="s">
        <v>336</v>
      </c>
      <c r="B174" t="s">
        <v>337</v>
      </c>
      <c r="C174">
        <v>0.77800000000000002</v>
      </c>
      <c r="D174">
        <v>0.45300000000000001</v>
      </c>
      <c r="E174">
        <v>1.2E-2</v>
      </c>
      <c r="F174" t="s">
        <v>8</v>
      </c>
    </row>
    <row r="175" spans="1:6" x14ac:dyDescent="0.35">
      <c r="A175" t="s">
        <v>338</v>
      </c>
      <c r="B175" t="s">
        <v>339</v>
      </c>
      <c r="C175">
        <v>0.307</v>
      </c>
      <c r="D175">
        <v>0.35</v>
      </c>
      <c r="E175">
        <v>1.4999999999999999E-2</v>
      </c>
      <c r="F175" t="s">
        <v>8</v>
      </c>
    </row>
    <row r="176" spans="1:6" x14ac:dyDescent="0.35">
      <c r="A176" t="s">
        <v>340</v>
      </c>
      <c r="B176" t="s">
        <v>341</v>
      </c>
      <c r="C176">
        <v>0.45500000000000002</v>
      </c>
      <c r="D176">
        <v>0.34799999999999998</v>
      </c>
      <c r="E176">
        <v>1.4999999999999999E-2</v>
      </c>
      <c r="F176" t="s">
        <v>8</v>
      </c>
    </row>
    <row r="177" spans="1:6" x14ac:dyDescent="0.35">
      <c r="A177" t="s">
        <v>342</v>
      </c>
      <c r="B177" t="s">
        <v>343</v>
      </c>
      <c r="C177">
        <v>0.33200000000000002</v>
      </c>
      <c r="D177">
        <v>0.1</v>
      </c>
      <c r="E177">
        <v>3.0000000000000001E-3</v>
      </c>
      <c r="F177" t="s">
        <v>8</v>
      </c>
    </row>
    <row r="178" spans="1:6" x14ac:dyDescent="0.35">
      <c r="A178" t="s">
        <v>344</v>
      </c>
      <c r="B178" t="s">
        <v>345</v>
      </c>
      <c r="C178">
        <v>0.9</v>
      </c>
      <c r="D178">
        <v>0.9</v>
      </c>
      <c r="E178">
        <v>1.4999999999999999E-2</v>
      </c>
      <c r="F178" t="s">
        <v>8</v>
      </c>
    </row>
    <row r="179" spans="1:6" x14ac:dyDescent="0.35">
      <c r="A179" t="s">
        <v>346</v>
      </c>
      <c r="B179" t="s">
        <v>347</v>
      </c>
      <c r="C179">
        <v>0.90200000000000002</v>
      </c>
      <c r="D179">
        <v>0.06</v>
      </c>
      <c r="E179">
        <v>1.2E-2</v>
      </c>
      <c r="F179" t="s">
        <v>8</v>
      </c>
    </row>
    <row r="180" spans="1:6" x14ac:dyDescent="0.35">
      <c r="A180" t="s">
        <v>348</v>
      </c>
      <c r="B180" t="s">
        <v>349</v>
      </c>
      <c r="C180">
        <v>0.78200000000000003</v>
      </c>
      <c r="D180">
        <v>0.06</v>
      </c>
      <c r="E180">
        <v>1.2E-2</v>
      </c>
      <c r="F180" t="s">
        <v>8</v>
      </c>
    </row>
    <row r="181" spans="1:6" x14ac:dyDescent="0.35">
      <c r="A181" t="s">
        <v>350</v>
      </c>
      <c r="B181" t="s">
        <v>351</v>
      </c>
      <c r="C181">
        <v>0</v>
      </c>
      <c r="D181">
        <v>0</v>
      </c>
      <c r="E181">
        <v>0</v>
      </c>
      <c r="F181" t="s">
        <v>301</v>
      </c>
    </row>
    <row r="182" spans="1:6" x14ac:dyDescent="0.35">
      <c r="A182" t="s">
        <v>352</v>
      </c>
      <c r="B182" t="s">
        <v>353</v>
      </c>
      <c r="C182">
        <v>0.52700000000000002</v>
      </c>
      <c r="D182">
        <v>0.35</v>
      </c>
      <c r="E182">
        <v>1.4999999999999999E-2</v>
      </c>
      <c r="F182" t="s">
        <v>8</v>
      </c>
    </row>
    <row r="183" spans="1:6" x14ac:dyDescent="0.35">
      <c r="A183" t="s">
        <v>354</v>
      </c>
      <c r="B183" t="s">
        <v>355</v>
      </c>
      <c r="C183">
        <v>0.67500000000000004</v>
      </c>
      <c r="D183">
        <v>0.34799999999999998</v>
      </c>
      <c r="E183">
        <v>1.4999999999999999E-2</v>
      </c>
      <c r="F183" t="s">
        <v>8</v>
      </c>
    </row>
    <row r="184" spans="1:6" x14ac:dyDescent="0.35">
      <c r="A184" t="s">
        <v>356</v>
      </c>
      <c r="B184" t="s">
        <v>357</v>
      </c>
      <c r="C184">
        <v>0.55200000000000005</v>
      </c>
      <c r="D184">
        <v>0.1</v>
      </c>
      <c r="E184">
        <v>3.0000000000000001E-3</v>
      </c>
      <c r="F184" t="s">
        <v>8</v>
      </c>
    </row>
    <row r="185" spans="1:6" x14ac:dyDescent="0.35">
      <c r="A185" t="s">
        <v>358</v>
      </c>
      <c r="B185" t="s">
        <v>359</v>
      </c>
      <c r="C185">
        <v>1.3680000000000001</v>
      </c>
      <c r="D185">
        <v>0.80200000000000005</v>
      </c>
      <c r="E185">
        <v>1.2E-2</v>
      </c>
      <c r="F185" t="s">
        <v>8</v>
      </c>
    </row>
    <row r="186" spans="1:6" x14ac:dyDescent="0.35">
      <c r="A186" t="s">
        <v>360</v>
      </c>
      <c r="B186" t="s">
        <v>361</v>
      </c>
      <c r="C186">
        <v>1.246</v>
      </c>
      <c r="D186">
        <v>0.06</v>
      </c>
      <c r="E186">
        <v>1.2E-2</v>
      </c>
      <c r="F186" t="s">
        <v>8</v>
      </c>
    </row>
    <row r="187" spans="1:6" x14ac:dyDescent="0.35">
      <c r="A187" t="s">
        <v>362</v>
      </c>
      <c r="B187" t="s">
        <v>363</v>
      </c>
      <c r="C187">
        <v>0.80200000000000005</v>
      </c>
      <c r="D187">
        <v>0.06</v>
      </c>
      <c r="E187">
        <v>1.2E-2</v>
      </c>
      <c r="F187" t="s">
        <v>8</v>
      </c>
    </row>
    <row r="188" spans="1:6" x14ac:dyDescent="0.35">
      <c r="A188" t="s">
        <v>364</v>
      </c>
      <c r="B188" t="s">
        <v>365</v>
      </c>
      <c r="C188">
        <v>0.76500000000000001</v>
      </c>
      <c r="D188">
        <v>0.35</v>
      </c>
      <c r="E188">
        <v>1.4999999999999999E-2</v>
      </c>
      <c r="F188" t="s">
        <v>8</v>
      </c>
    </row>
    <row r="189" spans="1:6" x14ac:dyDescent="0.35">
      <c r="A189" t="s">
        <v>366</v>
      </c>
      <c r="B189" t="s">
        <v>367</v>
      </c>
      <c r="C189">
        <v>0.91300000000000003</v>
      </c>
      <c r="D189">
        <v>0.34799999999999998</v>
      </c>
      <c r="E189">
        <v>0.15</v>
      </c>
      <c r="F189" t="s">
        <v>8</v>
      </c>
    </row>
    <row r="190" spans="1:6" x14ac:dyDescent="0.35">
      <c r="A190" t="s">
        <v>368</v>
      </c>
      <c r="B190" t="s">
        <v>369</v>
      </c>
      <c r="C190">
        <v>0.78900000000000003</v>
      </c>
      <c r="D190">
        <v>0.1</v>
      </c>
      <c r="E190">
        <v>3.0000000000000001E-3</v>
      </c>
      <c r="F190" t="s">
        <v>8</v>
      </c>
    </row>
    <row r="191" spans="1:6" x14ac:dyDescent="0.35">
      <c r="A191" t="s">
        <v>370</v>
      </c>
      <c r="B191" t="s">
        <v>371</v>
      </c>
      <c r="C191">
        <v>1.6020000000000001</v>
      </c>
      <c r="D191">
        <v>0.80200000000000005</v>
      </c>
      <c r="E191">
        <v>1.2E-2</v>
      </c>
      <c r="F191" t="s">
        <v>8</v>
      </c>
    </row>
    <row r="192" spans="1:6" x14ac:dyDescent="0.35">
      <c r="A192" t="s">
        <v>372</v>
      </c>
      <c r="B192" t="s">
        <v>373</v>
      </c>
      <c r="C192">
        <v>1.4810000000000001</v>
      </c>
      <c r="D192">
        <v>0.06</v>
      </c>
      <c r="E192">
        <v>1.2E-2</v>
      </c>
      <c r="F192" t="s">
        <v>8</v>
      </c>
    </row>
    <row r="193" spans="1:6" x14ac:dyDescent="0.35">
      <c r="A193" t="s">
        <v>374</v>
      </c>
      <c r="B193" t="s">
        <v>375</v>
      </c>
      <c r="C193">
        <v>0</v>
      </c>
      <c r="D193">
        <v>0</v>
      </c>
      <c r="E193">
        <v>0</v>
      </c>
      <c r="F193" t="s">
        <v>301</v>
      </c>
    </row>
    <row r="194" spans="1:6" x14ac:dyDescent="0.35">
      <c r="A194" t="s">
        <v>376</v>
      </c>
      <c r="B194" t="s">
        <v>377</v>
      </c>
      <c r="C194">
        <v>1.3680000000000001</v>
      </c>
      <c r="D194">
        <v>0.80200000000000005</v>
      </c>
      <c r="E194">
        <v>1.2E-2</v>
      </c>
      <c r="F194" t="s">
        <v>8</v>
      </c>
    </row>
    <row r="195" spans="1:6" x14ac:dyDescent="0.35">
      <c r="A195" t="s">
        <v>378</v>
      </c>
      <c r="B195" t="s">
        <v>379</v>
      </c>
      <c r="C195">
        <v>1.246</v>
      </c>
      <c r="D195">
        <v>0.06</v>
      </c>
      <c r="E195">
        <v>1.2E-2</v>
      </c>
      <c r="F195" t="s">
        <v>8</v>
      </c>
    </row>
    <row r="196" spans="1:6" x14ac:dyDescent="0.35">
      <c r="A196" t="s">
        <v>380</v>
      </c>
      <c r="B196" t="s">
        <v>381</v>
      </c>
      <c r="C196">
        <v>0.80200000000000005</v>
      </c>
      <c r="D196">
        <v>0.06</v>
      </c>
      <c r="E196">
        <v>1.2E-2</v>
      </c>
      <c r="F196" t="s">
        <v>8</v>
      </c>
    </row>
    <row r="197" spans="1:6" x14ac:dyDescent="0.35">
      <c r="A197" t="s">
        <v>382</v>
      </c>
      <c r="B197" t="s">
        <v>337</v>
      </c>
      <c r="C197">
        <v>0.77800000000000002</v>
      </c>
      <c r="D197">
        <v>0.45300000000000001</v>
      </c>
      <c r="E197">
        <v>1.2E-2</v>
      </c>
      <c r="F197" t="s">
        <v>8</v>
      </c>
    </row>
    <row r="198" spans="1:6" x14ac:dyDescent="0.35">
      <c r="A198" t="s">
        <v>383</v>
      </c>
      <c r="B198" t="s">
        <v>339</v>
      </c>
      <c r="C198">
        <v>0.307</v>
      </c>
      <c r="D198">
        <v>0.35</v>
      </c>
      <c r="E198">
        <v>1.4999999999999999E-2</v>
      </c>
      <c r="F198" t="s">
        <v>8</v>
      </c>
    </row>
    <row r="199" spans="1:6" x14ac:dyDescent="0.35">
      <c r="A199" t="s">
        <v>384</v>
      </c>
      <c r="B199" t="s">
        <v>341</v>
      </c>
      <c r="C199">
        <v>0.45500000000000002</v>
      </c>
      <c r="D199">
        <v>0.34799999999999998</v>
      </c>
      <c r="E199">
        <v>1.4999999999999999E-2</v>
      </c>
      <c r="F199" t="s">
        <v>8</v>
      </c>
    </row>
    <row r="200" spans="1:6" x14ac:dyDescent="0.35">
      <c r="A200" t="s">
        <v>385</v>
      </c>
      <c r="B200" t="s">
        <v>386</v>
      </c>
      <c r="C200">
        <v>0.34200000000000003</v>
      </c>
      <c r="D200">
        <v>0.1</v>
      </c>
      <c r="E200">
        <v>3.0000000000000001E-3</v>
      </c>
      <c r="F200" t="s">
        <v>8</v>
      </c>
    </row>
    <row r="201" spans="1:6" x14ac:dyDescent="0.35">
      <c r="A201" t="s">
        <v>387</v>
      </c>
      <c r="B201" t="s">
        <v>345</v>
      </c>
      <c r="C201">
        <v>0.9</v>
      </c>
      <c r="D201">
        <v>0.9</v>
      </c>
      <c r="E201">
        <v>1.4999999999999999E-2</v>
      </c>
      <c r="F201" t="s">
        <v>8</v>
      </c>
    </row>
    <row r="202" spans="1:6" x14ac:dyDescent="0.35">
      <c r="A202" t="s">
        <v>388</v>
      </c>
      <c r="B202" t="s">
        <v>353</v>
      </c>
      <c r="C202">
        <v>0.52700000000000002</v>
      </c>
      <c r="D202">
        <v>0.35</v>
      </c>
      <c r="E202">
        <v>1.4999999999999999E-2</v>
      </c>
      <c r="F202" t="s">
        <v>8</v>
      </c>
    </row>
    <row r="203" spans="1:6" x14ac:dyDescent="0.35">
      <c r="A203" t="s">
        <v>389</v>
      </c>
      <c r="B203" t="s">
        <v>355</v>
      </c>
      <c r="C203">
        <v>0.67500000000000004</v>
      </c>
      <c r="D203">
        <v>0.34799999999999998</v>
      </c>
      <c r="E203">
        <v>1.4999999999999999E-2</v>
      </c>
      <c r="F203" t="s">
        <v>8</v>
      </c>
    </row>
    <row r="204" spans="1:6" x14ac:dyDescent="0.35">
      <c r="A204" t="s">
        <v>390</v>
      </c>
      <c r="B204" t="s">
        <v>391</v>
      </c>
      <c r="C204">
        <v>0.56200000000000006</v>
      </c>
      <c r="D204">
        <v>0.1</v>
      </c>
      <c r="E204">
        <v>3.0000000000000001E-3</v>
      </c>
      <c r="F204" t="s">
        <v>8</v>
      </c>
    </row>
    <row r="205" spans="1:6" x14ac:dyDescent="0.35">
      <c r="A205" t="s">
        <v>392</v>
      </c>
      <c r="B205" t="s">
        <v>393</v>
      </c>
      <c r="C205">
        <v>1.3680000000000001</v>
      </c>
      <c r="D205">
        <v>0.80200000000000005</v>
      </c>
      <c r="E205">
        <v>1.2E-2</v>
      </c>
      <c r="F205" t="s">
        <v>8</v>
      </c>
    </row>
    <row r="206" spans="1:6" x14ac:dyDescent="0.35">
      <c r="A206" t="s">
        <v>394</v>
      </c>
      <c r="B206" t="s">
        <v>365</v>
      </c>
      <c r="C206">
        <v>0.76500000000000001</v>
      </c>
      <c r="D206">
        <v>0.35</v>
      </c>
      <c r="E206">
        <v>1.4999999999999999E-2</v>
      </c>
      <c r="F206" t="s">
        <v>8</v>
      </c>
    </row>
    <row r="207" spans="1:6" x14ac:dyDescent="0.35">
      <c r="A207" t="s">
        <v>395</v>
      </c>
      <c r="B207" t="s">
        <v>367</v>
      </c>
      <c r="C207">
        <v>0.91300000000000003</v>
      </c>
      <c r="D207">
        <v>0.34799999999999998</v>
      </c>
      <c r="E207">
        <v>0.15</v>
      </c>
      <c r="F207" t="s">
        <v>8</v>
      </c>
    </row>
    <row r="208" spans="1:6" x14ac:dyDescent="0.35">
      <c r="A208" t="s">
        <v>396</v>
      </c>
      <c r="B208" t="s">
        <v>397</v>
      </c>
      <c r="C208">
        <v>0.79900000000000004</v>
      </c>
      <c r="D208">
        <v>0.1</v>
      </c>
      <c r="E208">
        <v>3.0000000000000001E-3</v>
      </c>
      <c r="F208" t="s">
        <v>8</v>
      </c>
    </row>
    <row r="209" spans="1:6" x14ac:dyDescent="0.35">
      <c r="A209" t="s">
        <v>398</v>
      </c>
      <c r="B209" t="s">
        <v>399</v>
      </c>
      <c r="C209">
        <v>1.6020000000000001</v>
      </c>
      <c r="D209">
        <v>0.80200000000000005</v>
      </c>
      <c r="E209">
        <v>1.2E-2</v>
      </c>
      <c r="F209" t="s">
        <v>8</v>
      </c>
    </row>
    <row r="210" spans="1:6" x14ac:dyDescent="0.35">
      <c r="A210" t="s">
        <v>400</v>
      </c>
      <c r="B210" t="s">
        <v>401</v>
      </c>
      <c r="C210">
        <v>0.76500000000000001</v>
      </c>
      <c r="D210">
        <v>0.35</v>
      </c>
      <c r="E210">
        <v>1.4999999999999999E-2</v>
      </c>
      <c r="F210" t="s">
        <v>8</v>
      </c>
    </row>
    <row r="211" spans="1:6" x14ac:dyDescent="0.35">
      <c r="A211" t="s">
        <v>402</v>
      </c>
      <c r="B211" t="s">
        <v>403</v>
      </c>
      <c r="C211">
        <v>0.91300000000000003</v>
      </c>
      <c r="D211">
        <v>0.34799999999999998</v>
      </c>
      <c r="E211">
        <v>0.15</v>
      </c>
      <c r="F211" t="s">
        <v>8</v>
      </c>
    </row>
    <row r="212" spans="1:6" x14ac:dyDescent="0.35">
      <c r="A212" t="s">
        <v>404</v>
      </c>
      <c r="B212" t="s">
        <v>405</v>
      </c>
      <c r="C212">
        <v>0.999</v>
      </c>
      <c r="D212">
        <v>0.1</v>
      </c>
      <c r="E212">
        <v>3.0000000000000001E-3</v>
      </c>
      <c r="F212" t="s">
        <v>8</v>
      </c>
    </row>
    <row r="213" spans="1:6" x14ac:dyDescent="0.35">
      <c r="A213" t="s">
        <v>406</v>
      </c>
      <c r="B213" t="s">
        <v>399</v>
      </c>
      <c r="C213">
        <v>1.6020000000000001</v>
      </c>
      <c r="D213">
        <v>0.80200000000000005</v>
      </c>
      <c r="E213">
        <v>1.2E-2</v>
      </c>
      <c r="F213" t="s">
        <v>8</v>
      </c>
    </row>
    <row r="214" spans="1:6" x14ac:dyDescent="0.35">
      <c r="A214" t="s">
        <v>407</v>
      </c>
      <c r="B214" t="s">
        <v>408</v>
      </c>
      <c r="C214">
        <v>1.6020000000000001</v>
      </c>
      <c r="D214">
        <v>0.80200000000000005</v>
      </c>
      <c r="E214">
        <v>1.2E-2</v>
      </c>
      <c r="F214" t="s">
        <v>8</v>
      </c>
    </row>
    <row r="215" spans="1:6" x14ac:dyDescent="0.35">
      <c r="A215" t="s">
        <v>409</v>
      </c>
      <c r="B215" t="s">
        <v>410</v>
      </c>
      <c r="C215">
        <v>1.482</v>
      </c>
      <c r="D215">
        <v>0.06</v>
      </c>
      <c r="E215">
        <v>1.4999999999999999E-2</v>
      </c>
      <c r="F215" t="s">
        <v>8</v>
      </c>
    </row>
    <row r="216" spans="1:6" x14ac:dyDescent="0.35">
      <c r="A216" t="s">
        <v>411</v>
      </c>
      <c r="B216" t="s">
        <v>412</v>
      </c>
      <c r="C216">
        <v>1.4419999999999999</v>
      </c>
      <c r="D216">
        <v>0.1</v>
      </c>
      <c r="E216">
        <v>1.4999999999999999E-2</v>
      </c>
      <c r="F216" t="s">
        <v>8</v>
      </c>
    </row>
    <row r="217" spans="1:6" x14ac:dyDescent="0.35">
      <c r="A217" t="s">
        <v>413</v>
      </c>
      <c r="B217" t="s">
        <v>414</v>
      </c>
      <c r="C217">
        <v>0</v>
      </c>
      <c r="D217">
        <v>0</v>
      </c>
      <c r="E217">
        <v>0</v>
      </c>
      <c r="F217" t="s">
        <v>301</v>
      </c>
    </row>
    <row r="218" spans="1:6" x14ac:dyDescent="0.35">
      <c r="A218" t="s">
        <v>415</v>
      </c>
      <c r="B218" t="s">
        <v>416</v>
      </c>
      <c r="C218">
        <v>0</v>
      </c>
      <c r="D218">
        <v>0</v>
      </c>
      <c r="E218">
        <v>0</v>
      </c>
      <c r="F218" t="s">
        <v>301</v>
      </c>
    </row>
    <row r="219" spans="1:6" x14ac:dyDescent="0.35">
      <c r="A219" t="s">
        <v>417</v>
      </c>
      <c r="B219" t="s">
        <v>418</v>
      </c>
      <c r="C219">
        <v>0.67500000000000004</v>
      </c>
      <c r="D219">
        <v>0.76900000000000002</v>
      </c>
      <c r="E219">
        <v>1.4999999999999999E-2</v>
      </c>
      <c r="F219" t="s">
        <v>8</v>
      </c>
    </row>
    <row r="220" spans="1:6" x14ac:dyDescent="0.35">
      <c r="A220" t="s">
        <v>419</v>
      </c>
      <c r="B220" t="s">
        <v>420</v>
      </c>
      <c r="C220">
        <v>0</v>
      </c>
      <c r="D220">
        <v>0</v>
      </c>
      <c r="E220">
        <v>0</v>
      </c>
      <c r="F220" t="s">
        <v>301</v>
      </c>
    </row>
    <row r="221" spans="1:6" x14ac:dyDescent="0.35">
      <c r="A221" t="s">
        <v>421</v>
      </c>
      <c r="B221" t="s">
        <v>422</v>
      </c>
      <c r="C221">
        <v>0.9</v>
      </c>
      <c r="D221">
        <v>0.9</v>
      </c>
      <c r="E221">
        <v>1.4999999999999999E-2</v>
      </c>
      <c r="F221" t="s">
        <v>8</v>
      </c>
    </row>
    <row r="222" spans="1:6" x14ac:dyDescent="0.35">
      <c r="A222" t="s">
        <v>423</v>
      </c>
      <c r="B222" t="s">
        <v>424</v>
      </c>
      <c r="C222">
        <v>0.77600000000000002</v>
      </c>
      <c r="D222">
        <v>0.67500000000000004</v>
      </c>
      <c r="E222">
        <v>1.4999999999999999E-2</v>
      </c>
      <c r="F222" t="s">
        <v>8</v>
      </c>
    </row>
    <row r="223" spans="1:6" x14ac:dyDescent="0.35">
      <c r="A223" t="s">
        <v>425</v>
      </c>
      <c r="B223" t="s">
        <v>353</v>
      </c>
      <c r="C223">
        <v>0.52700000000000002</v>
      </c>
      <c r="D223">
        <v>0.35</v>
      </c>
      <c r="E223">
        <v>1.4999999999999999E-2</v>
      </c>
      <c r="F223" t="s">
        <v>8</v>
      </c>
    </row>
    <row r="224" spans="1:6" x14ac:dyDescent="0.35">
      <c r="A224" t="s">
        <v>426</v>
      </c>
      <c r="B224" t="s">
        <v>355</v>
      </c>
      <c r="C224">
        <v>0.67500000000000004</v>
      </c>
      <c r="D224">
        <v>0.34799999999999998</v>
      </c>
      <c r="E224">
        <v>1.4999999999999999E-2</v>
      </c>
      <c r="F224" t="s">
        <v>8</v>
      </c>
    </row>
    <row r="225" spans="1:6" x14ac:dyDescent="0.35">
      <c r="A225" t="s">
        <v>427</v>
      </c>
      <c r="B225" t="s">
        <v>357</v>
      </c>
      <c r="C225">
        <v>0.55200000000000005</v>
      </c>
      <c r="D225">
        <v>0.1</v>
      </c>
      <c r="E225">
        <v>3.0000000000000001E-3</v>
      </c>
      <c r="F225" t="s">
        <v>8</v>
      </c>
    </row>
    <row r="226" spans="1:6" x14ac:dyDescent="0.35">
      <c r="A226" t="s">
        <v>428</v>
      </c>
      <c r="B226" t="s">
        <v>393</v>
      </c>
      <c r="C226">
        <v>1.3680000000000001</v>
      </c>
      <c r="D226">
        <v>0.80200000000000005</v>
      </c>
      <c r="E226">
        <v>1.2E-2</v>
      </c>
      <c r="F226" t="s">
        <v>8</v>
      </c>
    </row>
    <row r="227" spans="1:6" x14ac:dyDescent="0.35">
      <c r="A227" t="s">
        <v>429</v>
      </c>
      <c r="B227" t="s">
        <v>430</v>
      </c>
      <c r="C227">
        <v>0.81</v>
      </c>
      <c r="D227">
        <v>0.68</v>
      </c>
      <c r="E227">
        <v>6.0999999999999999E-2</v>
      </c>
      <c r="F227" t="s">
        <v>301</v>
      </c>
    </row>
    <row r="228" spans="1:6" x14ac:dyDescent="0.35">
      <c r="A228" t="s">
        <v>431</v>
      </c>
      <c r="B228" t="s">
        <v>432</v>
      </c>
      <c r="C228">
        <v>1.3680000000000001</v>
      </c>
      <c r="D228">
        <v>0.80200000000000005</v>
      </c>
      <c r="E228">
        <v>1.2E-2</v>
      </c>
      <c r="F228" t="s">
        <v>8</v>
      </c>
    </row>
    <row r="229" spans="1:6" x14ac:dyDescent="0.35">
      <c r="A229" t="s">
        <v>433</v>
      </c>
      <c r="B229" t="s">
        <v>434</v>
      </c>
      <c r="C229">
        <v>0.91200000000000003</v>
      </c>
      <c r="D229">
        <v>0.81</v>
      </c>
      <c r="E229">
        <v>5.1999999999999998E-2</v>
      </c>
      <c r="F229" t="s">
        <v>301</v>
      </c>
    </row>
    <row r="230" spans="1:6" x14ac:dyDescent="0.35">
      <c r="A230" t="s">
        <v>435</v>
      </c>
      <c r="B230" t="s">
        <v>436</v>
      </c>
      <c r="C230">
        <v>0.90800000000000003</v>
      </c>
      <c r="D230">
        <v>0.77600000000000002</v>
      </c>
      <c r="E230">
        <v>1.4999999999999999E-2</v>
      </c>
      <c r="F230" t="s">
        <v>8</v>
      </c>
    </row>
    <row r="231" spans="1:6" x14ac:dyDescent="0.35">
      <c r="A231" t="s">
        <v>437</v>
      </c>
      <c r="B231" t="s">
        <v>438</v>
      </c>
      <c r="C231">
        <v>0.45</v>
      </c>
      <c r="D231">
        <v>0.76900000000000002</v>
      </c>
      <c r="E231">
        <v>1.4999999999999999E-2</v>
      </c>
      <c r="F231" t="s">
        <v>8</v>
      </c>
    </row>
    <row r="232" spans="1:6" x14ac:dyDescent="0.35">
      <c r="A232" t="s">
        <v>439</v>
      </c>
      <c r="B232" t="s">
        <v>440</v>
      </c>
      <c r="C232">
        <v>1.6020000000000001</v>
      </c>
      <c r="D232">
        <v>0.80200000000000005</v>
      </c>
      <c r="E232">
        <v>1.2E-2</v>
      </c>
      <c r="F232" t="s">
        <v>8</v>
      </c>
    </row>
    <row r="233" spans="1:6" x14ac:dyDescent="0.35">
      <c r="A233" t="s">
        <v>441</v>
      </c>
      <c r="B233" t="s">
        <v>422</v>
      </c>
      <c r="C233">
        <v>0.9</v>
      </c>
      <c r="D233">
        <v>0.9</v>
      </c>
      <c r="E233">
        <v>1.4999999999999999E-2</v>
      </c>
      <c r="F233" t="s">
        <v>8</v>
      </c>
    </row>
    <row r="234" spans="1:6" x14ac:dyDescent="0.35">
      <c r="A234" t="s">
        <v>442</v>
      </c>
      <c r="B234" t="s">
        <v>401</v>
      </c>
      <c r="C234">
        <v>0.76500000000000001</v>
      </c>
      <c r="D234">
        <v>0.35</v>
      </c>
      <c r="E234">
        <v>1.4999999999999999E-2</v>
      </c>
      <c r="F234" t="s">
        <v>8</v>
      </c>
    </row>
    <row r="235" spans="1:6" x14ac:dyDescent="0.35">
      <c r="A235" t="s">
        <v>443</v>
      </c>
      <c r="B235" t="s">
        <v>403</v>
      </c>
      <c r="C235">
        <v>0.91300000000000003</v>
      </c>
      <c r="D235">
        <v>0.34799999999999998</v>
      </c>
      <c r="E235">
        <v>0.15</v>
      </c>
      <c r="F235" t="s">
        <v>8</v>
      </c>
    </row>
    <row r="236" spans="1:6" x14ac:dyDescent="0.35">
      <c r="A236" t="s">
        <v>444</v>
      </c>
      <c r="B236" t="s">
        <v>445</v>
      </c>
      <c r="C236">
        <v>0.78900000000000003</v>
      </c>
      <c r="D236">
        <v>0.1</v>
      </c>
      <c r="E236">
        <v>3.0000000000000001E-3</v>
      </c>
      <c r="F236" t="s">
        <v>8</v>
      </c>
    </row>
    <row r="237" spans="1:6" x14ac:dyDescent="0.35">
      <c r="A237" t="s">
        <v>446</v>
      </c>
      <c r="B237" t="s">
        <v>447</v>
      </c>
      <c r="C237">
        <v>0.751</v>
      </c>
      <c r="D237">
        <v>0.124</v>
      </c>
      <c r="E237">
        <v>1.2E-2</v>
      </c>
      <c r="F237" t="s">
        <v>8</v>
      </c>
    </row>
    <row r="238" spans="1:6" x14ac:dyDescent="0.35">
      <c r="A238" t="s">
        <v>448</v>
      </c>
      <c r="B238" t="s">
        <v>449</v>
      </c>
      <c r="C238">
        <v>0.751</v>
      </c>
      <c r="D238">
        <v>0.44600000000000001</v>
      </c>
      <c r="E238">
        <v>1.2E-2</v>
      </c>
      <c r="F238" t="s">
        <v>8</v>
      </c>
    </row>
    <row r="239" spans="1:6" x14ac:dyDescent="0.35">
      <c r="A239" t="s">
        <v>450</v>
      </c>
      <c r="B239" t="s">
        <v>451</v>
      </c>
      <c r="C239">
        <v>0.47399999999999998</v>
      </c>
      <c r="D239">
        <v>0.152</v>
      </c>
      <c r="E239">
        <v>1.2E-2</v>
      </c>
      <c r="F239" t="s">
        <v>8</v>
      </c>
    </row>
    <row r="240" spans="1:6" x14ac:dyDescent="0.35">
      <c r="A240" t="s">
        <v>452</v>
      </c>
      <c r="B240" t="s">
        <v>453</v>
      </c>
      <c r="C240">
        <v>0.54</v>
      </c>
      <c r="D240">
        <v>0.218</v>
      </c>
      <c r="E240">
        <v>1.2E-2</v>
      </c>
      <c r="F240" t="s">
        <v>8</v>
      </c>
    </row>
    <row r="241" spans="1:6" x14ac:dyDescent="0.35">
      <c r="A241" t="s">
        <v>454</v>
      </c>
      <c r="B241" t="s">
        <v>455</v>
      </c>
      <c r="C241">
        <v>0.751</v>
      </c>
      <c r="D241">
        <v>7.0000000000000007E-2</v>
      </c>
      <c r="E241">
        <v>1.2E-2</v>
      </c>
      <c r="F241" t="s">
        <v>8</v>
      </c>
    </row>
    <row r="242" spans="1:6" x14ac:dyDescent="0.35">
      <c r="A242" t="s">
        <v>456</v>
      </c>
      <c r="B242" t="s">
        <v>457</v>
      </c>
      <c r="C242">
        <v>0.751</v>
      </c>
      <c r="D242">
        <v>0.124</v>
      </c>
      <c r="E242">
        <v>1.2E-2</v>
      </c>
      <c r="F242" t="s">
        <v>8</v>
      </c>
    </row>
    <row r="243" spans="1:6" x14ac:dyDescent="0.35">
      <c r="A243" t="s">
        <v>458</v>
      </c>
      <c r="B243" t="s">
        <v>459</v>
      </c>
      <c r="C243">
        <v>0.751</v>
      </c>
      <c r="D243">
        <v>0.124</v>
      </c>
      <c r="E243">
        <v>1.2E-2</v>
      </c>
      <c r="F243" t="s">
        <v>8</v>
      </c>
    </row>
    <row r="244" spans="1:6" x14ac:dyDescent="0.35">
      <c r="A244" t="s">
        <v>460</v>
      </c>
      <c r="B244" t="s">
        <v>461</v>
      </c>
      <c r="C244">
        <v>0</v>
      </c>
      <c r="D244">
        <v>0</v>
      </c>
      <c r="E244">
        <v>0</v>
      </c>
      <c r="F244" t="s">
        <v>301</v>
      </c>
    </row>
    <row r="245" spans="1:6" x14ac:dyDescent="0.35">
      <c r="A245" t="s">
        <v>462</v>
      </c>
      <c r="B245" t="s">
        <v>463</v>
      </c>
      <c r="C245">
        <v>0.751</v>
      </c>
      <c r="D245">
        <v>0.54600000000000004</v>
      </c>
      <c r="E245">
        <v>1.2E-2</v>
      </c>
      <c r="F245" t="s">
        <v>8</v>
      </c>
    </row>
    <row r="246" spans="1:6" x14ac:dyDescent="0.35">
      <c r="A246" t="s">
        <v>464</v>
      </c>
      <c r="B246" t="s">
        <v>465</v>
      </c>
      <c r="C246">
        <v>0.751</v>
      </c>
      <c r="D246">
        <v>0.54600000000000004</v>
      </c>
      <c r="E246">
        <v>1.2E-2</v>
      </c>
      <c r="F246" t="s">
        <v>8</v>
      </c>
    </row>
    <row r="247" spans="1:6" x14ac:dyDescent="0.35">
      <c r="A247" t="s">
        <v>466</v>
      </c>
      <c r="B247" t="s">
        <v>467</v>
      </c>
      <c r="C247">
        <v>0.57199999999999995</v>
      </c>
      <c r="D247">
        <v>0.57199999999999995</v>
      </c>
      <c r="E247">
        <v>1.2E-2</v>
      </c>
      <c r="F247" t="s">
        <v>8</v>
      </c>
    </row>
    <row r="248" spans="1:6" x14ac:dyDescent="0.35">
      <c r="A248" t="s">
        <v>468</v>
      </c>
      <c r="B248" t="s">
        <v>469</v>
      </c>
      <c r="C248">
        <v>0.54</v>
      </c>
      <c r="D248">
        <v>0.51500000000000001</v>
      </c>
      <c r="E248">
        <v>1.4999999999999999E-2</v>
      </c>
      <c r="F248" t="s">
        <v>8</v>
      </c>
    </row>
    <row r="249" spans="1:6" x14ac:dyDescent="0.35">
      <c r="A249" t="s">
        <v>470</v>
      </c>
      <c r="B249" t="s">
        <v>471</v>
      </c>
      <c r="C249">
        <v>0.751</v>
      </c>
      <c r="D249">
        <v>0.54600000000000004</v>
      </c>
      <c r="E249">
        <v>1.2E-2</v>
      </c>
      <c r="F249" t="s">
        <v>8</v>
      </c>
    </row>
    <row r="250" spans="1:6" x14ac:dyDescent="0.35">
      <c r="A250" t="s">
        <v>472</v>
      </c>
      <c r="B250" t="s">
        <v>473</v>
      </c>
      <c r="C250">
        <v>0.751</v>
      </c>
      <c r="D250">
        <v>0.124</v>
      </c>
      <c r="E250">
        <v>1.2E-2</v>
      </c>
      <c r="F250" t="s">
        <v>8</v>
      </c>
    </row>
    <row r="251" spans="1:6" x14ac:dyDescent="0.35">
      <c r="A251" t="s">
        <v>474</v>
      </c>
      <c r="B251" t="s">
        <v>449</v>
      </c>
      <c r="C251">
        <v>0.751</v>
      </c>
      <c r="D251">
        <v>0.44600000000000001</v>
      </c>
      <c r="E251">
        <v>1.2E-2</v>
      </c>
      <c r="F251" t="s">
        <v>8</v>
      </c>
    </row>
    <row r="252" spans="1:6" x14ac:dyDescent="0.35">
      <c r="A252" t="s">
        <v>475</v>
      </c>
      <c r="B252" t="s">
        <v>476</v>
      </c>
      <c r="C252">
        <v>0.47399999999999998</v>
      </c>
      <c r="D252">
        <v>0.152</v>
      </c>
      <c r="E252">
        <v>1.2E-2</v>
      </c>
      <c r="F252" t="s">
        <v>8</v>
      </c>
    </row>
    <row r="253" spans="1:6" x14ac:dyDescent="0.35">
      <c r="A253" t="s">
        <v>477</v>
      </c>
      <c r="B253" t="s">
        <v>478</v>
      </c>
      <c r="C253">
        <v>0.54</v>
      </c>
      <c r="D253">
        <v>0.218</v>
      </c>
      <c r="E253">
        <v>1.2E-2</v>
      </c>
      <c r="F253" t="s">
        <v>8</v>
      </c>
    </row>
    <row r="254" spans="1:6" x14ac:dyDescent="0.35">
      <c r="A254" t="s">
        <v>479</v>
      </c>
      <c r="B254" t="s">
        <v>455</v>
      </c>
      <c r="C254">
        <v>0.751</v>
      </c>
      <c r="D254">
        <v>7.0000000000000007E-2</v>
      </c>
      <c r="E254">
        <v>1.2E-2</v>
      </c>
      <c r="F254" t="s">
        <v>8</v>
      </c>
    </row>
    <row r="255" spans="1:6" x14ac:dyDescent="0.35">
      <c r="A255" t="s">
        <v>480</v>
      </c>
      <c r="B255" t="s">
        <v>481</v>
      </c>
      <c r="C255">
        <v>0.751</v>
      </c>
      <c r="D255">
        <v>0.124</v>
      </c>
      <c r="E255">
        <v>1.2E-2</v>
      </c>
      <c r="F255" t="s">
        <v>8</v>
      </c>
    </row>
    <row r="256" spans="1:6" x14ac:dyDescent="0.35">
      <c r="A256" t="s">
        <v>482</v>
      </c>
      <c r="B256" t="s">
        <v>459</v>
      </c>
      <c r="C256">
        <v>0.751</v>
      </c>
      <c r="D256">
        <v>0.124</v>
      </c>
      <c r="E256">
        <v>1.2E-2</v>
      </c>
      <c r="F256" t="s">
        <v>8</v>
      </c>
    </row>
    <row r="257" spans="1:6" x14ac:dyDescent="0.35">
      <c r="A257" t="s">
        <v>483</v>
      </c>
      <c r="B257" t="s">
        <v>484</v>
      </c>
      <c r="C257">
        <v>0.751</v>
      </c>
      <c r="D257">
        <v>0.54600000000000004</v>
      </c>
      <c r="E257">
        <v>1.2E-2</v>
      </c>
      <c r="F257" t="s">
        <v>8</v>
      </c>
    </row>
    <row r="258" spans="1:6" x14ac:dyDescent="0.35">
      <c r="A258" t="s">
        <v>485</v>
      </c>
      <c r="B258" t="s">
        <v>486</v>
      </c>
      <c r="C258">
        <v>0.751</v>
      </c>
      <c r="D258">
        <v>0.54600000000000004</v>
      </c>
      <c r="E258">
        <v>1.2E-2</v>
      </c>
      <c r="F258" t="s">
        <v>8</v>
      </c>
    </row>
    <row r="259" spans="1:6" x14ac:dyDescent="0.35">
      <c r="A259" t="s">
        <v>487</v>
      </c>
      <c r="B259" t="s">
        <v>488</v>
      </c>
      <c r="C259">
        <v>0.57199999999999995</v>
      </c>
      <c r="D259">
        <v>0.57199999999999995</v>
      </c>
      <c r="E259">
        <v>1.2E-2</v>
      </c>
      <c r="F259" t="s">
        <v>8</v>
      </c>
    </row>
    <row r="260" spans="1:6" x14ac:dyDescent="0.35">
      <c r="A260" t="s">
        <v>489</v>
      </c>
      <c r="B260" t="s">
        <v>490</v>
      </c>
      <c r="C260">
        <v>0.54</v>
      </c>
      <c r="D260">
        <v>0.51500000000000001</v>
      </c>
      <c r="E260">
        <v>1.4999999999999999E-2</v>
      </c>
      <c r="F260" t="s">
        <v>8</v>
      </c>
    </row>
    <row r="261" spans="1:6" x14ac:dyDescent="0.35">
      <c r="A261" t="s">
        <v>491</v>
      </c>
      <c r="B261" t="s">
        <v>492</v>
      </c>
      <c r="C261">
        <v>0.751</v>
      </c>
      <c r="D261">
        <v>0.54600000000000004</v>
      </c>
      <c r="E261">
        <v>1.2E-2</v>
      </c>
      <c r="F261" t="s">
        <v>8</v>
      </c>
    </row>
    <row r="262" spans="1:6" x14ac:dyDescent="0.35">
      <c r="A262" t="s">
        <v>493</v>
      </c>
      <c r="B262" t="s">
        <v>494</v>
      </c>
      <c r="C262">
        <v>0</v>
      </c>
      <c r="D262">
        <v>0</v>
      </c>
      <c r="E262">
        <v>0</v>
      </c>
      <c r="F262" t="s">
        <v>301</v>
      </c>
    </row>
    <row r="263" spans="1:6" x14ac:dyDescent="0.35">
      <c r="A263" t="s">
        <v>495</v>
      </c>
      <c r="B263" t="s">
        <v>496</v>
      </c>
      <c r="C263">
        <v>1.18</v>
      </c>
      <c r="D263">
        <v>9.1999999999999998E-2</v>
      </c>
      <c r="E263">
        <v>1.7999999999999999E-2</v>
      </c>
      <c r="F263" t="s">
        <v>8</v>
      </c>
    </row>
    <row r="264" spans="1:6" x14ac:dyDescent="0.35">
      <c r="A264" t="s">
        <v>497</v>
      </c>
      <c r="B264" t="s">
        <v>498</v>
      </c>
      <c r="C264">
        <v>1.0900000000000001</v>
      </c>
      <c r="D264">
        <v>0.29499999999999998</v>
      </c>
      <c r="E264">
        <v>1.2E-2</v>
      </c>
      <c r="F264" t="s">
        <v>8</v>
      </c>
    </row>
    <row r="265" spans="1:6" x14ac:dyDescent="0.35">
      <c r="A265" t="s">
        <v>499</v>
      </c>
      <c r="B265" t="s">
        <v>500</v>
      </c>
      <c r="C265">
        <v>0.6</v>
      </c>
      <c r="D265">
        <v>0.29499999999999998</v>
      </c>
      <c r="E265">
        <v>1.2E-2</v>
      </c>
      <c r="F265" t="s">
        <v>8</v>
      </c>
    </row>
    <row r="266" spans="1:6" x14ac:dyDescent="0.35">
      <c r="A266" t="s">
        <v>501</v>
      </c>
      <c r="B266" t="s">
        <v>502</v>
      </c>
      <c r="C266">
        <v>0.54500000000000004</v>
      </c>
      <c r="D266">
        <v>0.32700000000000001</v>
      </c>
      <c r="E266">
        <v>1.2E-2</v>
      </c>
      <c r="F266" t="s">
        <v>8</v>
      </c>
    </row>
    <row r="267" spans="1:6" x14ac:dyDescent="0.35">
      <c r="A267" t="s">
        <v>503</v>
      </c>
      <c r="B267" t="s">
        <v>504</v>
      </c>
      <c r="C267">
        <v>0.45800000000000002</v>
      </c>
      <c r="D267">
        <v>0.33300000000000002</v>
      </c>
      <c r="E267">
        <v>1.2E-2</v>
      </c>
      <c r="F267" t="s">
        <v>8</v>
      </c>
    </row>
    <row r="268" spans="1:6" x14ac:dyDescent="0.35">
      <c r="A268" t="s">
        <v>505</v>
      </c>
      <c r="B268" t="s">
        <v>506</v>
      </c>
      <c r="C268">
        <v>1.365</v>
      </c>
      <c r="D268">
        <v>0.90500000000000003</v>
      </c>
      <c r="E268">
        <v>1.7999999999999999E-2</v>
      </c>
      <c r="F268" t="s">
        <v>85</v>
      </c>
    </row>
    <row r="269" spans="1:6" x14ac:dyDescent="0.35">
      <c r="A269" t="s">
        <v>507</v>
      </c>
      <c r="B269" t="s">
        <v>508</v>
      </c>
      <c r="C269">
        <v>0.35</v>
      </c>
      <c r="D269">
        <v>0.05</v>
      </c>
      <c r="E269">
        <v>3.0000000000000001E-3</v>
      </c>
      <c r="F269" t="s">
        <v>8</v>
      </c>
    </row>
    <row r="270" spans="1:6" x14ac:dyDescent="0.35">
      <c r="A270" t="s">
        <v>509</v>
      </c>
      <c r="B270" t="s">
        <v>510</v>
      </c>
      <c r="C270">
        <v>0</v>
      </c>
      <c r="D270">
        <v>0</v>
      </c>
      <c r="E270">
        <v>0</v>
      </c>
      <c r="F270" t="s">
        <v>301</v>
      </c>
    </row>
    <row r="271" spans="1:6" x14ac:dyDescent="0.35">
      <c r="A271" t="s">
        <v>511</v>
      </c>
      <c r="B271" t="s">
        <v>512</v>
      </c>
      <c r="C271">
        <v>1.605</v>
      </c>
      <c r="D271">
        <v>0.90500000000000003</v>
      </c>
      <c r="E271">
        <v>1.7999999999999999E-2</v>
      </c>
      <c r="F271" t="s">
        <v>85</v>
      </c>
    </row>
    <row r="272" spans="1:6" x14ac:dyDescent="0.35">
      <c r="A272" t="s">
        <v>513</v>
      </c>
      <c r="B272" t="s">
        <v>514</v>
      </c>
      <c r="C272">
        <v>1.8049999999999999</v>
      </c>
      <c r="D272">
        <v>0.90500000000000003</v>
      </c>
      <c r="E272">
        <v>1.7999999999999999E-2</v>
      </c>
      <c r="F272" t="s">
        <v>85</v>
      </c>
    </row>
    <row r="273" spans="1:6" x14ac:dyDescent="0.35">
      <c r="A273" t="s">
        <v>515</v>
      </c>
      <c r="B273" t="s">
        <v>516</v>
      </c>
      <c r="C273">
        <v>1.605</v>
      </c>
      <c r="D273">
        <v>0.90500000000000003</v>
      </c>
      <c r="E273">
        <v>1.7999999999999999E-2</v>
      </c>
      <c r="F273" t="s">
        <v>85</v>
      </c>
    </row>
    <row r="274" spans="1:6" x14ac:dyDescent="0.35">
      <c r="A274" t="s">
        <v>517</v>
      </c>
      <c r="B274" t="s">
        <v>518</v>
      </c>
      <c r="C274">
        <v>1.8049999999999999</v>
      </c>
      <c r="D274">
        <v>0.90500000000000003</v>
      </c>
      <c r="E274">
        <v>1.7999999999999999E-2</v>
      </c>
      <c r="F274" t="s">
        <v>85</v>
      </c>
    </row>
    <row r="275" spans="1:6" x14ac:dyDescent="0.35">
      <c r="A275" t="s">
        <v>519</v>
      </c>
      <c r="B275" t="s">
        <v>520</v>
      </c>
      <c r="C275">
        <v>0.755</v>
      </c>
      <c r="D275">
        <v>8.7999999999999995E-2</v>
      </c>
      <c r="E275">
        <v>0.03</v>
      </c>
      <c r="F275" t="s">
        <v>8</v>
      </c>
    </row>
    <row r="276" spans="1:6" x14ac:dyDescent="0.35">
      <c r="A276" t="s">
        <v>521</v>
      </c>
      <c r="B276" t="s">
        <v>522</v>
      </c>
      <c r="C276">
        <v>0.64</v>
      </c>
      <c r="D276">
        <v>0.09</v>
      </c>
      <c r="E276">
        <v>0.03</v>
      </c>
      <c r="F276" t="s">
        <v>8</v>
      </c>
    </row>
    <row r="277" spans="1:6" x14ac:dyDescent="0.35">
      <c r="A277" t="s">
        <v>523</v>
      </c>
      <c r="B277" t="s">
        <v>524</v>
      </c>
      <c r="C277">
        <v>0.27500000000000002</v>
      </c>
      <c r="D277">
        <v>0.09</v>
      </c>
      <c r="E277">
        <v>0.03</v>
      </c>
      <c r="F277" t="s">
        <v>8</v>
      </c>
    </row>
    <row r="278" spans="1:6" x14ac:dyDescent="0.35">
      <c r="A278" t="s">
        <v>525</v>
      </c>
      <c r="B278" t="s">
        <v>526</v>
      </c>
      <c r="C278">
        <v>0.74</v>
      </c>
      <c r="D278">
        <v>0.45</v>
      </c>
      <c r="E278">
        <v>1.4999999999999999E-2</v>
      </c>
      <c r="F278" t="s">
        <v>527</v>
      </c>
    </row>
    <row r="279" spans="1:6" x14ac:dyDescent="0.35">
      <c r="A279" t="s">
        <v>528</v>
      </c>
      <c r="B279" t="s">
        <v>529</v>
      </c>
      <c r="C279">
        <v>0.74</v>
      </c>
      <c r="D279">
        <v>0.217</v>
      </c>
      <c r="E279">
        <v>1.4999999999999999E-2</v>
      </c>
      <c r="F279" t="s">
        <v>527</v>
      </c>
    </row>
    <row r="280" spans="1:6" x14ac:dyDescent="0.35">
      <c r="A280" t="s">
        <v>530</v>
      </c>
      <c r="B280" t="s">
        <v>531</v>
      </c>
      <c r="C280">
        <v>0.67600000000000005</v>
      </c>
      <c r="D280">
        <v>0.67600000000000005</v>
      </c>
      <c r="E280">
        <v>1.4999999999999999E-2</v>
      </c>
      <c r="F280" t="s">
        <v>527</v>
      </c>
    </row>
    <row r="281" spans="1:6" x14ac:dyDescent="0.35">
      <c r="A281" t="s">
        <v>532</v>
      </c>
      <c r="B281" t="s">
        <v>533</v>
      </c>
      <c r="C281">
        <v>0</v>
      </c>
      <c r="D281">
        <v>0</v>
      </c>
      <c r="E281">
        <v>0</v>
      </c>
      <c r="F281" t="s">
        <v>8</v>
      </c>
    </row>
    <row r="282" spans="1:6" x14ac:dyDescent="0.35">
      <c r="A282" t="s">
        <v>534</v>
      </c>
      <c r="B282" t="s">
        <v>535</v>
      </c>
      <c r="C282">
        <v>1.2</v>
      </c>
      <c r="D282">
        <v>0.88</v>
      </c>
      <c r="E282">
        <v>1.4999999999999999E-2</v>
      </c>
      <c r="F282" t="s">
        <v>8</v>
      </c>
    </row>
    <row r="283" spans="1:6" x14ac:dyDescent="0.35">
      <c r="A283" t="s">
        <v>536</v>
      </c>
      <c r="B283" t="s">
        <v>537</v>
      </c>
      <c r="C283">
        <v>0.75800000000000001</v>
      </c>
      <c r="D283">
        <v>0.06</v>
      </c>
      <c r="E283">
        <v>1.4999999999999999E-2</v>
      </c>
      <c r="F283" t="s">
        <v>8</v>
      </c>
    </row>
    <row r="284" spans="1:6" x14ac:dyDescent="0.35">
      <c r="A284" t="s">
        <v>538</v>
      </c>
      <c r="B284" t="s">
        <v>539</v>
      </c>
      <c r="C284">
        <v>0.75</v>
      </c>
      <c r="D284">
        <v>0.4</v>
      </c>
      <c r="E284">
        <v>1.2E-2</v>
      </c>
      <c r="F284" t="s">
        <v>8</v>
      </c>
    </row>
    <row r="285" spans="1:6" x14ac:dyDescent="0.35">
      <c r="A285" t="s">
        <v>540</v>
      </c>
      <c r="B285" t="s">
        <v>541</v>
      </c>
      <c r="C285">
        <v>0.75</v>
      </c>
      <c r="D285">
        <v>6.2E-2</v>
      </c>
      <c r="E285">
        <v>3.0000000000000001E-3</v>
      </c>
      <c r="F285" t="s">
        <v>8</v>
      </c>
    </row>
    <row r="286" spans="1:6" x14ac:dyDescent="0.35">
      <c r="A286" t="s">
        <v>542</v>
      </c>
      <c r="B286" t="s">
        <v>543</v>
      </c>
      <c r="C286">
        <v>0.75</v>
      </c>
      <c r="D286">
        <v>0.4</v>
      </c>
      <c r="E286">
        <v>1.2E-2</v>
      </c>
      <c r="F286" t="s">
        <v>8</v>
      </c>
    </row>
    <row r="287" spans="1:6" x14ac:dyDescent="0.35">
      <c r="A287" t="s">
        <v>544</v>
      </c>
      <c r="B287" t="s">
        <v>545</v>
      </c>
      <c r="C287">
        <v>0.41</v>
      </c>
      <c r="D287">
        <v>0.1</v>
      </c>
      <c r="E287">
        <v>1.2E-2</v>
      </c>
      <c r="F287" t="s">
        <v>8</v>
      </c>
    </row>
    <row r="288" spans="1:6" x14ac:dyDescent="0.35">
      <c r="A288" t="s">
        <v>546</v>
      </c>
      <c r="B288" t="s">
        <v>547</v>
      </c>
      <c r="C288">
        <v>0.74</v>
      </c>
      <c r="D288">
        <v>0.1</v>
      </c>
      <c r="E288">
        <v>1.4999999999999999E-2</v>
      </c>
      <c r="F288" t="s">
        <v>8</v>
      </c>
    </row>
    <row r="289" spans="1:6" x14ac:dyDescent="0.35">
      <c r="A289" t="s">
        <v>548</v>
      </c>
      <c r="B289" t="s">
        <v>549</v>
      </c>
      <c r="C289">
        <v>0.27</v>
      </c>
      <c r="D289">
        <v>0.12</v>
      </c>
      <c r="E289">
        <v>1.4999999999999999E-2</v>
      </c>
      <c r="F289" t="s">
        <v>8</v>
      </c>
    </row>
    <row r="290" spans="1:6" x14ac:dyDescent="0.35">
      <c r="A290" t="s">
        <v>550</v>
      </c>
      <c r="B290" t="s">
        <v>551</v>
      </c>
      <c r="C290">
        <v>0.751</v>
      </c>
      <c r="D290">
        <v>0.57199999999999995</v>
      </c>
      <c r="E290">
        <v>1.2E-2</v>
      </c>
      <c r="F290" t="s">
        <v>8</v>
      </c>
    </row>
    <row r="291" spans="1:6" x14ac:dyDescent="0.35">
      <c r="A291" t="s">
        <v>552</v>
      </c>
      <c r="B291" t="s">
        <v>553</v>
      </c>
      <c r="C291">
        <v>0.751</v>
      </c>
      <c r="D291">
        <v>0.54600000000000004</v>
      </c>
      <c r="E291">
        <v>1.4999999999999999E-2</v>
      </c>
      <c r="F291" t="s">
        <v>8</v>
      </c>
    </row>
    <row r="292" spans="1:6" x14ac:dyDescent="0.35">
      <c r="A292" t="s">
        <v>554</v>
      </c>
      <c r="B292" t="s">
        <v>555</v>
      </c>
      <c r="C292">
        <v>0.57199999999999995</v>
      </c>
      <c r="D292">
        <v>0.57199999999999995</v>
      </c>
      <c r="E292">
        <v>1.2E-2</v>
      </c>
      <c r="F292" t="s">
        <v>8</v>
      </c>
    </row>
    <row r="293" spans="1:6" x14ac:dyDescent="0.35">
      <c r="A293" t="s">
        <v>556</v>
      </c>
      <c r="B293" t="s">
        <v>557</v>
      </c>
      <c r="C293">
        <v>0.751</v>
      </c>
      <c r="D293">
        <v>0.54600000000000004</v>
      </c>
      <c r="E293">
        <v>1.2E-2</v>
      </c>
      <c r="F293" t="s">
        <v>8</v>
      </c>
    </row>
    <row r="294" spans="1:6" x14ac:dyDescent="0.35">
      <c r="A294" t="s">
        <v>558</v>
      </c>
      <c r="B294" t="s">
        <v>559</v>
      </c>
      <c r="C294">
        <v>0</v>
      </c>
      <c r="D294">
        <v>0</v>
      </c>
      <c r="E294">
        <v>0</v>
      </c>
      <c r="F294" t="s">
        <v>301</v>
      </c>
    </row>
    <row r="295" spans="1:6" x14ac:dyDescent="0.35">
      <c r="A295" t="s">
        <v>560</v>
      </c>
      <c r="B295" t="s">
        <v>561</v>
      </c>
      <c r="C295">
        <v>0</v>
      </c>
      <c r="D295">
        <v>0</v>
      </c>
      <c r="E295">
        <v>0</v>
      </c>
      <c r="F295" t="s">
        <v>301</v>
      </c>
    </row>
    <row r="296" spans="1:6" x14ac:dyDescent="0.35">
      <c r="A296" t="s">
        <v>562</v>
      </c>
      <c r="B296" t="s">
        <v>563</v>
      </c>
      <c r="C296">
        <v>0.77</v>
      </c>
      <c r="D296">
        <v>0.48</v>
      </c>
      <c r="E296">
        <v>1.4999999999999999E-2</v>
      </c>
      <c r="F296" t="s">
        <v>8</v>
      </c>
    </row>
    <row r="297" spans="1:6" x14ac:dyDescent="0.35">
      <c r="A297" t="s">
        <v>564</v>
      </c>
      <c r="B297" t="s">
        <v>565</v>
      </c>
      <c r="C297">
        <v>0.7</v>
      </c>
      <c r="D297">
        <v>0.7</v>
      </c>
      <c r="E297">
        <v>1.4999999999999999E-2</v>
      </c>
      <c r="F297" t="s">
        <v>8</v>
      </c>
    </row>
    <row r="298" spans="1:6" x14ac:dyDescent="0.35">
      <c r="A298" t="s">
        <v>566</v>
      </c>
      <c r="B298" t="s">
        <v>567</v>
      </c>
      <c r="C298">
        <v>0.56999999999999995</v>
      </c>
      <c r="D298">
        <v>7.0000000000000007E-2</v>
      </c>
      <c r="E298">
        <v>1.4999999999999999E-2</v>
      </c>
      <c r="F298" t="s">
        <v>8</v>
      </c>
    </row>
    <row r="299" spans="1:6" x14ac:dyDescent="0.35">
      <c r="A299" t="s">
        <v>568</v>
      </c>
      <c r="B299" t="s">
        <v>569</v>
      </c>
      <c r="C299">
        <v>0.56999999999999995</v>
      </c>
      <c r="D299">
        <v>7.0000000000000007E-2</v>
      </c>
      <c r="E299">
        <v>1.4999999999999999E-2</v>
      </c>
      <c r="F299" t="s">
        <v>8</v>
      </c>
    </row>
    <row r="300" spans="1:6" x14ac:dyDescent="0.35">
      <c r="A300" t="s">
        <v>570</v>
      </c>
      <c r="B300" t="s">
        <v>571</v>
      </c>
      <c r="C300">
        <v>0.56999999999999995</v>
      </c>
      <c r="D300">
        <v>7.0000000000000007E-2</v>
      </c>
      <c r="E300">
        <v>1.4999999999999999E-2</v>
      </c>
      <c r="F300" t="s">
        <v>8</v>
      </c>
    </row>
    <row r="301" spans="1:6" x14ac:dyDescent="0.35">
      <c r="A301" t="s">
        <v>572</v>
      </c>
      <c r="B301" t="s">
        <v>573</v>
      </c>
      <c r="C301">
        <v>0.56000000000000005</v>
      </c>
      <c r="D301">
        <v>7.0000000000000007E-2</v>
      </c>
      <c r="E301">
        <v>1.4999999999999999E-2</v>
      </c>
      <c r="F301" t="s">
        <v>8</v>
      </c>
    </row>
    <row r="302" spans="1:6" x14ac:dyDescent="0.35">
      <c r="A302" t="s">
        <v>574</v>
      </c>
      <c r="B302" t="s">
        <v>575</v>
      </c>
      <c r="C302">
        <v>1.8049999999999999</v>
      </c>
      <c r="D302">
        <v>0.90500000000000003</v>
      </c>
      <c r="E302">
        <v>2.5000000000000001E-2</v>
      </c>
      <c r="F302" t="s">
        <v>85</v>
      </c>
    </row>
    <row r="303" spans="1:6" x14ac:dyDescent="0.35">
      <c r="A303" t="s">
        <v>576</v>
      </c>
      <c r="B303" t="s">
        <v>577</v>
      </c>
      <c r="C303">
        <v>1.5</v>
      </c>
      <c r="D303">
        <v>0.88</v>
      </c>
      <c r="E303">
        <v>1.4999999999999999E-2</v>
      </c>
      <c r="F303" t="s">
        <v>8</v>
      </c>
    </row>
    <row r="304" spans="1:6" x14ac:dyDescent="0.35">
      <c r="A304" t="s">
        <v>578</v>
      </c>
      <c r="B304" t="s">
        <v>579</v>
      </c>
      <c r="C304">
        <v>1.5</v>
      </c>
      <c r="D304">
        <v>0.06</v>
      </c>
      <c r="E304">
        <v>1.4999999999999999E-2</v>
      </c>
      <c r="F304" t="s">
        <v>8</v>
      </c>
    </row>
    <row r="305" spans="1:6" x14ac:dyDescent="0.35">
      <c r="A305" t="s">
        <v>580</v>
      </c>
      <c r="B305" t="s">
        <v>581</v>
      </c>
      <c r="C305">
        <v>0.69</v>
      </c>
      <c r="D305">
        <v>0.12</v>
      </c>
      <c r="E305">
        <v>1.4999999999999999E-2</v>
      </c>
      <c r="F305" t="s">
        <v>8</v>
      </c>
    </row>
    <row r="306" spans="1:6" x14ac:dyDescent="0.35">
      <c r="A306" t="s">
        <v>582</v>
      </c>
      <c r="B306" t="s">
        <v>583</v>
      </c>
      <c r="C306">
        <v>0.9</v>
      </c>
      <c r="D306">
        <v>0.45</v>
      </c>
      <c r="E306">
        <v>2.5000000000000001E-2</v>
      </c>
      <c r="F306" t="s">
        <v>527</v>
      </c>
    </row>
    <row r="307" spans="1:6" x14ac:dyDescent="0.35">
      <c r="A307" t="s">
        <v>584</v>
      </c>
      <c r="B307" t="s">
        <v>585</v>
      </c>
      <c r="C307">
        <v>1.05</v>
      </c>
      <c r="D307">
        <v>0.6</v>
      </c>
      <c r="E307">
        <v>1.4999999999999999E-2</v>
      </c>
      <c r="F307" t="s">
        <v>527</v>
      </c>
    </row>
    <row r="308" spans="1:6" x14ac:dyDescent="0.35">
      <c r="A308" t="s">
        <v>586</v>
      </c>
      <c r="B308" t="s">
        <v>587</v>
      </c>
      <c r="C308">
        <v>0.7</v>
      </c>
      <c r="D308">
        <v>0.12</v>
      </c>
      <c r="E308">
        <v>1.4999999999999999E-2</v>
      </c>
      <c r="F308" t="s">
        <v>527</v>
      </c>
    </row>
    <row r="309" spans="1:6" x14ac:dyDescent="0.35">
      <c r="A309" t="s">
        <v>588</v>
      </c>
      <c r="B309" t="s">
        <v>589</v>
      </c>
      <c r="C309">
        <v>0.9</v>
      </c>
      <c r="D309">
        <v>0.45</v>
      </c>
      <c r="E309">
        <v>2.5000000000000001E-2</v>
      </c>
      <c r="F309" t="s">
        <v>527</v>
      </c>
    </row>
    <row r="310" spans="1:6" x14ac:dyDescent="0.35">
      <c r="A310" t="s">
        <v>590</v>
      </c>
      <c r="B310" t="s">
        <v>591</v>
      </c>
      <c r="C310">
        <v>1.05</v>
      </c>
      <c r="D310">
        <v>0.6</v>
      </c>
      <c r="E310">
        <v>1.4999999999999999E-2</v>
      </c>
      <c r="F310" t="s">
        <v>527</v>
      </c>
    </row>
    <row r="311" spans="1:6" x14ac:dyDescent="0.35">
      <c r="A311" t="s">
        <v>592</v>
      </c>
      <c r="B311" t="s">
        <v>593</v>
      </c>
      <c r="C311">
        <v>0.7</v>
      </c>
      <c r="D311">
        <v>0.12</v>
      </c>
      <c r="E311">
        <v>1.4999999999999999E-2</v>
      </c>
      <c r="F311" t="s">
        <v>527</v>
      </c>
    </row>
    <row r="312" spans="1:6" x14ac:dyDescent="0.35">
      <c r="A312" t="s">
        <v>594</v>
      </c>
      <c r="B312" t="s">
        <v>595</v>
      </c>
      <c r="C312">
        <v>0.9</v>
      </c>
      <c r="D312">
        <v>0.45</v>
      </c>
      <c r="E312">
        <v>2.5000000000000001E-2</v>
      </c>
      <c r="F312" t="s">
        <v>527</v>
      </c>
    </row>
    <row r="313" spans="1:6" x14ac:dyDescent="0.35">
      <c r="A313" t="s">
        <v>596</v>
      </c>
      <c r="B313" t="s">
        <v>597</v>
      </c>
      <c r="C313">
        <v>1.05</v>
      </c>
      <c r="D313">
        <v>0.6</v>
      </c>
      <c r="E313">
        <v>1.4999999999999999E-2</v>
      </c>
      <c r="F313" t="s">
        <v>527</v>
      </c>
    </row>
    <row r="314" spans="1:6" x14ac:dyDescent="0.35">
      <c r="A314" t="s">
        <v>598</v>
      </c>
      <c r="B314" t="s">
        <v>599</v>
      </c>
      <c r="C314">
        <v>0.79</v>
      </c>
      <c r="D314">
        <v>0.1</v>
      </c>
      <c r="E314">
        <v>0.05</v>
      </c>
      <c r="F314" t="s">
        <v>527</v>
      </c>
    </row>
    <row r="315" spans="1:6" x14ac:dyDescent="0.35">
      <c r="A315" t="s">
        <v>600</v>
      </c>
      <c r="B315" t="s">
        <v>601</v>
      </c>
      <c r="C315">
        <v>0.79</v>
      </c>
      <c r="D315">
        <v>0.1</v>
      </c>
      <c r="E315">
        <v>0.05</v>
      </c>
      <c r="F315" t="s">
        <v>527</v>
      </c>
    </row>
    <row r="316" spans="1:6" x14ac:dyDescent="0.35">
      <c r="A316" t="s">
        <v>602</v>
      </c>
      <c r="B316" t="s">
        <v>603</v>
      </c>
      <c r="C316">
        <v>1.22</v>
      </c>
      <c r="D316">
        <v>0.1</v>
      </c>
      <c r="E316">
        <v>2.5000000000000001E-2</v>
      </c>
      <c r="F316" t="s">
        <v>527</v>
      </c>
    </row>
    <row r="317" spans="1:6" x14ac:dyDescent="0.35">
      <c r="A317" t="s">
        <v>604</v>
      </c>
      <c r="B317" t="s">
        <v>605</v>
      </c>
      <c r="C317">
        <v>1.36</v>
      </c>
      <c r="D317">
        <v>0.9</v>
      </c>
      <c r="E317">
        <v>0.04</v>
      </c>
      <c r="F317" t="s">
        <v>527</v>
      </c>
    </row>
    <row r="318" spans="1:6" x14ac:dyDescent="0.35">
      <c r="A318" t="s">
        <v>606</v>
      </c>
      <c r="B318" t="s">
        <v>607</v>
      </c>
      <c r="C318">
        <v>1.36</v>
      </c>
      <c r="D318">
        <v>0.9</v>
      </c>
      <c r="E318">
        <v>0.04</v>
      </c>
      <c r="F318" t="s">
        <v>527</v>
      </c>
    </row>
    <row r="319" spans="1:6" x14ac:dyDescent="0.35">
      <c r="A319" t="s">
        <v>608</v>
      </c>
      <c r="B319" t="s">
        <v>609</v>
      </c>
      <c r="C319">
        <v>0.8</v>
      </c>
      <c r="D319">
        <v>0.1</v>
      </c>
      <c r="E319">
        <v>0.05</v>
      </c>
      <c r="F319" t="s">
        <v>527</v>
      </c>
    </row>
    <row r="320" spans="1:6" x14ac:dyDescent="0.35">
      <c r="A320" t="s">
        <v>610</v>
      </c>
      <c r="B320" t="s">
        <v>611</v>
      </c>
      <c r="C320">
        <v>0.65300000000000002</v>
      </c>
      <c r="D320">
        <v>9.5000000000000001E-2</v>
      </c>
      <c r="E320">
        <v>0.05</v>
      </c>
      <c r="F320" t="s">
        <v>527</v>
      </c>
    </row>
    <row r="321" spans="1:6" x14ac:dyDescent="0.35">
      <c r="A321" t="s">
        <v>612</v>
      </c>
      <c r="B321" t="s">
        <v>613</v>
      </c>
      <c r="C321">
        <v>0.39300000000000002</v>
      </c>
      <c r="D321">
        <v>0.12</v>
      </c>
      <c r="E321">
        <v>1.7999999999999999E-2</v>
      </c>
      <c r="F321" t="s">
        <v>527</v>
      </c>
    </row>
    <row r="322" spans="1:6" x14ac:dyDescent="0.35">
      <c r="A322" t="s">
        <v>614</v>
      </c>
      <c r="B322" t="s">
        <v>615</v>
      </c>
      <c r="C322">
        <v>1</v>
      </c>
      <c r="D322">
        <v>0.12</v>
      </c>
      <c r="E322">
        <v>1.7999999999999999E-2</v>
      </c>
      <c r="F322" t="s">
        <v>527</v>
      </c>
    </row>
    <row r="323" spans="1:6" x14ac:dyDescent="0.35">
      <c r="A323" t="s">
        <v>616</v>
      </c>
      <c r="B323" t="s">
        <v>617</v>
      </c>
      <c r="C323">
        <v>1.2350000000000001</v>
      </c>
      <c r="D323">
        <v>0.8</v>
      </c>
      <c r="E323">
        <v>0.43</v>
      </c>
      <c r="F323" t="s">
        <v>527</v>
      </c>
    </row>
    <row r="324" spans="1:6" x14ac:dyDescent="0.35">
      <c r="A324" t="s">
        <v>618</v>
      </c>
      <c r="B324" t="s">
        <v>619</v>
      </c>
      <c r="C324">
        <v>0.43099999999999999</v>
      </c>
      <c r="D324">
        <v>0.5</v>
      </c>
      <c r="E324">
        <v>0.33</v>
      </c>
      <c r="F324" t="s">
        <v>527</v>
      </c>
    </row>
    <row r="325" spans="1:6" x14ac:dyDescent="0.35">
      <c r="A325" t="s">
        <v>620</v>
      </c>
      <c r="B325" t="s">
        <v>621</v>
      </c>
      <c r="C325">
        <v>0.79</v>
      </c>
      <c r="D325">
        <v>0.1</v>
      </c>
      <c r="E325">
        <v>0.05</v>
      </c>
      <c r="F325" t="s">
        <v>527</v>
      </c>
    </row>
    <row r="326" spans="1:6" x14ac:dyDescent="0.35">
      <c r="A326" t="s">
        <v>622</v>
      </c>
      <c r="B326" t="s">
        <v>623</v>
      </c>
      <c r="C326">
        <v>1.46</v>
      </c>
      <c r="D326">
        <v>7.0000000000000007E-2</v>
      </c>
      <c r="E326">
        <v>2.5000000000000001E-2</v>
      </c>
      <c r="F326" t="s">
        <v>527</v>
      </c>
    </row>
    <row r="327" spans="1:6" x14ac:dyDescent="0.35">
      <c r="A327" t="s">
        <v>624</v>
      </c>
      <c r="B327" t="s">
        <v>625</v>
      </c>
      <c r="C327">
        <v>0.9</v>
      </c>
      <c r="D327">
        <v>0.1</v>
      </c>
      <c r="E327">
        <v>2.5000000000000001E-2</v>
      </c>
      <c r="F327" t="s">
        <v>527</v>
      </c>
    </row>
    <row r="328" spans="1:6" x14ac:dyDescent="0.35">
      <c r="A328" t="s">
        <v>626</v>
      </c>
      <c r="B328" t="s">
        <v>627</v>
      </c>
      <c r="C328">
        <v>0.79</v>
      </c>
      <c r="D328">
        <v>0.1</v>
      </c>
      <c r="E328">
        <v>0.05</v>
      </c>
      <c r="F328" t="s">
        <v>527</v>
      </c>
    </row>
    <row r="329" spans="1:6" x14ac:dyDescent="0.35">
      <c r="A329" t="s">
        <v>628</v>
      </c>
      <c r="B329" t="s">
        <v>629</v>
      </c>
      <c r="C329">
        <v>0.79</v>
      </c>
      <c r="D329">
        <v>0.1</v>
      </c>
      <c r="E329">
        <v>0.05</v>
      </c>
      <c r="F329" t="s">
        <v>527</v>
      </c>
    </row>
    <row r="330" spans="1:6" x14ac:dyDescent="0.35">
      <c r="A330" t="s">
        <v>630</v>
      </c>
      <c r="B330" t="s">
        <v>631</v>
      </c>
      <c r="C330">
        <v>1.2</v>
      </c>
      <c r="D330">
        <v>0.12</v>
      </c>
      <c r="E330">
        <v>1.7999999999999999E-2</v>
      </c>
      <c r="F330" t="s">
        <v>527</v>
      </c>
    </row>
    <row r="331" spans="1:6" x14ac:dyDescent="0.35">
      <c r="A331" t="s">
        <v>632</v>
      </c>
      <c r="B331" t="s">
        <v>633</v>
      </c>
      <c r="C331">
        <v>0.79</v>
      </c>
      <c r="D331">
        <v>0.1</v>
      </c>
      <c r="E331">
        <v>0.05</v>
      </c>
      <c r="F331" t="s">
        <v>527</v>
      </c>
    </row>
    <row r="332" spans="1:6" x14ac:dyDescent="0.35">
      <c r="A332" t="s">
        <v>634</v>
      </c>
      <c r="B332" t="s">
        <v>635</v>
      </c>
      <c r="C332">
        <v>1.66</v>
      </c>
      <c r="D332">
        <v>0.1</v>
      </c>
      <c r="E332">
        <v>2.5000000000000001E-2</v>
      </c>
      <c r="F332" t="s">
        <v>527</v>
      </c>
    </row>
    <row r="333" spans="1:6" x14ac:dyDescent="0.35">
      <c r="A333" t="s">
        <v>636</v>
      </c>
      <c r="B333" t="s">
        <v>637</v>
      </c>
      <c r="C333">
        <v>0.79</v>
      </c>
      <c r="D333">
        <v>0.1</v>
      </c>
      <c r="E333">
        <v>0.05</v>
      </c>
      <c r="F333" t="s">
        <v>527</v>
      </c>
    </row>
    <row r="334" spans="1:6" x14ac:dyDescent="0.35">
      <c r="A334" t="s">
        <v>638</v>
      </c>
      <c r="B334" t="s">
        <v>639</v>
      </c>
      <c r="C334">
        <v>0.79</v>
      </c>
      <c r="D334">
        <v>0.1</v>
      </c>
      <c r="E334">
        <v>0.05</v>
      </c>
      <c r="F334" t="s">
        <v>527</v>
      </c>
    </row>
    <row r="335" spans="1:6" x14ac:dyDescent="0.35">
      <c r="A335" t="s">
        <v>640</v>
      </c>
      <c r="B335" t="s">
        <v>641</v>
      </c>
      <c r="C335">
        <v>0.81799999999999995</v>
      </c>
      <c r="D335">
        <v>8.5000000000000006E-2</v>
      </c>
      <c r="E335">
        <v>1.4999999999999999E-2</v>
      </c>
      <c r="F335" t="s">
        <v>8</v>
      </c>
    </row>
    <row r="336" spans="1:6" x14ac:dyDescent="0.35">
      <c r="A336" t="s">
        <v>642</v>
      </c>
      <c r="B336" t="s">
        <v>643</v>
      </c>
      <c r="C336">
        <v>0.81799999999999995</v>
      </c>
      <c r="D336">
        <v>6.9000000000000006E-2</v>
      </c>
      <c r="E336">
        <v>1.4999999999999999E-2</v>
      </c>
      <c r="F336" t="s">
        <v>8</v>
      </c>
    </row>
    <row r="337" spans="1:6" x14ac:dyDescent="0.35">
      <c r="A337" t="s">
        <v>644</v>
      </c>
      <c r="B337" t="s">
        <v>645</v>
      </c>
      <c r="C337">
        <v>0.95199999999999996</v>
      </c>
      <c r="D337">
        <v>0.1</v>
      </c>
      <c r="E337">
        <v>1.4999999999999999E-2</v>
      </c>
      <c r="F337" t="s">
        <v>8</v>
      </c>
    </row>
    <row r="338" spans="1:6" x14ac:dyDescent="0.35">
      <c r="A338" t="s">
        <v>646</v>
      </c>
      <c r="B338" t="s">
        <v>647</v>
      </c>
      <c r="C338">
        <v>0.624</v>
      </c>
      <c r="D338">
        <v>0.1</v>
      </c>
      <c r="E338">
        <v>1.4999999999999999E-2</v>
      </c>
      <c r="F338" t="s">
        <v>8</v>
      </c>
    </row>
    <row r="339" spans="1:6" x14ac:dyDescent="0.35">
      <c r="A339" t="s">
        <v>648</v>
      </c>
      <c r="B339" t="s">
        <v>649</v>
      </c>
      <c r="C339">
        <v>1.2050000000000001</v>
      </c>
      <c r="D339">
        <v>0.90500000000000003</v>
      </c>
      <c r="E339">
        <v>1.4999999999999999E-2</v>
      </c>
      <c r="F339" t="s">
        <v>85</v>
      </c>
    </row>
    <row r="340" spans="1:6" x14ac:dyDescent="0.35">
      <c r="A340" t="s">
        <v>650</v>
      </c>
      <c r="B340" t="s">
        <v>651</v>
      </c>
      <c r="C340">
        <v>0</v>
      </c>
      <c r="D340">
        <v>0</v>
      </c>
      <c r="E340">
        <v>0</v>
      </c>
      <c r="F340" t="s">
        <v>301</v>
      </c>
    </row>
    <row r="341" spans="1:6" x14ac:dyDescent="0.35">
      <c r="A341" t="s">
        <v>652</v>
      </c>
      <c r="B341" t="s">
        <v>653</v>
      </c>
      <c r="C341">
        <v>1.1120000000000001</v>
      </c>
      <c r="D341">
        <v>0.1</v>
      </c>
      <c r="E341">
        <v>1.4999999999999999E-2</v>
      </c>
      <c r="F341" t="s">
        <v>8</v>
      </c>
    </row>
    <row r="342" spans="1:6" x14ac:dyDescent="0.35">
      <c r="A342" t="s">
        <v>654</v>
      </c>
      <c r="B342" t="s">
        <v>655</v>
      </c>
      <c r="C342">
        <v>1.365</v>
      </c>
      <c r="D342">
        <v>0.90500000000000003</v>
      </c>
      <c r="E342">
        <v>1.4999999999999999E-2</v>
      </c>
      <c r="F342" t="s">
        <v>85</v>
      </c>
    </row>
    <row r="343" spans="1:6" x14ac:dyDescent="0.35">
      <c r="A343" t="s">
        <v>656</v>
      </c>
      <c r="B343" t="s">
        <v>657</v>
      </c>
      <c r="C343">
        <v>1.365</v>
      </c>
      <c r="D343">
        <v>0.90500000000000003</v>
      </c>
      <c r="E343">
        <v>1.7999999999999999E-2</v>
      </c>
      <c r="F343" t="s">
        <v>85</v>
      </c>
    </row>
    <row r="344" spans="1:6" x14ac:dyDescent="0.35">
      <c r="A344" t="s">
        <v>658</v>
      </c>
      <c r="B344" t="s">
        <v>659</v>
      </c>
      <c r="C344">
        <v>0</v>
      </c>
      <c r="D344">
        <v>0</v>
      </c>
      <c r="E344">
        <v>0</v>
      </c>
      <c r="F344" t="s">
        <v>301</v>
      </c>
    </row>
    <row r="345" spans="1:6" x14ac:dyDescent="0.35">
      <c r="A345" t="s">
        <v>660</v>
      </c>
      <c r="B345" t="s">
        <v>661</v>
      </c>
      <c r="C345">
        <v>1.3520000000000001</v>
      </c>
      <c r="D345">
        <v>0.1</v>
      </c>
      <c r="E345">
        <v>1.4999999999999999E-2</v>
      </c>
      <c r="F345" t="s">
        <v>8</v>
      </c>
    </row>
    <row r="346" spans="1:6" x14ac:dyDescent="0.35">
      <c r="A346" t="s">
        <v>662</v>
      </c>
      <c r="B346" t="s">
        <v>663</v>
      </c>
      <c r="C346">
        <v>1.605</v>
      </c>
      <c r="D346">
        <v>0.90500000000000003</v>
      </c>
      <c r="E346">
        <v>1.4999999999999999E-2</v>
      </c>
      <c r="F346" t="s">
        <v>85</v>
      </c>
    </row>
    <row r="347" spans="1:6" x14ac:dyDescent="0.35">
      <c r="A347" t="s">
        <v>664</v>
      </c>
      <c r="B347" t="s">
        <v>665</v>
      </c>
      <c r="C347">
        <v>1.605</v>
      </c>
      <c r="D347">
        <v>0.90500000000000003</v>
      </c>
      <c r="E347">
        <v>1.7999999999999999E-2</v>
      </c>
      <c r="F347" t="s">
        <v>85</v>
      </c>
    </row>
    <row r="348" spans="1:6" x14ac:dyDescent="0.35">
      <c r="A348" t="s">
        <v>666</v>
      </c>
      <c r="B348" t="s">
        <v>667</v>
      </c>
      <c r="C348">
        <v>0</v>
      </c>
      <c r="D348">
        <v>0</v>
      </c>
      <c r="E348">
        <v>0</v>
      </c>
      <c r="F348" t="s">
        <v>301</v>
      </c>
    </row>
    <row r="349" spans="1:6" x14ac:dyDescent="0.35">
      <c r="A349" t="s">
        <v>668</v>
      </c>
      <c r="B349" t="s">
        <v>669</v>
      </c>
      <c r="C349">
        <v>1.2</v>
      </c>
      <c r="D349">
        <v>1.2</v>
      </c>
      <c r="E349">
        <v>1.4999999999999999E-2</v>
      </c>
      <c r="F349" t="s">
        <v>85</v>
      </c>
    </row>
    <row r="350" spans="1:6" x14ac:dyDescent="0.35">
      <c r="A350" t="s">
        <v>670</v>
      </c>
      <c r="B350" t="s">
        <v>671</v>
      </c>
      <c r="C350">
        <v>1.2</v>
      </c>
      <c r="D350">
        <v>1.2</v>
      </c>
      <c r="E350">
        <v>1.4999999999999999E-2</v>
      </c>
      <c r="F350" t="s">
        <v>85</v>
      </c>
    </row>
    <row r="351" spans="1:6" x14ac:dyDescent="0.35">
      <c r="A351" t="s">
        <v>672</v>
      </c>
      <c r="B351" t="s">
        <v>673</v>
      </c>
      <c r="C351">
        <v>1.2</v>
      </c>
      <c r="D351">
        <v>1.2</v>
      </c>
      <c r="E351">
        <v>1.4999999999999999E-2</v>
      </c>
      <c r="F351" t="s">
        <v>85</v>
      </c>
    </row>
    <row r="352" spans="1:6" x14ac:dyDescent="0.35">
      <c r="A352" t="s">
        <v>674</v>
      </c>
      <c r="B352" t="s">
        <v>675</v>
      </c>
      <c r="C352">
        <v>0.98</v>
      </c>
      <c r="D352">
        <v>6.5000000000000002E-2</v>
      </c>
      <c r="E352">
        <v>1.7999999999999999E-2</v>
      </c>
      <c r="F352" t="s">
        <v>8</v>
      </c>
    </row>
    <row r="353" spans="1:6" x14ac:dyDescent="0.35">
      <c r="A353" t="s">
        <v>676</v>
      </c>
      <c r="B353" t="s">
        <v>677</v>
      </c>
      <c r="C353">
        <v>0.85</v>
      </c>
      <c r="D353">
        <v>6.5000000000000002E-2</v>
      </c>
      <c r="E353">
        <v>1.7999999999999999E-2</v>
      </c>
      <c r="F353" t="s">
        <v>8</v>
      </c>
    </row>
    <row r="354" spans="1:6" x14ac:dyDescent="0.35">
      <c r="A354" t="s">
        <v>678</v>
      </c>
      <c r="B354" t="s">
        <v>679</v>
      </c>
      <c r="C354">
        <v>1.03</v>
      </c>
      <c r="D354">
        <v>0.51500000000000001</v>
      </c>
      <c r="E354">
        <v>1.4999999999999999E-2</v>
      </c>
      <c r="F354" t="s">
        <v>8</v>
      </c>
    </row>
    <row r="355" spans="1:6" x14ac:dyDescent="0.35">
      <c r="A355" t="s">
        <v>680</v>
      </c>
      <c r="B355" t="s">
        <v>681</v>
      </c>
      <c r="C355">
        <v>1.03</v>
      </c>
      <c r="D355">
        <v>1.03</v>
      </c>
      <c r="E355">
        <v>1.2E-2</v>
      </c>
      <c r="F355" t="s">
        <v>8</v>
      </c>
    </row>
    <row r="356" spans="1:6" x14ac:dyDescent="0.35">
      <c r="A356" t="s">
        <v>682</v>
      </c>
      <c r="B356" t="s">
        <v>683</v>
      </c>
      <c r="C356">
        <v>2.246</v>
      </c>
      <c r="D356">
        <v>1.2490000000000001</v>
      </c>
      <c r="E356">
        <v>0.33</v>
      </c>
      <c r="F356" t="s">
        <v>8</v>
      </c>
    </row>
    <row r="357" spans="1:6" x14ac:dyDescent="0.35">
      <c r="A357" t="s">
        <v>684</v>
      </c>
      <c r="B357" t="s">
        <v>685</v>
      </c>
      <c r="C357">
        <v>1.4</v>
      </c>
      <c r="D357">
        <v>3.29</v>
      </c>
      <c r="E357">
        <v>0.33</v>
      </c>
      <c r="F357" t="s">
        <v>8</v>
      </c>
    </row>
    <row r="358" spans="1:6" x14ac:dyDescent="0.35">
      <c r="A358" t="s">
        <v>686</v>
      </c>
      <c r="B358" t="s">
        <v>687</v>
      </c>
      <c r="C358">
        <v>0.751</v>
      </c>
      <c r="D358">
        <v>0.44600000000000001</v>
      </c>
      <c r="E358">
        <v>1.2E-2</v>
      </c>
      <c r="F358" t="s">
        <v>8</v>
      </c>
    </row>
    <row r="359" spans="1:6" x14ac:dyDescent="0.35">
      <c r="A359" t="s">
        <v>688</v>
      </c>
      <c r="B359" t="s">
        <v>689</v>
      </c>
      <c r="C359">
        <v>0.751</v>
      </c>
      <c r="D359">
        <v>0.44600000000000001</v>
      </c>
      <c r="E359">
        <v>1.2E-2</v>
      </c>
      <c r="F359" t="s">
        <v>8</v>
      </c>
    </row>
    <row r="360" spans="1:6" x14ac:dyDescent="0.35">
      <c r="A360" t="s">
        <v>690</v>
      </c>
      <c r="B360" t="s">
        <v>691</v>
      </c>
      <c r="C360">
        <v>0.47199999999999998</v>
      </c>
      <c r="D360">
        <v>0.47199999999999998</v>
      </c>
      <c r="E360">
        <v>1.2E-2</v>
      </c>
      <c r="F360" t="s">
        <v>8</v>
      </c>
    </row>
    <row r="361" spans="1:6" x14ac:dyDescent="0.35">
      <c r="A361" t="s">
        <v>692</v>
      </c>
      <c r="B361" t="s">
        <v>693</v>
      </c>
      <c r="C361">
        <v>0.751</v>
      </c>
      <c r="D361">
        <v>0.44600000000000001</v>
      </c>
      <c r="E361">
        <v>1.2E-2</v>
      </c>
      <c r="F361" t="s">
        <v>8</v>
      </c>
    </row>
    <row r="362" spans="1:6" x14ac:dyDescent="0.35">
      <c r="A362" t="s">
        <v>694</v>
      </c>
      <c r="B362" t="s">
        <v>695</v>
      </c>
      <c r="C362">
        <v>0.751</v>
      </c>
      <c r="D362">
        <v>0.3</v>
      </c>
      <c r="E362">
        <v>1.2E-2</v>
      </c>
      <c r="F362" t="s">
        <v>8</v>
      </c>
    </row>
    <row r="363" spans="1:6" x14ac:dyDescent="0.35">
      <c r="A363" t="s">
        <v>696</v>
      </c>
      <c r="B363" t="s">
        <v>697</v>
      </c>
      <c r="C363">
        <v>0.751</v>
      </c>
      <c r="D363">
        <v>0.746</v>
      </c>
      <c r="E363">
        <v>1.2E-2</v>
      </c>
      <c r="F363" t="s">
        <v>8</v>
      </c>
    </row>
    <row r="364" spans="1:6" x14ac:dyDescent="0.35">
      <c r="A364" t="s">
        <v>698</v>
      </c>
      <c r="B364" t="s">
        <v>699</v>
      </c>
      <c r="C364">
        <v>0.77200000000000002</v>
      </c>
      <c r="D364">
        <v>0.32600000000000001</v>
      </c>
      <c r="E364">
        <v>1.2E-2</v>
      </c>
      <c r="F364" t="s">
        <v>8</v>
      </c>
    </row>
    <row r="365" spans="1:6" x14ac:dyDescent="0.35">
      <c r="A365" t="s">
        <v>700</v>
      </c>
      <c r="B365" t="s">
        <v>701</v>
      </c>
      <c r="C365">
        <v>0.751</v>
      </c>
      <c r="D365">
        <v>0.746</v>
      </c>
      <c r="E365">
        <v>1.2E-2</v>
      </c>
      <c r="F365" t="s">
        <v>8</v>
      </c>
    </row>
    <row r="366" spans="1:6" x14ac:dyDescent="0.35">
      <c r="A366" t="s">
        <v>702</v>
      </c>
      <c r="B366" t="s">
        <v>703</v>
      </c>
      <c r="C366">
        <v>0.6</v>
      </c>
      <c r="D366">
        <v>0.6</v>
      </c>
      <c r="E366">
        <v>1.4999999999999999E-2</v>
      </c>
      <c r="F366" t="s">
        <v>85</v>
      </c>
    </row>
    <row r="367" spans="1:6" x14ac:dyDescent="0.35">
      <c r="A367" t="s">
        <v>704</v>
      </c>
      <c r="B367" t="s">
        <v>705</v>
      </c>
      <c r="C367">
        <v>0.6</v>
      </c>
      <c r="D367">
        <v>0.6</v>
      </c>
      <c r="E367">
        <v>1.4999999999999999E-2</v>
      </c>
      <c r="F367" t="s">
        <v>85</v>
      </c>
    </row>
    <row r="368" spans="1:6" x14ac:dyDescent="0.35">
      <c r="A368" t="s">
        <v>706</v>
      </c>
      <c r="B368" t="s">
        <v>707</v>
      </c>
      <c r="C368">
        <v>0.6</v>
      </c>
      <c r="D368">
        <v>0.6</v>
      </c>
      <c r="E368">
        <v>1.4999999999999999E-2</v>
      </c>
      <c r="F368" t="s">
        <v>85</v>
      </c>
    </row>
    <row r="369" spans="1:6" x14ac:dyDescent="0.35">
      <c r="A369" t="s">
        <v>708</v>
      </c>
      <c r="B369" t="s">
        <v>709</v>
      </c>
      <c r="C369">
        <v>0.9</v>
      </c>
      <c r="D369">
        <v>0.9</v>
      </c>
      <c r="E369">
        <v>1.4999999999999999E-2</v>
      </c>
      <c r="F369" t="s">
        <v>85</v>
      </c>
    </row>
    <row r="370" spans="1:6" x14ac:dyDescent="0.35">
      <c r="A370" t="s">
        <v>710</v>
      </c>
      <c r="B370" t="s">
        <v>711</v>
      </c>
      <c r="C370">
        <v>0.9</v>
      </c>
      <c r="D370">
        <v>0.9</v>
      </c>
      <c r="E370">
        <v>1.4999999999999999E-2</v>
      </c>
      <c r="F370" t="s">
        <v>85</v>
      </c>
    </row>
    <row r="371" spans="1:6" x14ac:dyDescent="0.35">
      <c r="A371" t="s">
        <v>712</v>
      </c>
      <c r="B371" t="s">
        <v>713</v>
      </c>
      <c r="C371">
        <v>0.9</v>
      </c>
      <c r="D371">
        <v>0.9</v>
      </c>
      <c r="E371">
        <v>1.4999999999999999E-2</v>
      </c>
      <c r="F371" t="s">
        <v>85</v>
      </c>
    </row>
    <row r="372" spans="1:6" x14ac:dyDescent="0.35">
      <c r="A372" t="s">
        <v>714</v>
      </c>
      <c r="B372" t="s">
        <v>715</v>
      </c>
      <c r="C372">
        <v>1.2</v>
      </c>
      <c r="D372">
        <v>1.2</v>
      </c>
      <c r="E372">
        <v>1.4999999999999999E-2</v>
      </c>
      <c r="F372" t="s">
        <v>8</v>
      </c>
    </row>
    <row r="373" spans="1:6" x14ac:dyDescent="0.35">
      <c r="A373" t="s">
        <v>716</v>
      </c>
      <c r="B373" t="s">
        <v>717</v>
      </c>
      <c r="C373">
        <v>1.2</v>
      </c>
      <c r="D373">
        <v>0.06</v>
      </c>
      <c r="E373">
        <v>1.4999999999999999E-2</v>
      </c>
      <c r="F373" t="s">
        <v>8</v>
      </c>
    </row>
    <row r="374" spans="1:6" x14ac:dyDescent="0.35">
      <c r="A374" t="s">
        <v>718</v>
      </c>
      <c r="B374" t="s">
        <v>719</v>
      </c>
      <c r="C374">
        <v>1.08</v>
      </c>
      <c r="D374">
        <v>0.06</v>
      </c>
      <c r="E374">
        <v>1.4999999999999999E-2</v>
      </c>
      <c r="F374" t="s">
        <v>8</v>
      </c>
    </row>
    <row r="375" spans="1:6" x14ac:dyDescent="0.35">
      <c r="A375" t="s">
        <v>720</v>
      </c>
      <c r="B375" t="s">
        <v>715</v>
      </c>
      <c r="C375">
        <v>1.2</v>
      </c>
      <c r="D375">
        <v>1.2</v>
      </c>
      <c r="E375">
        <v>1.4999999999999999E-2</v>
      </c>
      <c r="F375" t="s">
        <v>8</v>
      </c>
    </row>
    <row r="376" spans="1:6" x14ac:dyDescent="0.35">
      <c r="A376" t="s">
        <v>721</v>
      </c>
      <c r="B376" t="s">
        <v>722</v>
      </c>
      <c r="C376">
        <v>0.75</v>
      </c>
      <c r="D376">
        <v>0.154</v>
      </c>
      <c r="E376">
        <v>1.4999999999999999E-2</v>
      </c>
      <c r="F376" t="s">
        <v>8</v>
      </c>
    </row>
    <row r="377" spans="1:6" x14ac:dyDescent="0.35">
      <c r="A377" t="s">
        <v>723</v>
      </c>
      <c r="B377" t="s">
        <v>724</v>
      </c>
      <c r="C377">
        <v>0.51</v>
      </c>
      <c r="D377">
        <v>0.51</v>
      </c>
      <c r="E377">
        <v>1.2E-2</v>
      </c>
      <c r="F377" t="s">
        <v>8</v>
      </c>
    </row>
    <row r="378" spans="1:6" x14ac:dyDescent="0.35">
      <c r="A378" t="s">
        <v>725</v>
      </c>
      <c r="B378" t="s">
        <v>726</v>
      </c>
      <c r="C378">
        <v>0.436</v>
      </c>
      <c r="D378">
        <v>0.436</v>
      </c>
      <c r="E378">
        <v>1.2E-2</v>
      </c>
      <c r="F378" t="s">
        <v>8</v>
      </c>
    </row>
    <row r="379" spans="1:6" x14ac:dyDescent="0.35">
      <c r="A379" t="s">
        <v>727</v>
      </c>
      <c r="B379" t="s">
        <v>728</v>
      </c>
      <c r="C379">
        <v>0.51</v>
      </c>
      <c r="D379">
        <v>0.51</v>
      </c>
      <c r="E379">
        <v>1.2E-2</v>
      </c>
      <c r="F379" t="s">
        <v>8</v>
      </c>
    </row>
    <row r="380" spans="1:6" x14ac:dyDescent="0.35">
      <c r="A380" t="s">
        <v>729</v>
      </c>
      <c r="B380" t="s">
        <v>730</v>
      </c>
      <c r="C380">
        <v>0.436</v>
      </c>
      <c r="D380">
        <v>0.436</v>
      </c>
      <c r="E380">
        <v>1.2E-2</v>
      </c>
      <c r="F380" t="s">
        <v>8</v>
      </c>
    </row>
    <row r="381" spans="1:6" x14ac:dyDescent="0.35">
      <c r="A381" t="s">
        <v>731</v>
      </c>
      <c r="B381" t="s">
        <v>732</v>
      </c>
      <c r="C381">
        <v>1.03</v>
      </c>
      <c r="D381">
        <v>1.03</v>
      </c>
      <c r="E381">
        <v>2.5000000000000001E-2</v>
      </c>
      <c r="F381" t="s">
        <v>8</v>
      </c>
    </row>
    <row r="382" spans="1:6" x14ac:dyDescent="0.35">
      <c r="A382" t="s">
        <v>733</v>
      </c>
      <c r="B382" t="s">
        <v>734</v>
      </c>
      <c r="C382">
        <v>0.75</v>
      </c>
      <c r="D382">
        <v>0.152</v>
      </c>
      <c r="E382">
        <v>1.4999999999999999E-2</v>
      </c>
      <c r="F382" t="s">
        <v>8</v>
      </c>
    </row>
    <row r="383" spans="1:6" x14ac:dyDescent="0.35">
      <c r="A383" t="s">
        <v>735</v>
      </c>
      <c r="B383" t="s">
        <v>736</v>
      </c>
      <c r="C383">
        <v>0</v>
      </c>
      <c r="D383">
        <v>0</v>
      </c>
      <c r="E383">
        <v>0</v>
      </c>
      <c r="F383" t="s">
        <v>301</v>
      </c>
    </row>
    <row r="384" spans="1:6" x14ac:dyDescent="0.35">
      <c r="A384" t="s">
        <v>737</v>
      </c>
      <c r="B384" t="s">
        <v>738</v>
      </c>
      <c r="C384">
        <v>1.0349999999999999</v>
      </c>
      <c r="D384">
        <v>1.0349999999999999</v>
      </c>
      <c r="E384">
        <v>1.7999999999999999E-2</v>
      </c>
      <c r="F384" t="s">
        <v>8</v>
      </c>
    </row>
    <row r="385" spans="1:6" x14ac:dyDescent="0.35">
      <c r="A385" t="s">
        <v>739</v>
      </c>
      <c r="B385" t="s">
        <v>740</v>
      </c>
      <c r="C385">
        <v>0.74199999999999999</v>
      </c>
      <c r="D385">
        <v>0.122</v>
      </c>
      <c r="E385">
        <v>2.5000000000000001E-2</v>
      </c>
      <c r="F385" t="s">
        <v>8</v>
      </c>
    </row>
    <row r="386" spans="1:6" x14ac:dyDescent="0.35">
      <c r="A386" t="s">
        <v>741</v>
      </c>
      <c r="B386" t="s">
        <v>742</v>
      </c>
      <c r="C386">
        <v>0.54200000000000004</v>
      </c>
      <c r="D386">
        <v>0.124</v>
      </c>
      <c r="E386">
        <v>2.5000000000000001E-2</v>
      </c>
      <c r="F386" t="s">
        <v>8</v>
      </c>
    </row>
    <row r="387" spans="1:6" x14ac:dyDescent="0.35">
      <c r="A387" t="s">
        <v>743</v>
      </c>
      <c r="B387" t="s">
        <v>744</v>
      </c>
      <c r="C387">
        <v>0.193</v>
      </c>
      <c r="D387">
        <v>0.124</v>
      </c>
      <c r="E387">
        <v>2.5000000000000001E-2</v>
      </c>
      <c r="F387" t="s">
        <v>8</v>
      </c>
    </row>
    <row r="388" spans="1:6" x14ac:dyDescent="0.35">
      <c r="A388" t="s">
        <v>745</v>
      </c>
      <c r="B388" t="s">
        <v>746</v>
      </c>
      <c r="C388">
        <v>0.54</v>
      </c>
      <c r="D388">
        <v>0.38600000000000001</v>
      </c>
      <c r="E388">
        <v>1.2E-2</v>
      </c>
      <c r="F388" t="s">
        <v>8</v>
      </c>
    </row>
    <row r="389" spans="1:6" x14ac:dyDescent="0.35">
      <c r="A389" t="s">
        <v>747</v>
      </c>
      <c r="B389" t="s">
        <v>748</v>
      </c>
      <c r="C389">
        <v>0</v>
      </c>
      <c r="D389">
        <v>0</v>
      </c>
      <c r="E389">
        <v>0</v>
      </c>
      <c r="F389" t="s">
        <v>301</v>
      </c>
    </row>
    <row r="390" spans="1:6" x14ac:dyDescent="0.35">
      <c r="A390" t="s">
        <v>749</v>
      </c>
      <c r="B390" t="s">
        <v>750</v>
      </c>
      <c r="C390">
        <v>0.90500000000000003</v>
      </c>
      <c r="D390">
        <v>0.90500000000000003</v>
      </c>
      <c r="E390">
        <v>1.7999999999999999E-2</v>
      </c>
      <c r="F390" t="s">
        <v>85</v>
      </c>
    </row>
    <row r="391" spans="1:6" x14ac:dyDescent="0.35">
      <c r="A391" t="s">
        <v>751</v>
      </c>
      <c r="B391" t="s">
        <v>752</v>
      </c>
      <c r="C391">
        <v>0</v>
      </c>
      <c r="D391">
        <v>0</v>
      </c>
      <c r="E391">
        <v>0</v>
      </c>
      <c r="F391" t="s">
        <v>301</v>
      </c>
    </row>
    <row r="392" spans="1:6" x14ac:dyDescent="0.35">
      <c r="A392" t="s">
        <v>753</v>
      </c>
      <c r="B392" t="s">
        <v>754</v>
      </c>
      <c r="C392">
        <v>1.2050000000000001</v>
      </c>
      <c r="D392">
        <v>0.90500000000000003</v>
      </c>
      <c r="E392">
        <v>1.7999999999999999E-2</v>
      </c>
      <c r="F392" t="s">
        <v>85</v>
      </c>
    </row>
    <row r="393" spans="1:6" x14ac:dyDescent="0.35">
      <c r="A393" t="s">
        <v>755</v>
      </c>
      <c r="B393" t="s">
        <v>756</v>
      </c>
      <c r="C393">
        <v>0.74199999999999999</v>
      </c>
      <c r="D393">
        <v>0.124</v>
      </c>
      <c r="E393">
        <v>2.5000000000000001E-2</v>
      </c>
      <c r="F393" t="s">
        <v>8</v>
      </c>
    </row>
    <row r="394" spans="1:6" x14ac:dyDescent="0.35">
      <c r="A394" t="s">
        <v>757</v>
      </c>
      <c r="B394" t="s">
        <v>758</v>
      </c>
      <c r="C394">
        <v>0.223</v>
      </c>
      <c r="D394">
        <v>0.124</v>
      </c>
      <c r="E394">
        <v>2.5000000000000001E-2</v>
      </c>
      <c r="F394" t="s">
        <v>8</v>
      </c>
    </row>
    <row r="395" spans="1:6" x14ac:dyDescent="0.35">
      <c r="A395" t="s">
        <v>759</v>
      </c>
      <c r="B395" t="s">
        <v>760</v>
      </c>
      <c r="C395">
        <v>0.74</v>
      </c>
      <c r="D395">
        <v>0.44</v>
      </c>
      <c r="E395">
        <v>1.2E-2</v>
      </c>
      <c r="F395" t="s">
        <v>8</v>
      </c>
    </row>
    <row r="396" spans="1:6" x14ac:dyDescent="0.35">
      <c r="A396" t="s">
        <v>761</v>
      </c>
      <c r="B396" t="s">
        <v>762</v>
      </c>
      <c r="C396">
        <v>0</v>
      </c>
      <c r="D396">
        <v>0</v>
      </c>
      <c r="E396">
        <v>0</v>
      </c>
      <c r="F396" t="s">
        <v>301</v>
      </c>
    </row>
    <row r="397" spans="1:6" x14ac:dyDescent="0.35">
      <c r="A397" t="s">
        <v>763</v>
      </c>
      <c r="B397" t="s">
        <v>764</v>
      </c>
      <c r="C397">
        <v>1.36</v>
      </c>
      <c r="D397">
        <v>0.90500000000000003</v>
      </c>
      <c r="E397">
        <v>1.7999999999999999E-2</v>
      </c>
      <c r="F397" t="s">
        <v>85</v>
      </c>
    </row>
    <row r="398" spans="1:6" x14ac:dyDescent="0.35">
      <c r="A398" t="s">
        <v>765</v>
      </c>
      <c r="B398" t="s">
        <v>766</v>
      </c>
      <c r="C398">
        <v>0.74199999999999999</v>
      </c>
      <c r="D398">
        <v>0.122</v>
      </c>
      <c r="E398">
        <v>2.5000000000000001E-2</v>
      </c>
      <c r="F398" t="s">
        <v>8</v>
      </c>
    </row>
    <row r="399" spans="1:6" x14ac:dyDescent="0.35">
      <c r="A399" t="s">
        <v>767</v>
      </c>
      <c r="B399" t="s">
        <v>768</v>
      </c>
      <c r="C399">
        <v>0.54200000000000004</v>
      </c>
      <c r="D399">
        <v>0.124</v>
      </c>
      <c r="E399">
        <v>2.5000000000000001E-2</v>
      </c>
      <c r="F399" t="s">
        <v>8</v>
      </c>
    </row>
    <row r="400" spans="1:6" x14ac:dyDescent="0.35">
      <c r="A400" t="s">
        <v>769</v>
      </c>
      <c r="B400" t="s">
        <v>770</v>
      </c>
      <c r="C400">
        <v>0.193</v>
      </c>
      <c r="D400">
        <v>0.124</v>
      </c>
      <c r="E400">
        <v>2.5000000000000001E-2</v>
      </c>
      <c r="F400" t="s">
        <v>8</v>
      </c>
    </row>
    <row r="401" spans="1:6" x14ac:dyDescent="0.35">
      <c r="A401" t="s">
        <v>771</v>
      </c>
      <c r="B401" t="s">
        <v>772</v>
      </c>
      <c r="C401">
        <v>0.99</v>
      </c>
      <c r="D401">
        <v>0.124</v>
      </c>
      <c r="E401">
        <v>2.5000000000000001E-2</v>
      </c>
      <c r="F401" t="s">
        <v>8</v>
      </c>
    </row>
    <row r="402" spans="1:6" x14ac:dyDescent="0.35">
      <c r="A402" t="s">
        <v>773</v>
      </c>
      <c r="B402" t="s">
        <v>774</v>
      </c>
      <c r="C402">
        <v>0.99</v>
      </c>
      <c r="D402">
        <v>0.44</v>
      </c>
      <c r="E402">
        <v>1.2E-2</v>
      </c>
      <c r="F402" t="s">
        <v>8</v>
      </c>
    </row>
    <row r="403" spans="1:6" x14ac:dyDescent="0.35">
      <c r="A403" t="s">
        <v>775</v>
      </c>
      <c r="B403" t="s">
        <v>776</v>
      </c>
      <c r="C403">
        <v>1.0349999999999999</v>
      </c>
      <c r="D403">
        <v>1.0349999999999999</v>
      </c>
      <c r="E403">
        <v>1.7999999999999999E-2</v>
      </c>
      <c r="F403" t="s">
        <v>8</v>
      </c>
    </row>
    <row r="404" spans="1:6" x14ac:dyDescent="0.35">
      <c r="A404" t="s">
        <v>777</v>
      </c>
      <c r="B404" t="s">
        <v>778</v>
      </c>
      <c r="C404">
        <v>0.90500000000000003</v>
      </c>
      <c r="D404">
        <v>0.90500000000000003</v>
      </c>
      <c r="E404">
        <v>1.7999999999999999E-2</v>
      </c>
      <c r="F404" t="s">
        <v>85</v>
      </c>
    </row>
    <row r="405" spans="1:6" x14ac:dyDescent="0.35">
      <c r="A405" t="s">
        <v>779</v>
      </c>
      <c r="B405" t="s">
        <v>780</v>
      </c>
      <c r="C405">
        <v>1.2050000000000001</v>
      </c>
      <c r="D405">
        <v>0.90500000000000003</v>
      </c>
      <c r="E405">
        <v>1.7999999999999999E-2</v>
      </c>
      <c r="F405" t="s">
        <v>85</v>
      </c>
    </row>
    <row r="406" spans="1:6" x14ac:dyDescent="0.35">
      <c r="A406" t="s">
        <v>781</v>
      </c>
      <c r="B406" t="s">
        <v>782</v>
      </c>
      <c r="C406">
        <v>1.365</v>
      </c>
      <c r="D406">
        <v>0.90500000000000003</v>
      </c>
      <c r="E406">
        <v>1.7999999999999999E-2</v>
      </c>
      <c r="F406" t="s">
        <v>85</v>
      </c>
    </row>
    <row r="407" spans="1:6" x14ac:dyDescent="0.35">
      <c r="A407" t="s">
        <v>783</v>
      </c>
      <c r="B407" t="s">
        <v>782</v>
      </c>
      <c r="C407">
        <v>1.365</v>
      </c>
      <c r="D407">
        <v>0.90500000000000003</v>
      </c>
      <c r="E407">
        <v>1.7999999999999999E-2</v>
      </c>
      <c r="F407" t="s">
        <v>85</v>
      </c>
    </row>
    <row r="408" spans="1:6" x14ac:dyDescent="0.35">
      <c r="A408" t="s">
        <v>784</v>
      </c>
      <c r="B408" t="s">
        <v>782</v>
      </c>
      <c r="C408">
        <v>1.365</v>
      </c>
      <c r="D408">
        <v>0.90500000000000003</v>
      </c>
      <c r="E408">
        <v>1.7999999999999999E-2</v>
      </c>
      <c r="F408" t="s">
        <v>85</v>
      </c>
    </row>
    <row r="409" spans="1:6" x14ac:dyDescent="0.35">
      <c r="A409" t="s">
        <v>785</v>
      </c>
      <c r="B409" t="s">
        <v>786</v>
      </c>
      <c r="C409">
        <v>0</v>
      </c>
      <c r="D409">
        <v>0</v>
      </c>
      <c r="E409">
        <v>0</v>
      </c>
      <c r="F409" t="s">
        <v>787</v>
      </c>
    </row>
    <row r="410" spans="1:6" x14ac:dyDescent="0.35">
      <c r="A410" t="s">
        <v>788</v>
      </c>
      <c r="B410" t="s">
        <v>789</v>
      </c>
      <c r="C410">
        <v>0</v>
      </c>
      <c r="D410">
        <v>0</v>
      </c>
      <c r="E410">
        <v>0</v>
      </c>
      <c r="F410" t="s">
        <v>787</v>
      </c>
    </row>
    <row r="411" spans="1:6" x14ac:dyDescent="0.35">
      <c r="A411" t="s">
        <v>790</v>
      </c>
      <c r="B411" t="s">
        <v>791</v>
      </c>
      <c r="C411">
        <v>0.81</v>
      </c>
      <c r="D411">
        <v>6.3E-2</v>
      </c>
      <c r="E411">
        <v>3.5000000000000003E-2</v>
      </c>
      <c r="F411" t="s">
        <v>8</v>
      </c>
    </row>
    <row r="412" spans="1:6" x14ac:dyDescent="0.35">
      <c r="A412" t="s">
        <v>792</v>
      </c>
      <c r="B412" t="s">
        <v>793</v>
      </c>
      <c r="C412">
        <v>0.79</v>
      </c>
      <c r="D412">
        <v>0.125</v>
      </c>
      <c r="E412">
        <v>3.5000000000000003E-2</v>
      </c>
      <c r="F412" t="s">
        <v>794</v>
      </c>
    </row>
    <row r="413" spans="1:6" x14ac:dyDescent="0.35">
      <c r="A413" t="s">
        <v>795</v>
      </c>
      <c r="B413" t="s">
        <v>796</v>
      </c>
      <c r="C413">
        <v>0.69</v>
      </c>
      <c r="D413">
        <v>0.08</v>
      </c>
      <c r="E413">
        <v>1.7999999999999999E-2</v>
      </c>
      <c r="F413" t="s">
        <v>794</v>
      </c>
    </row>
    <row r="414" spans="1:6" x14ac:dyDescent="0.35">
      <c r="A414" t="s">
        <v>797</v>
      </c>
      <c r="B414" t="s">
        <v>798</v>
      </c>
      <c r="C414">
        <v>0</v>
      </c>
      <c r="D414">
        <v>0</v>
      </c>
      <c r="E414">
        <v>0</v>
      </c>
      <c r="F414" t="s">
        <v>787</v>
      </c>
    </row>
    <row r="415" spans="1:6" x14ac:dyDescent="0.35">
      <c r="A415" t="s">
        <v>799</v>
      </c>
      <c r="B415" t="s">
        <v>800</v>
      </c>
      <c r="C415">
        <v>0.82</v>
      </c>
      <c r="D415">
        <v>9.7000000000000003E-2</v>
      </c>
      <c r="E415">
        <v>0.03</v>
      </c>
      <c r="F415" t="s">
        <v>794</v>
      </c>
    </row>
    <row r="416" spans="1:6" x14ac:dyDescent="0.35">
      <c r="A416" t="s">
        <v>801</v>
      </c>
      <c r="B416" t="s">
        <v>802</v>
      </c>
      <c r="C416">
        <v>0.51</v>
      </c>
      <c r="D416">
        <v>0.08</v>
      </c>
      <c r="E416">
        <v>0.03</v>
      </c>
      <c r="F416" t="s">
        <v>794</v>
      </c>
    </row>
    <row r="417" spans="1:6" x14ac:dyDescent="0.35">
      <c r="A417" t="s">
        <v>803</v>
      </c>
      <c r="B417" t="s">
        <v>804</v>
      </c>
      <c r="C417">
        <v>1.3069999999999999</v>
      </c>
      <c r="D417">
        <v>0.7</v>
      </c>
      <c r="E417">
        <v>0.43</v>
      </c>
      <c r="F417" t="s">
        <v>794</v>
      </c>
    </row>
    <row r="418" spans="1:6" x14ac:dyDescent="0.35">
      <c r="A418" t="s">
        <v>805</v>
      </c>
      <c r="B418" t="s">
        <v>806</v>
      </c>
      <c r="C418">
        <v>0.42099999999999999</v>
      </c>
      <c r="D418">
        <v>0.5</v>
      </c>
      <c r="E418">
        <v>0.33</v>
      </c>
      <c r="F418" t="s">
        <v>794</v>
      </c>
    </row>
    <row r="419" spans="1:6" x14ac:dyDescent="0.35">
      <c r="A419" t="s">
        <v>807</v>
      </c>
      <c r="B419" t="s">
        <v>808</v>
      </c>
      <c r="C419">
        <v>0.96</v>
      </c>
      <c r="D419">
        <v>0.08</v>
      </c>
      <c r="E419">
        <v>0.03</v>
      </c>
      <c r="F419" t="s">
        <v>8</v>
      </c>
    </row>
    <row r="420" spans="1:6" x14ac:dyDescent="0.35">
      <c r="A420" t="s">
        <v>809</v>
      </c>
      <c r="B420" t="s">
        <v>810</v>
      </c>
      <c r="C420">
        <v>1.28</v>
      </c>
      <c r="D420">
        <v>0.5</v>
      </c>
      <c r="E420">
        <v>0.33</v>
      </c>
      <c r="F420" t="s">
        <v>794</v>
      </c>
    </row>
    <row r="421" spans="1:6" x14ac:dyDescent="0.35">
      <c r="A421" t="s">
        <v>811</v>
      </c>
      <c r="B421" t="s">
        <v>812</v>
      </c>
      <c r="C421">
        <v>0.25</v>
      </c>
      <c r="D421">
        <v>0.5</v>
      </c>
      <c r="E421">
        <v>0.33</v>
      </c>
      <c r="F421" t="s">
        <v>794</v>
      </c>
    </row>
    <row r="422" spans="1:6" x14ac:dyDescent="0.35">
      <c r="A422" t="s">
        <v>813</v>
      </c>
      <c r="B422" t="s">
        <v>814</v>
      </c>
      <c r="C422">
        <v>0.71</v>
      </c>
      <c r="D422">
        <v>0.08</v>
      </c>
      <c r="E422">
        <v>0.03</v>
      </c>
      <c r="F422" t="s">
        <v>794</v>
      </c>
    </row>
    <row r="423" spans="1:6" x14ac:dyDescent="0.35">
      <c r="A423" t="s">
        <v>815</v>
      </c>
      <c r="B423" t="s">
        <v>816</v>
      </c>
      <c r="C423">
        <v>1.1299999999999999</v>
      </c>
      <c r="D423">
        <v>0.08</v>
      </c>
      <c r="E423">
        <v>0.03</v>
      </c>
      <c r="F423" t="s">
        <v>794</v>
      </c>
    </row>
    <row r="424" spans="1:6" x14ac:dyDescent="0.35">
      <c r="A424" t="s">
        <v>817</v>
      </c>
      <c r="B424" t="s">
        <v>818</v>
      </c>
      <c r="C424">
        <v>1.44</v>
      </c>
      <c r="D424">
        <v>0.5</v>
      </c>
      <c r="E424">
        <v>0.33</v>
      </c>
      <c r="F424" t="s">
        <v>794</v>
      </c>
    </row>
    <row r="425" spans="1:6" x14ac:dyDescent="0.35">
      <c r="A425" t="s">
        <v>819</v>
      </c>
      <c r="B425" t="s">
        <v>820</v>
      </c>
      <c r="C425">
        <v>0</v>
      </c>
      <c r="D425">
        <v>0</v>
      </c>
      <c r="E425">
        <v>0</v>
      </c>
      <c r="F425" t="s">
        <v>787</v>
      </c>
    </row>
    <row r="426" spans="1:6" x14ac:dyDescent="0.35">
      <c r="A426" t="s">
        <v>821</v>
      </c>
      <c r="B426" t="s">
        <v>822</v>
      </c>
      <c r="C426">
        <v>1.365</v>
      </c>
      <c r="D426">
        <v>0.08</v>
      </c>
      <c r="E426">
        <v>2.5000000000000001E-2</v>
      </c>
      <c r="F426" t="s">
        <v>794</v>
      </c>
    </row>
    <row r="427" spans="1:6" x14ac:dyDescent="0.35">
      <c r="A427" t="s">
        <v>823</v>
      </c>
      <c r="B427" t="s">
        <v>824</v>
      </c>
      <c r="C427">
        <v>0.69</v>
      </c>
      <c r="D427">
        <v>0.08</v>
      </c>
      <c r="E427">
        <v>2.5000000000000001E-2</v>
      </c>
      <c r="F427" t="s">
        <v>794</v>
      </c>
    </row>
    <row r="428" spans="1:6" x14ac:dyDescent="0.35">
      <c r="A428" t="s">
        <v>825</v>
      </c>
      <c r="B428" t="s">
        <v>826</v>
      </c>
      <c r="C428">
        <v>1.071</v>
      </c>
      <c r="D428">
        <v>0.7</v>
      </c>
      <c r="E428">
        <v>0.43</v>
      </c>
      <c r="F428" t="s">
        <v>794</v>
      </c>
    </row>
    <row r="429" spans="1:6" x14ac:dyDescent="0.35">
      <c r="A429" t="s">
        <v>827</v>
      </c>
      <c r="B429" t="s">
        <v>828</v>
      </c>
      <c r="C429">
        <v>1.72</v>
      </c>
      <c r="D429">
        <v>0.5</v>
      </c>
      <c r="E429">
        <v>0.33</v>
      </c>
      <c r="F429" t="s">
        <v>794</v>
      </c>
    </row>
    <row r="430" spans="1:6" x14ac:dyDescent="0.35">
      <c r="A430" t="s">
        <v>829</v>
      </c>
      <c r="B430" t="s">
        <v>830</v>
      </c>
      <c r="C430">
        <v>1.5649999999999999</v>
      </c>
      <c r="D430">
        <v>0.08</v>
      </c>
      <c r="E430">
        <v>0.03</v>
      </c>
      <c r="F430" t="s">
        <v>794</v>
      </c>
    </row>
    <row r="431" spans="1:6" x14ac:dyDescent="0.35">
      <c r="A431" t="s">
        <v>831</v>
      </c>
      <c r="B431" t="s">
        <v>832</v>
      </c>
      <c r="C431">
        <v>1.92</v>
      </c>
      <c r="D431">
        <v>0.5</v>
      </c>
      <c r="E431">
        <v>0.33</v>
      </c>
      <c r="F431" t="s">
        <v>794</v>
      </c>
    </row>
    <row r="432" spans="1:6" x14ac:dyDescent="0.35">
      <c r="A432" t="s">
        <v>833</v>
      </c>
      <c r="B432" t="s">
        <v>834</v>
      </c>
      <c r="C432">
        <v>0.74199999999999999</v>
      </c>
      <c r="D432">
        <v>0.122</v>
      </c>
      <c r="E432">
        <v>0.03</v>
      </c>
      <c r="F432" t="s">
        <v>8</v>
      </c>
    </row>
    <row r="433" spans="1:6" x14ac:dyDescent="0.35">
      <c r="A433" t="s">
        <v>835</v>
      </c>
      <c r="B433" t="s">
        <v>836</v>
      </c>
      <c r="C433">
        <v>0.74199999999999999</v>
      </c>
      <c r="D433">
        <v>0.124</v>
      </c>
      <c r="E433">
        <v>0.03</v>
      </c>
      <c r="F433" t="s">
        <v>8</v>
      </c>
    </row>
    <row r="434" spans="1:6" x14ac:dyDescent="0.35">
      <c r="A434" t="s">
        <v>837</v>
      </c>
      <c r="B434" t="s">
        <v>838</v>
      </c>
      <c r="C434">
        <v>0.22</v>
      </c>
      <c r="D434">
        <v>0.124</v>
      </c>
      <c r="E434">
        <v>0.03</v>
      </c>
      <c r="F434" t="s">
        <v>8</v>
      </c>
    </row>
    <row r="435" spans="1:6" x14ac:dyDescent="0.35">
      <c r="A435" t="s">
        <v>839</v>
      </c>
      <c r="B435" t="s">
        <v>840</v>
      </c>
      <c r="C435">
        <v>0.76200000000000001</v>
      </c>
      <c r="D435">
        <v>0.113</v>
      </c>
      <c r="E435">
        <v>0.03</v>
      </c>
      <c r="F435" t="s">
        <v>8</v>
      </c>
    </row>
    <row r="436" spans="1:6" x14ac:dyDescent="0.35">
      <c r="A436" t="s">
        <v>841</v>
      </c>
      <c r="B436" t="s">
        <v>842</v>
      </c>
      <c r="C436">
        <v>0.56200000000000006</v>
      </c>
      <c r="D436">
        <v>0.113</v>
      </c>
      <c r="E436">
        <v>0.03</v>
      </c>
      <c r="F436" t="s">
        <v>8</v>
      </c>
    </row>
    <row r="437" spans="1:6" x14ac:dyDescent="0.35">
      <c r="A437" t="s">
        <v>843</v>
      </c>
      <c r="B437" t="s">
        <v>844</v>
      </c>
      <c r="C437">
        <v>0.2</v>
      </c>
      <c r="D437">
        <v>0.113</v>
      </c>
      <c r="E437">
        <v>0.03</v>
      </c>
      <c r="F437" t="s">
        <v>8</v>
      </c>
    </row>
    <row r="438" spans="1:6" x14ac:dyDescent="0.35">
      <c r="A438" t="s">
        <v>845</v>
      </c>
      <c r="B438" t="s">
        <v>846</v>
      </c>
      <c r="C438">
        <v>0.54</v>
      </c>
      <c r="D438">
        <v>0.38600000000000001</v>
      </c>
      <c r="E438">
        <v>1.2E-2</v>
      </c>
      <c r="F438" t="s">
        <v>8</v>
      </c>
    </row>
    <row r="439" spans="1:6" x14ac:dyDescent="0.35">
      <c r="A439" t="s">
        <v>847</v>
      </c>
      <c r="B439" t="s">
        <v>848</v>
      </c>
      <c r="C439">
        <v>0.78</v>
      </c>
      <c r="D439">
        <v>7.9000000000000001E-2</v>
      </c>
      <c r="E439">
        <v>0.03</v>
      </c>
      <c r="F439" t="s">
        <v>8</v>
      </c>
    </row>
    <row r="440" spans="1:6" x14ac:dyDescent="0.35">
      <c r="A440" t="s">
        <v>849</v>
      </c>
      <c r="B440" t="s">
        <v>850</v>
      </c>
      <c r="C440">
        <v>0.48</v>
      </c>
      <c r="D440">
        <v>0.08</v>
      </c>
      <c r="E440">
        <v>2.5000000000000001E-2</v>
      </c>
      <c r="F440" t="s">
        <v>8</v>
      </c>
    </row>
    <row r="441" spans="1:6" x14ac:dyDescent="0.35">
      <c r="A441" t="s">
        <v>851</v>
      </c>
      <c r="B441" t="s">
        <v>852</v>
      </c>
      <c r="C441">
        <v>0.54200000000000004</v>
      </c>
      <c r="D441">
        <v>0.54200000000000004</v>
      </c>
      <c r="E441">
        <v>1.4999999999999999E-2</v>
      </c>
      <c r="F441" t="s">
        <v>8</v>
      </c>
    </row>
    <row r="442" spans="1:6" x14ac:dyDescent="0.35">
      <c r="A442" t="s">
        <v>853</v>
      </c>
      <c r="B442" t="s">
        <v>854</v>
      </c>
      <c r="C442">
        <v>1.1299999999999999</v>
      </c>
      <c r="D442">
        <v>0.08</v>
      </c>
      <c r="E442">
        <v>2.5000000000000001E-2</v>
      </c>
      <c r="F442" t="s">
        <v>8</v>
      </c>
    </row>
    <row r="443" spans="1:6" x14ac:dyDescent="0.35">
      <c r="A443" t="s">
        <v>855</v>
      </c>
      <c r="B443" t="s">
        <v>856</v>
      </c>
      <c r="C443">
        <v>0.71</v>
      </c>
      <c r="D443">
        <v>0.08</v>
      </c>
      <c r="E443">
        <v>2.5000000000000001E-2</v>
      </c>
      <c r="F443" t="s">
        <v>8</v>
      </c>
    </row>
    <row r="444" spans="1:6" x14ac:dyDescent="0.35">
      <c r="A444" t="s">
        <v>857</v>
      </c>
      <c r="B444" t="s">
        <v>858</v>
      </c>
      <c r="C444">
        <v>1.1719999999999999</v>
      </c>
      <c r="D444">
        <v>0.752</v>
      </c>
      <c r="E444">
        <v>1.4999999999999999E-2</v>
      </c>
      <c r="F444" t="s">
        <v>8</v>
      </c>
    </row>
    <row r="445" spans="1:6" x14ac:dyDescent="0.35">
      <c r="A445" t="s">
        <v>859</v>
      </c>
      <c r="B445" t="s">
        <v>860</v>
      </c>
      <c r="C445">
        <v>1.1299999999999999</v>
      </c>
      <c r="D445">
        <v>0.08</v>
      </c>
      <c r="E445">
        <v>2.5000000000000001E-2</v>
      </c>
      <c r="F445" t="s">
        <v>8</v>
      </c>
    </row>
    <row r="446" spans="1:6" x14ac:dyDescent="0.35">
      <c r="A446" t="s">
        <v>861</v>
      </c>
      <c r="B446" t="s">
        <v>862</v>
      </c>
      <c r="C446">
        <v>1.365</v>
      </c>
      <c r="D446">
        <v>0.08</v>
      </c>
      <c r="E446">
        <v>2.5000000000000001E-2</v>
      </c>
      <c r="F446" t="s">
        <v>8</v>
      </c>
    </row>
    <row r="447" spans="1:6" x14ac:dyDescent="0.35">
      <c r="A447" t="s">
        <v>863</v>
      </c>
      <c r="B447" t="s">
        <v>864</v>
      </c>
      <c r="C447">
        <v>0.79</v>
      </c>
      <c r="D447">
        <v>0.125</v>
      </c>
      <c r="E447">
        <v>3.5000000000000003E-2</v>
      </c>
      <c r="F447" t="s">
        <v>794</v>
      </c>
    </row>
    <row r="448" spans="1:6" x14ac:dyDescent="0.35">
      <c r="A448" t="s">
        <v>865</v>
      </c>
      <c r="B448" t="s">
        <v>866</v>
      </c>
      <c r="C448">
        <v>1.407</v>
      </c>
      <c r="D448">
        <v>0.752</v>
      </c>
      <c r="E448">
        <v>1.4999999999999999E-2</v>
      </c>
      <c r="F448" t="s">
        <v>8</v>
      </c>
    </row>
    <row r="449" spans="1:6" x14ac:dyDescent="0.35">
      <c r="A449" t="s">
        <v>867</v>
      </c>
      <c r="B449" t="s">
        <v>868</v>
      </c>
      <c r="C449">
        <v>1.365</v>
      </c>
      <c r="D449">
        <v>0.08</v>
      </c>
      <c r="E449">
        <v>2.5000000000000001E-2</v>
      </c>
      <c r="F449" t="s">
        <v>8</v>
      </c>
    </row>
    <row r="450" spans="1:6" x14ac:dyDescent="0.35">
      <c r="A450" t="s">
        <v>869</v>
      </c>
      <c r="B450" t="s">
        <v>870</v>
      </c>
      <c r="C450">
        <v>1.0349999999999999</v>
      </c>
      <c r="D450">
        <v>1.0349999999999999</v>
      </c>
      <c r="E450">
        <v>1.7999999999999999E-2</v>
      </c>
      <c r="F450" t="s">
        <v>8</v>
      </c>
    </row>
    <row r="451" spans="1:6" x14ac:dyDescent="0.35">
      <c r="A451" t="s">
        <v>871</v>
      </c>
      <c r="B451" t="s">
        <v>872</v>
      </c>
      <c r="C451">
        <v>1.2050000000000001</v>
      </c>
      <c r="D451">
        <v>0.90500000000000003</v>
      </c>
      <c r="E451">
        <v>2.5000000000000001E-2</v>
      </c>
      <c r="F451" t="s">
        <v>85</v>
      </c>
    </row>
    <row r="452" spans="1:6" x14ac:dyDescent="0.35">
      <c r="A452" t="s">
        <v>873</v>
      </c>
      <c r="B452" t="s">
        <v>874</v>
      </c>
      <c r="C452">
        <v>1.365</v>
      </c>
      <c r="D452">
        <v>0.90500000000000003</v>
      </c>
      <c r="E452">
        <v>2.5000000000000001E-2</v>
      </c>
      <c r="F452" t="s">
        <v>85</v>
      </c>
    </row>
    <row r="453" spans="1:6" x14ac:dyDescent="0.35">
      <c r="A453" t="s">
        <v>875</v>
      </c>
      <c r="B453" t="s">
        <v>876</v>
      </c>
      <c r="C453">
        <v>1.6</v>
      </c>
      <c r="D453">
        <v>0.9</v>
      </c>
      <c r="E453">
        <v>2.5000000000000001E-2</v>
      </c>
      <c r="F453" t="s">
        <v>85</v>
      </c>
    </row>
    <row r="454" spans="1:6" x14ac:dyDescent="0.35">
      <c r="A454" t="s">
        <v>877</v>
      </c>
      <c r="B454" t="s">
        <v>878</v>
      </c>
      <c r="C454">
        <v>1.8049999999999999</v>
      </c>
      <c r="D454">
        <v>0.90500000000000003</v>
      </c>
      <c r="E454">
        <v>2.5000000000000001E-2</v>
      </c>
      <c r="F454" t="s">
        <v>85</v>
      </c>
    </row>
    <row r="455" spans="1:6" x14ac:dyDescent="0.35">
      <c r="A455" t="s">
        <v>879</v>
      </c>
      <c r="B455" t="s">
        <v>880</v>
      </c>
      <c r="C455">
        <v>1.8049999999999999</v>
      </c>
      <c r="D455">
        <v>0.90500000000000003</v>
      </c>
      <c r="E455">
        <v>2.5000000000000001E-2</v>
      </c>
      <c r="F455" t="s">
        <v>85</v>
      </c>
    </row>
    <row r="456" spans="1:6" x14ac:dyDescent="0.35">
      <c r="A456" t="s">
        <v>881</v>
      </c>
      <c r="B456" t="s">
        <v>882</v>
      </c>
      <c r="C456">
        <v>0.78</v>
      </c>
      <c r="D456">
        <v>7.2999999999999995E-2</v>
      </c>
      <c r="E456">
        <v>3.5000000000000003E-2</v>
      </c>
      <c r="F456" t="s">
        <v>794</v>
      </c>
    </row>
    <row r="457" spans="1:6" x14ac:dyDescent="0.35">
      <c r="A457" t="s">
        <v>883</v>
      </c>
      <c r="B457" t="s">
        <v>884</v>
      </c>
      <c r="C457">
        <v>0.78</v>
      </c>
      <c r="D457">
        <v>7.2999999999999995E-2</v>
      </c>
      <c r="E457">
        <v>3.5000000000000003E-2</v>
      </c>
      <c r="F457" t="s">
        <v>794</v>
      </c>
    </row>
    <row r="458" spans="1:6" x14ac:dyDescent="0.35">
      <c r="A458" t="s">
        <v>885</v>
      </c>
      <c r="B458" t="s">
        <v>886</v>
      </c>
      <c r="C458">
        <v>0.77</v>
      </c>
      <c r="D458">
        <v>7.2999999999999995E-2</v>
      </c>
      <c r="E458">
        <v>3.5000000000000003E-2</v>
      </c>
      <c r="F458" t="s">
        <v>794</v>
      </c>
    </row>
    <row r="459" spans="1:6" x14ac:dyDescent="0.35">
      <c r="A459" t="s">
        <v>887</v>
      </c>
      <c r="B459" t="s">
        <v>888</v>
      </c>
      <c r="C459">
        <v>0.66</v>
      </c>
      <c r="D459">
        <v>0.08</v>
      </c>
      <c r="E459">
        <v>0.03</v>
      </c>
      <c r="F459" t="s">
        <v>794</v>
      </c>
    </row>
    <row r="460" spans="1:6" x14ac:dyDescent="0.35">
      <c r="A460" t="s">
        <v>889</v>
      </c>
      <c r="B460" t="s">
        <v>890</v>
      </c>
      <c r="C460">
        <v>1.1200000000000001</v>
      </c>
      <c r="D460">
        <v>0.08</v>
      </c>
      <c r="E460">
        <v>0.03</v>
      </c>
      <c r="F460" t="s">
        <v>794</v>
      </c>
    </row>
    <row r="461" spans="1:6" x14ac:dyDescent="0.35">
      <c r="A461" t="s">
        <v>891</v>
      </c>
      <c r="B461" t="s">
        <v>892</v>
      </c>
      <c r="C461">
        <v>0</v>
      </c>
      <c r="D461">
        <v>0</v>
      </c>
      <c r="E461">
        <v>0</v>
      </c>
      <c r="F461" t="s">
        <v>787</v>
      </c>
    </row>
    <row r="462" spans="1:6" x14ac:dyDescent="0.35">
      <c r="A462" t="s">
        <v>893</v>
      </c>
      <c r="B462" t="s">
        <v>894</v>
      </c>
      <c r="C462">
        <v>0</v>
      </c>
      <c r="D462">
        <v>0</v>
      </c>
      <c r="E462">
        <v>0</v>
      </c>
      <c r="F462" t="s">
        <v>787</v>
      </c>
    </row>
    <row r="463" spans="1:6" x14ac:dyDescent="0.35">
      <c r="A463" t="s">
        <v>895</v>
      </c>
      <c r="B463" t="s">
        <v>896</v>
      </c>
      <c r="C463">
        <v>1.36</v>
      </c>
      <c r="D463">
        <v>0.08</v>
      </c>
      <c r="E463">
        <v>0.03</v>
      </c>
      <c r="F463" t="s">
        <v>794</v>
      </c>
    </row>
    <row r="464" spans="1:6" x14ac:dyDescent="0.35">
      <c r="A464" t="s">
        <v>897</v>
      </c>
      <c r="B464" t="s">
        <v>898</v>
      </c>
      <c r="C464">
        <v>0</v>
      </c>
      <c r="D464">
        <v>0</v>
      </c>
      <c r="E464">
        <v>0</v>
      </c>
      <c r="F464" t="s">
        <v>787</v>
      </c>
    </row>
    <row r="465" spans="1:6" x14ac:dyDescent="0.35">
      <c r="A465" t="s">
        <v>899</v>
      </c>
      <c r="B465" t="s">
        <v>900</v>
      </c>
      <c r="C465">
        <v>1.56</v>
      </c>
      <c r="D465">
        <v>0.08</v>
      </c>
      <c r="E465">
        <v>0.03</v>
      </c>
      <c r="F465" t="s">
        <v>794</v>
      </c>
    </row>
    <row r="466" spans="1:6" x14ac:dyDescent="0.35">
      <c r="A466" t="s">
        <v>901</v>
      </c>
      <c r="B466" t="s">
        <v>902</v>
      </c>
      <c r="C466">
        <v>0</v>
      </c>
      <c r="D466">
        <v>0</v>
      </c>
      <c r="E466">
        <v>0</v>
      </c>
      <c r="F466" t="s">
        <v>787</v>
      </c>
    </row>
    <row r="467" spans="1:6" x14ac:dyDescent="0.35">
      <c r="A467" t="s">
        <v>903</v>
      </c>
      <c r="B467" t="s">
        <v>904</v>
      </c>
      <c r="C467">
        <v>1.76</v>
      </c>
      <c r="D467">
        <v>0.08</v>
      </c>
      <c r="E467">
        <v>0.03</v>
      </c>
      <c r="F467" t="s">
        <v>794</v>
      </c>
    </row>
    <row r="468" spans="1:6" x14ac:dyDescent="0.35">
      <c r="A468" t="s">
        <v>905</v>
      </c>
      <c r="B468" t="s">
        <v>906</v>
      </c>
      <c r="C468">
        <v>2.0049999999999999</v>
      </c>
      <c r="D468">
        <v>0.90500000000000003</v>
      </c>
      <c r="E468">
        <v>1.7999999999999999E-2</v>
      </c>
      <c r="F468" t="s">
        <v>85</v>
      </c>
    </row>
    <row r="469" spans="1:6" x14ac:dyDescent="0.35">
      <c r="A469" t="s">
        <v>907</v>
      </c>
      <c r="B469" t="s">
        <v>908</v>
      </c>
      <c r="C469">
        <v>0</v>
      </c>
      <c r="D469">
        <v>0</v>
      </c>
      <c r="E469">
        <v>0</v>
      </c>
      <c r="F469" t="s">
        <v>787</v>
      </c>
    </row>
    <row r="470" spans="1:6" x14ac:dyDescent="0.35">
      <c r="A470" t="s">
        <v>909</v>
      </c>
      <c r="B470" t="s">
        <v>910</v>
      </c>
      <c r="C470">
        <v>0.78</v>
      </c>
      <c r="D470">
        <v>0.12</v>
      </c>
      <c r="E470">
        <v>3.5000000000000003E-2</v>
      </c>
      <c r="F470" t="s">
        <v>794</v>
      </c>
    </row>
    <row r="471" spans="1:6" x14ac:dyDescent="0.35">
      <c r="A471" t="s">
        <v>911</v>
      </c>
      <c r="B471" t="s">
        <v>912</v>
      </c>
      <c r="C471">
        <v>0.71</v>
      </c>
      <c r="D471">
        <v>0.08</v>
      </c>
      <c r="E471">
        <v>3.5000000000000003E-2</v>
      </c>
      <c r="F471" t="s">
        <v>794</v>
      </c>
    </row>
    <row r="472" spans="1:6" x14ac:dyDescent="0.35">
      <c r="A472" t="s">
        <v>913</v>
      </c>
      <c r="B472" t="s">
        <v>914</v>
      </c>
      <c r="C472">
        <v>1.1200000000000001</v>
      </c>
      <c r="D472">
        <v>0.08</v>
      </c>
      <c r="E472">
        <v>3.5000000000000003E-2</v>
      </c>
      <c r="F472" t="s">
        <v>794</v>
      </c>
    </row>
    <row r="473" spans="1:6" x14ac:dyDescent="0.35">
      <c r="A473" t="s">
        <v>915</v>
      </c>
      <c r="B473" t="s">
        <v>916</v>
      </c>
      <c r="C473">
        <v>0</v>
      </c>
      <c r="D473">
        <v>0</v>
      </c>
      <c r="E473">
        <v>0</v>
      </c>
      <c r="F473" t="s">
        <v>787</v>
      </c>
    </row>
    <row r="474" spans="1:6" x14ac:dyDescent="0.35">
      <c r="A474" t="s">
        <v>917</v>
      </c>
      <c r="B474" t="s">
        <v>918</v>
      </c>
      <c r="C474">
        <v>0</v>
      </c>
      <c r="D474">
        <v>0</v>
      </c>
      <c r="E474">
        <v>0</v>
      </c>
      <c r="F474" t="s">
        <v>787</v>
      </c>
    </row>
    <row r="475" spans="1:6" x14ac:dyDescent="0.35">
      <c r="A475" t="s">
        <v>919</v>
      </c>
      <c r="B475" t="s">
        <v>920</v>
      </c>
      <c r="C475">
        <v>1.36</v>
      </c>
      <c r="D475">
        <v>0.08</v>
      </c>
      <c r="E475">
        <v>3.5000000000000003E-2</v>
      </c>
      <c r="F475" t="s">
        <v>794</v>
      </c>
    </row>
    <row r="476" spans="1:6" x14ac:dyDescent="0.35">
      <c r="A476" t="s">
        <v>921</v>
      </c>
      <c r="B476" t="s">
        <v>922</v>
      </c>
      <c r="C476">
        <v>0</v>
      </c>
      <c r="D476">
        <v>0</v>
      </c>
      <c r="E476">
        <v>0</v>
      </c>
      <c r="F476" t="s">
        <v>787</v>
      </c>
    </row>
    <row r="477" spans="1:6" x14ac:dyDescent="0.35">
      <c r="A477" t="s">
        <v>923</v>
      </c>
      <c r="B477" t="s">
        <v>924</v>
      </c>
      <c r="C477">
        <v>1.56</v>
      </c>
      <c r="D477">
        <v>0.08</v>
      </c>
      <c r="E477">
        <v>3.5000000000000003E-2</v>
      </c>
      <c r="F477" t="s">
        <v>794</v>
      </c>
    </row>
    <row r="478" spans="1:6" x14ac:dyDescent="0.35">
      <c r="A478" t="s">
        <v>925</v>
      </c>
      <c r="B478" t="s">
        <v>926</v>
      </c>
      <c r="C478">
        <v>0</v>
      </c>
      <c r="D478">
        <v>0</v>
      </c>
      <c r="E478">
        <v>0</v>
      </c>
      <c r="F478" t="s">
        <v>787</v>
      </c>
    </row>
    <row r="479" spans="1:6" x14ac:dyDescent="0.35">
      <c r="A479" t="s">
        <v>927</v>
      </c>
      <c r="B479" t="s">
        <v>928</v>
      </c>
      <c r="C479">
        <v>0.78200000000000003</v>
      </c>
      <c r="D479">
        <v>0.08</v>
      </c>
      <c r="E479">
        <v>0.04</v>
      </c>
      <c r="F479" t="s">
        <v>794</v>
      </c>
    </row>
    <row r="480" spans="1:6" x14ac:dyDescent="0.35">
      <c r="A480" t="s">
        <v>929</v>
      </c>
      <c r="B480" t="s">
        <v>930</v>
      </c>
      <c r="C480">
        <v>0.67</v>
      </c>
      <c r="D480">
        <v>0.06</v>
      </c>
      <c r="E480">
        <v>0.04</v>
      </c>
      <c r="F480" t="s">
        <v>794</v>
      </c>
    </row>
    <row r="481" spans="1:6" x14ac:dyDescent="0.35">
      <c r="A481" t="s">
        <v>931</v>
      </c>
      <c r="B481" t="s">
        <v>932</v>
      </c>
      <c r="C481">
        <v>0.67</v>
      </c>
      <c r="D481">
        <v>0.06</v>
      </c>
      <c r="E481">
        <v>0.04</v>
      </c>
      <c r="F481" t="s">
        <v>794</v>
      </c>
    </row>
    <row r="482" spans="1:6" x14ac:dyDescent="0.35">
      <c r="A482" t="s">
        <v>933</v>
      </c>
      <c r="B482" t="s">
        <v>934</v>
      </c>
      <c r="C482">
        <v>0</v>
      </c>
      <c r="D482">
        <v>0</v>
      </c>
      <c r="E482">
        <v>0</v>
      </c>
      <c r="F482" t="s">
        <v>794</v>
      </c>
    </row>
    <row r="483" spans="1:6" x14ac:dyDescent="0.35">
      <c r="A483" t="s">
        <v>935</v>
      </c>
      <c r="B483" t="s">
        <v>936</v>
      </c>
      <c r="C483">
        <v>0</v>
      </c>
      <c r="D483">
        <v>0</v>
      </c>
      <c r="E483">
        <v>0</v>
      </c>
      <c r="F483" t="s">
        <v>794</v>
      </c>
    </row>
    <row r="484" spans="1:6" x14ac:dyDescent="0.35">
      <c r="A484" t="s">
        <v>937</v>
      </c>
      <c r="B484" t="s">
        <v>938</v>
      </c>
      <c r="C484">
        <v>0.76</v>
      </c>
      <c r="D484">
        <v>0.09</v>
      </c>
      <c r="E484">
        <v>0.04</v>
      </c>
      <c r="F484" t="s">
        <v>85</v>
      </c>
    </row>
    <row r="485" spans="1:6" x14ac:dyDescent="0.35">
      <c r="A485" t="s">
        <v>939</v>
      </c>
      <c r="B485" t="s">
        <v>940</v>
      </c>
      <c r="C485">
        <v>0.67</v>
      </c>
      <c r="D485">
        <v>7.0000000000000007E-2</v>
      </c>
      <c r="E485">
        <v>0.04</v>
      </c>
      <c r="F485" t="s">
        <v>85</v>
      </c>
    </row>
    <row r="486" spans="1:6" x14ac:dyDescent="0.35">
      <c r="A486" t="s">
        <v>941</v>
      </c>
      <c r="B486" t="s">
        <v>942</v>
      </c>
      <c r="C486">
        <v>0</v>
      </c>
      <c r="D486">
        <v>0</v>
      </c>
      <c r="E486">
        <v>0</v>
      </c>
      <c r="F486" t="s">
        <v>787</v>
      </c>
    </row>
    <row r="487" spans="1:6" x14ac:dyDescent="0.35">
      <c r="A487" t="s">
        <v>943</v>
      </c>
      <c r="B487" t="s">
        <v>944</v>
      </c>
      <c r="C487">
        <v>0.76500000000000001</v>
      </c>
      <c r="D487">
        <v>0.03</v>
      </c>
      <c r="E487">
        <v>3.5000000000000003E-2</v>
      </c>
      <c r="F487" t="s">
        <v>794</v>
      </c>
    </row>
    <row r="488" spans="1:6" x14ac:dyDescent="0.35">
      <c r="A488" t="s">
        <v>945</v>
      </c>
      <c r="B488" t="s">
        <v>946</v>
      </c>
      <c r="C488">
        <v>0.77</v>
      </c>
      <c r="D488">
        <v>7.2999999999999995E-2</v>
      </c>
      <c r="E488">
        <v>3.5000000000000003E-2</v>
      </c>
      <c r="F488" t="s">
        <v>794</v>
      </c>
    </row>
    <row r="489" spans="1:6" x14ac:dyDescent="0.35">
      <c r="A489" t="s">
        <v>947</v>
      </c>
      <c r="B489" t="s">
        <v>948</v>
      </c>
      <c r="C489">
        <v>0.86</v>
      </c>
      <c r="D489">
        <v>0.05</v>
      </c>
      <c r="E489">
        <v>0.03</v>
      </c>
      <c r="F489" t="s">
        <v>794</v>
      </c>
    </row>
    <row r="490" spans="1:6" x14ac:dyDescent="0.35">
      <c r="A490" t="s">
        <v>949</v>
      </c>
      <c r="B490" t="s">
        <v>950</v>
      </c>
      <c r="C490">
        <v>1.32</v>
      </c>
      <c r="D490">
        <v>0.05</v>
      </c>
      <c r="E490">
        <v>0.03</v>
      </c>
      <c r="F490" t="s">
        <v>794</v>
      </c>
    </row>
    <row r="491" spans="1:6" x14ac:dyDescent="0.35">
      <c r="A491" t="s">
        <v>951</v>
      </c>
      <c r="B491" t="s">
        <v>952</v>
      </c>
      <c r="C491">
        <v>0</v>
      </c>
      <c r="D491">
        <v>0</v>
      </c>
      <c r="E491">
        <v>0</v>
      </c>
      <c r="F491" t="s">
        <v>794</v>
      </c>
    </row>
    <row r="492" spans="1:6" x14ac:dyDescent="0.35">
      <c r="A492" t="s">
        <v>953</v>
      </c>
      <c r="B492" t="s">
        <v>954</v>
      </c>
      <c r="C492">
        <v>0</v>
      </c>
      <c r="D492">
        <v>0</v>
      </c>
      <c r="E492">
        <v>0</v>
      </c>
      <c r="F492" t="s">
        <v>794</v>
      </c>
    </row>
    <row r="493" spans="1:6" x14ac:dyDescent="0.35">
      <c r="A493" t="s">
        <v>955</v>
      </c>
      <c r="B493" t="s">
        <v>956</v>
      </c>
      <c r="C493">
        <v>0</v>
      </c>
      <c r="D493">
        <v>0</v>
      </c>
      <c r="E493">
        <v>0</v>
      </c>
      <c r="F493" t="s">
        <v>794</v>
      </c>
    </row>
    <row r="494" spans="1:6" x14ac:dyDescent="0.35">
      <c r="A494" t="s">
        <v>957</v>
      </c>
      <c r="B494" t="s">
        <v>958</v>
      </c>
      <c r="C494">
        <v>0</v>
      </c>
      <c r="D494">
        <v>0</v>
      </c>
      <c r="E494">
        <v>0</v>
      </c>
      <c r="F494" t="s">
        <v>787</v>
      </c>
    </row>
    <row r="495" spans="1:6" x14ac:dyDescent="0.35">
      <c r="A495" t="s">
        <v>959</v>
      </c>
      <c r="B495" t="s">
        <v>960</v>
      </c>
      <c r="C495">
        <v>1.56</v>
      </c>
      <c r="D495">
        <v>0.05</v>
      </c>
      <c r="E495">
        <v>0.03</v>
      </c>
      <c r="F495" t="s">
        <v>794</v>
      </c>
    </row>
    <row r="496" spans="1:6" x14ac:dyDescent="0.35">
      <c r="A496" t="s">
        <v>961</v>
      </c>
      <c r="B496" t="s">
        <v>962</v>
      </c>
      <c r="C496">
        <v>1.76</v>
      </c>
      <c r="D496">
        <v>0.05</v>
      </c>
      <c r="E496">
        <v>0.03</v>
      </c>
      <c r="F496" t="s">
        <v>794</v>
      </c>
    </row>
    <row r="497" spans="1:6" x14ac:dyDescent="0.35">
      <c r="A497" t="s">
        <v>963</v>
      </c>
      <c r="B497" t="s">
        <v>964</v>
      </c>
      <c r="C497">
        <v>0.74</v>
      </c>
      <c r="D497">
        <v>0.44</v>
      </c>
      <c r="E497">
        <v>1.2E-2</v>
      </c>
      <c r="F497" t="s">
        <v>527</v>
      </c>
    </row>
    <row r="498" spans="1:6" x14ac:dyDescent="0.35">
      <c r="A498" t="s">
        <v>965</v>
      </c>
      <c r="B498" t="s">
        <v>966</v>
      </c>
      <c r="C498">
        <v>0.23799999999999999</v>
      </c>
      <c r="D498">
        <v>0.08</v>
      </c>
      <c r="E498">
        <v>3.5000000000000003E-2</v>
      </c>
      <c r="F498" t="s">
        <v>794</v>
      </c>
    </row>
    <row r="499" spans="1:6" x14ac:dyDescent="0.35">
      <c r="A499" t="s">
        <v>967</v>
      </c>
      <c r="B499" t="s">
        <v>968</v>
      </c>
      <c r="C499">
        <v>0.79</v>
      </c>
      <c r="D499">
        <v>0.08</v>
      </c>
      <c r="E499">
        <v>3.5000000000000003E-2</v>
      </c>
      <c r="F499" t="s">
        <v>794</v>
      </c>
    </row>
    <row r="500" spans="1:6" x14ac:dyDescent="0.35">
      <c r="A500" t="s">
        <v>969</v>
      </c>
      <c r="B500" t="s">
        <v>970</v>
      </c>
      <c r="C500">
        <v>0.77</v>
      </c>
      <c r="D500">
        <v>0.08</v>
      </c>
      <c r="E500">
        <v>3.5000000000000003E-2</v>
      </c>
      <c r="F500" t="s">
        <v>794</v>
      </c>
    </row>
    <row r="501" spans="1:6" x14ac:dyDescent="0.35">
      <c r="A501" t="s">
        <v>971</v>
      </c>
      <c r="B501" t="s">
        <v>972</v>
      </c>
      <c r="C501">
        <v>0.77</v>
      </c>
      <c r="D501">
        <v>7.2999999999999995E-2</v>
      </c>
      <c r="E501">
        <v>3.5000000000000003E-2</v>
      </c>
      <c r="F501" t="s">
        <v>794</v>
      </c>
    </row>
    <row r="502" spans="1:6" x14ac:dyDescent="0.35">
      <c r="A502" t="s">
        <v>973</v>
      </c>
      <c r="B502" t="s">
        <v>974</v>
      </c>
      <c r="C502">
        <v>0.77</v>
      </c>
      <c r="D502">
        <v>7.2999999999999995E-2</v>
      </c>
      <c r="E502">
        <v>3.5000000000000003E-2</v>
      </c>
      <c r="F502" t="s">
        <v>794</v>
      </c>
    </row>
    <row r="503" spans="1:6" x14ac:dyDescent="0.35">
      <c r="A503" t="s">
        <v>975</v>
      </c>
      <c r="B503" t="s">
        <v>976</v>
      </c>
      <c r="C503">
        <v>0.78</v>
      </c>
      <c r="D503">
        <v>0.44</v>
      </c>
      <c r="E503">
        <v>1.2E-2</v>
      </c>
      <c r="F503" t="s">
        <v>527</v>
      </c>
    </row>
    <row r="504" spans="1:6" x14ac:dyDescent="0.35">
      <c r="A504" t="s">
        <v>977</v>
      </c>
      <c r="B504" t="s">
        <v>978</v>
      </c>
      <c r="C504">
        <v>0.75</v>
      </c>
      <c r="D504">
        <v>0.08</v>
      </c>
      <c r="E504">
        <v>3.5000000000000003E-2</v>
      </c>
      <c r="F504" t="s">
        <v>794</v>
      </c>
    </row>
    <row r="505" spans="1:6" x14ac:dyDescent="0.35">
      <c r="A505" t="s">
        <v>979</v>
      </c>
      <c r="B505" t="s">
        <v>980</v>
      </c>
      <c r="C505">
        <v>0</v>
      </c>
      <c r="D505">
        <v>0</v>
      </c>
      <c r="E505">
        <v>0</v>
      </c>
      <c r="F505" t="s">
        <v>794</v>
      </c>
    </row>
    <row r="506" spans="1:6" x14ac:dyDescent="0.35">
      <c r="A506" t="s">
        <v>981</v>
      </c>
      <c r="B506" t="s">
        <v>982</v>
      </c>
      <c r="C506">
        <v>0</v>
      </c>
      <c r="D506">
        <v>0</v>
      </c>
      <c r="E506">
        <v>0</v>
      </c>
      <c r="F506" t="s">
        <v>787</v>
      </c>
    </row>
    <row r="507" spans="1:6" x14ac:dyDescent="0.35">
      <c r="A507" t="s">
        <v>983</v>
      </c>
      <c r="B507" t="s">
        <v>984</v>
      </c>
      <c r="C507">
        <v>0.93200000000000005</v>
      </c>
      <c r="D507">
        <v>9.0999999999999998E-2</v>
      </c>
      <c r="E507">
        <v>2.5000000000000001E-2</v>
      </c>
      <c r="F507" t="s">
        <v>8</v>
      </c>
    </row>
    <row r="508" spans="1:6" x14ac:dyDescent="0.35">
      <c r="A508" t="s">
        <v>985</v>
      </c>
      <c r="B508" t="s">
        <v>986</v>
      </c>
      <c r="C508">
        <v>0.77500000000000002</v>
      </c>
      <c r="D508">
        <v>0.13100000000000001</v>
      </c>
      <c r="E508">
        <v>0.03</v>
      </c>
      <c r="F508" t="s">
        <v>8</v>
      </c>
    </row>
    <row r="509" spans="1:6" x14ac:dyDescent="0.35">
      <c r="A509" t="s">
        <v>987</v>
      </c>
      <c r="B509" t="s">
        <v>988</v>
      </c>
      <c r="C509">
        <v>1.0920000000000001</v>
      </c>
      <c r="D509">
        <v>9.0999999999999998E-2</v>
      </c>
      <c r="E509">
        <v>2.5000000000000001E-2</v>
      </c>
      <c r="F509" t="s">
        <v>8</v>
      </c>
    </row>
    <row r="510" spans="1:6" x14ac:dyDescent="0.35">
      <c r="A510" t="s">
        <v>989</v>
      </c>
      <c r="B510" t="s">
        <v>990</v>
      </c>
      <c r="C510">
        <v>0.8</v>
      </c>
      <c r="D510">
        <v>9.0999999999999998E-2</v>
      </c>
      <c r="E510">
        <v>2.5000000000000001E-2</v>
      </c>
      <c r="F510" t="s">
        <v>8</v>
      </c>
    </row>
    <row r="511" spans="1:6" x14ac:dyDescent="0.35">
      <c r="A511" t="s">
        <v>991</v>
      </c>
      <c r="B511" t="s">
        <v>992</v>
      </c>
      <c r="C511">
        <v>0.80300000000000005</v>
      </c>
      <c r="D511">
        <v>7.8E-2</v>
      </c>
      <c r="E511">
        <v>2.5000000000000001E-2</v>
      </c>
      <c r="F511" t="s">
        <v>8</v>
      </c>
    </row>
    <row r="512" spans="1:6" x14ac:dyDescent="0.35">
      <c r="A512" t="s">
        <v>993</v>
      </c>
      <c r="B512" t="s">
        <v>994</v>
      </c>
      <c r="C512">
        <v>0.77500000000000002</v>
      </c>
      <c r="D512">
        <v>0.13100000000000001</v>
      </c>
      <c r="E512">
        <v>0.03</v>
      </c>
      <c r="F512" t="s">
        <v>8</v>
      </c>
    </row>
    <row r="513" spans="1:6" x14ac:dyDescent="0.35">
      <c r="A513" t="s">
        <v>995</v>
      </c>
      <c r="B513" t="s">
        <v>996</v>
      </c>
      <c r="C513">
        <v>1.333</v>
      </c>
      <c r="D513">
        <v>9.0999999999999998E-2</v>
      </c>
      <c r="E513">
        <v>2.5000000000000001E-2</v>
      </c>
      <c r="F513" t="s">
        <v>8</v>
      </c>
    </row>
    <row r="514" spans="1:6" x14ac:dyDescent="0.35">
      <c r="A514" t="s">
        <v>997</v>
      </c>
      <c r="B514" t="s">
        <v>998</v>
      </c>
      <c r="C514">
        <v>1.532</v>
      </c>
      <c r="D514">
        <v>9.0999999999999998E-2</v>
      </c>
      <c r="E514">
        <v>2.5000000000000001E-2</v>
      </c>
      <c r="F514" t="s">
        <v>8</v>
      </c>
    </row>
    <row r="515" spans="1:6" x14ac:dyDescent="0.35">
      <c r="A515" t="s">
        <v>999</v>
      </c>
      <c r="B515" t="s">
        <v>1000</v>
      </c>
      <c r="C515">
        <v>0.77500000000000002</v>
      </c>
      <c r="D515">
        <v>0.755</v>
      </c>
      <c r="E515">
        <v>1.7999999999999999E-2</v>
      </c>
      <c r="F515" t="s">
        <v>8</v>
      </c>
    </row>
    <row r="516" spans="1:6" x14ac:dyDescent="0.35">
      <c r="A516" t="s">
        <v>1001</v>
      </c>
      <c r="B516" t="s">
        <v>1002</v>
      </c>
      <c r="C516">
        <v>0.77500000000000002</v>
      </c>
      <c r="D516">
        <v>0.378</v>
      </c>
      <c r="E516">
        <v>1.7999999999999999E-2</v>
      </c>
      <c r="F516" t="s">
        <v>8</v>
      </c>
    </row>
    <row r="517" spans="1:6" x14ac:dyDescent="0.35">
      <c r="A517" t="s">
        <v>1003</v>
      </c>
      <c r="B517" t="s">
        <v>1004</v>
      </c>
      <c r="C517">
        <v>1.365</v>
      </c>
      <c r="D517">
        <v>0.90500000000000003</v>
      </c>
      <c r="E517">
        <v>1.7999999999999999E-2</v>
      </c>
      <c r="F517" t="s">
        <v>85</v>
      </c>
    </row>
    <row r="518" spans="1:6" x14ac:dyDescent="0.35">
      <c r="A518" t="s">
        <v>1005</v>
      </c>
      <c r="B518" t="s">
        <v>1006</v>
      </c>
      <c r="C518">
        <v>1.365</v>
      </c>
      <c r="D518">
        <v>0.90500000000000003</v>
      </c>
      <c r="E518">
        <v>1.7999999999999999E-2</v>
      </c>
      <c r="F518" t="s">
        <v>85</v>
      </c>
    </row>
    <row r="519" spans="1:6" x14ac:dyDescent="0.35">
      <c r="A519" t="s">
        <v>1007</v>
      </c>
      <c r="B519" t="s">
        <v>1008</v>
      </c>
      <c r="C519">
        <v>1.605</v>
      </c>
      <c r="D519">
        <v>0.90500000000000003</v>
      </c>
      <c r="E519">
        <v>1.7999999999999999E-2</v>
      </c>
      <c r="F519" t="s">
        <v>85</v>
      </c>
    </row>
    <row r="520" spans="1:6" x14ac:dyDescent="0.35">
      <c r="A520" t="s">
        <v>1009</v>
      </c>
      <c r="B520" t="s">
        <v>1010</v>
      </c>
      <c r="C520">
        <v>1.6</v>
      </c>
      <c r="D520">
        <v>0.9</v>
      </c>
      <c r="E520">
        <v>1.7999999999999999E-2</v>
      </c>
      <c r="F520" t="s">
        <v>85</v>
      </c>
    </row>
    <row r="521" spans="1:6" x14ac:dyDescent="0.35">
      <c r="A521" t="s">
        <v>1011</v>
      </c>
      <c r="B521" t="s">
        <v>1012</v>
      </c>
      <c r="C521">
        <v>1.8</v>
      </c>
      <c r="D521">
        <v>0.9</v>
      </c>
      <c r="E521">
        <v>1.7999999999999999E-2</v>
      </c>
      <c r="F521" t="s">
        <v>85</v>
      </c>
    </row>
    <row r="522" spans="1:6" x14ac:dyDescent="0.35">
      <c r="A522" t="s">
        <v>1013</v>
      </c>
      <c r="B522" t="s">
        <v>1014</v>
      </c>
      <c r="C522">
        <v>1.8049999999999999</v>
      </c>
      <c r="D522">
        <v>0.90500000000000003</v>
      </c>
      <c r="E522">
        <v>1.7999999999999999E-2</v>
      </c>
      <c r="F522" t="s">
        <v>85</v>
      </c>
    </row>
    <row r="523" spans="1:6" x14ac:dyDescent="0.35">
      <c r="A523" t="s">
        <v>1015</v>
      </c>
      <c r="B523" t="s">
        <v>1016</v>
      </c>
      <c r="C523">
        <v>0.34</v>
      </c>
      <c r="D523">
        <v>0.41</v>
      </c>
      <c r="E523">
        <v>3.0000000000000001E-3</v>
      </c>
      <c r="F523" t="s">
        <v>8</v>
      </c>
    </row>
    <row r="524" spans="1:6" x14ac:dyDescent="0.35">
      <c r="A524" t="s">
        <v>1017</v>
      </c>
      <c r="B524" t="s">
        <v>1018</v>
      </c>
      <c r="C524">
        <v>0.17</v>
      </c>
      <c r="D524">
        <v>0.41</v>
      </c>
      <c r="E524">
        <v>3.0000000000000001E-3</v>
      </c>
      <c r="F524" t="s">
        <v>8</v>
      </c>
    </row>
    <row r="525" spans="1:6" x14ac:dyDescent="0.35">
      <c r="A525" t="s">
        <v>1019</v>
      </c>
      <c r="B525" t="s">
        <v>1020</v>
      </c>
      <c r="C525">
        <v>0</v>
      </c>
      <c r="D525">
        <v>0</v>
      </c>
      <c r="E525">
        <v>0</v>
      </c>
      <c r="F525" t="s">
        <v>1021</v>
      </c>
    </row>
    <row r="526" spans="1:6" x14ac:dyDescent="0.35">
      <c r="A526" t="s">
        <v>1022</v>
      </c>
      <c r="B526" t="s">
        <v>1023</v>
      </c>
      <c r="C526">
        <v>0</v>
      </c>
      <c r="D526">
        <v>0</v>
      </c>
      <c r="E526">
        <v>0</v>
      </c>
      <c r="F526" t="s">
        <v>1021</v>
      </c>
    </row>
    <row r="527" spans="1:6" x14ac:dyDescent="0.35">
      <c r="A527" t="s">
        <v>1024</v>
      </c>
      <c r="B527" t="s">
        <v>1025</v>
      </c>
      <c r="C527">
        <v>0.98</v>
      </c>
      <c r="D527">
        <v>7.0000000000000007E-2</v>
      </c>
      <c r="E527">
        <v>2.5000000000000001E-2</v>
      </c>
      <c r="F527" t="s">
        <v>85</v>
      </c>
    </row>
    <row r="528" spans="1:6" x14ac:dyDescent="0.35">
      <c r="A528" t="s">
        <v>1026</v>
      </c>
      <c r="B528" t="s">
        <v>1027</v>
      </c>
      <c r="C528">
        <v>0.441</v>
      </c>
      <c r="D528">
        <v>5.7000000000000002E-2</v>
      </c>
      <c r="E528">
        <v>2.5000000000000001E-2</v>
      </c>
      <c r="F528" t="s">
        <v>85</v>
      </c>
    </row>
    <row r="529" spans="1:6" x14ac:dyDescent="0.35">
      <c r="A529" t="s">
        <v>1028</v>
      </c>
      <c r="B529" t="s">
        <v>1029</v>
      </c>
      <c r="C529">
        <v>0.43</v>
      </c>
      <c r="D529">
        <v>0.08</v>
      </c>
      <c r="E529">
        <v>1.7999999999999999E-2</v>
      </c>
      <c r="F529" t="s">
        <v>8</v>
      </c>
    </row>
    <row r="530" spans="1:6" x14ac:dyDescent="0.35">
      <c r="A530" t="s">
        <v>1030</v>
      </c>
      <c r="B530" t="s">
        <v>1031</v>
      </c>
      <c r="C530">
        <v>0.43</v>
      </c>
      <c r="D530">
        <v>0.40300000000000002</v>
      </c>
      <c r="E530">
        <v>8.9999999999999993E-3</v>
      </c>
      <c r="F530" t="s">
        <v>8</v>
      </c>
    </row>
    <row r="531" spans="1:6" x14ac:dyDescent="0.35">
      <c r="A531" t="s">
        <v>1032</v>
      </c>
      <c r="B531" t="s">
        <v>1033</v>
      </c>
      <c r="C531">
        <v>0.36699999999999999</v>
      </c>
      <c r="D531">
        <v>0.08</v>
      </c>
      <c r="E531">
        <v>1.4999999999999999E-2</v>
      </c>
      <c r="F531" t="s">
        <v>8</v>
      </c>
    </row>
    <row r="532" spans="1:6" x14ac:dyDescent="0.35">
      <c r="A532" t="s">
        <v>1034</v>
      </c>
      <c r="B532" t="s">
        <v>1035</v>
      </c>
      <c r="C532">
        <v>0.36</v>
      </c>
      <c r="D532">
        <v>0.08</v>
      </c>
      <c r="E532">
        <v>1.4999999999999999E-2</v>
      </c>
      <c r="F532" t="s">
        <v>8</v>
      </c>
    </row>
    <row r="533" spans="1:6" x14ac:dyDescent="0.35">
      <c r="A533" t="s">
        <v>1036</v>
      </c>
      <c r="B533" t="s">
        <v>1037</v>
      </c>
      <c r="C533">
        <v>0.36</v>
      </c>
      <c r="D533">
        <v>6.2E-2</v>
      </c>
      <c r="E533">
        <v>1.4999999999999999E-2</v>
      </c>
      <c r="F533" t="s">
        <v>8</v>
      </c>
    </row>
    <row r="534" spans="1:6" x14ac:dyDescent="0.35">
      <c r="A534" t="s">
        <v>1038</v>
      </c>
      <c r="B534" t="s">
        <v>1039</v>
      </c>
      <c r="C534">
        <v>0.36</v>
      </c>
      <c r="D534">
        <v>0.04</v>
      </c>
      <c r="E534">
        <v>2.5000000000000001E-2</v>
      </c>
      <c r="F534" t="s">
        <v>8</v>
      </c>
    </row>
    <row r="535" spans="1:6" x14ac:dyDescent="0.35">
      <c r="A535" t="s">
        <v>1040</v>
      </c>
      <c r="B535" t="s">
        <v>1041</v>
      </c>
      <c r="C535">
        <v>0.55200000000000005</v>
      </c>
      <c r="D535">
        <v>0.41</v>
      </c>
      <c r="E535">
        <v>3.0000000000000001E-3</v>
      </c>
      <c r="F535" t="s">
        <v>8</v>
      </c>
    </row>
    <row r="536" spans="1:6" x14ac:dyDescent="0.35">
      <c r="A536" t="s">
        <v>1042</v>
      </c>
      <c r="B536" t="s">
        <v>1043</v>
      </c>
      <c r="C536">
        <v>0.68</v>
      </c>
      <c r="D536">
        <v>0.43</v>
      </c>
      <c r="E536">
        <v>0.02</v>
      </c>
      <c r="F536" t="s">
        <v>8</v>
      </c>
    </row>
    <row r="537" spans="1:6" x14ac:dyDescent="0.35">
      <c r="A537" t="s">
        <v>1044</v>
      </c>
      <c r="B537" t="s">
        <v>1045</v>
      </c>
      <c r="C537">
        <v>0.43</v>
      </c>
      <c r="D537">
        <v>0.40500000000000003</v>
      </c>
      <c r="E537">
        <v>0.03</v>
      </c>
      <c r="F537" t="s">
        <v>8</v>
      </c>
    </row>
    <row r="538" spans="1:6" x14ac:dyDescent="0.35">
      <c r="A538" t="s">
        <v>1046</v>
      </c>
      <c r="B538" t="s">
        <v>1047</v>
      </c>
      <c r="C538">
        <v>0.61</v>
      </c>
      <c r="D538">
        <v>0.08</v>
      </c>
      <c r="E538">
        <v>0.01</v>
      </c>
      <c r="F538" t="s">
        <v>8</v>
      </c>
    </row>
    <row r="539" spans="1:6" x14ac:dyDescent="0.35">
      <c r="A539" t="s">
        <v>1048</v>
      </c>
      <c r="B539" t="s">
        <v>1049</v>
      </c>
      <c r="C539">
        <v>0.43</v>
      </c>
      <c r="D539">
        <v>0.125</v>
      </c>
      <c r="E539">
        <v>0.01</v>
      </c>
      <c r="F539" t="s">
        <v>8</v>
      </c>
    </row>
    <row r="540" spans="1:6" x14ac:dyDescent="0.35">
      <c r="A540" t="s">
        <v>1050</v>
      </c>
      <c r="B540" t="s">
        <v>1051</v>
      </c>
      <c r="C540">
        <v>1.26</v>
      </c>
      <c r="D540">
        <v>0.125</v>
      </c>
      <c r="E540">
        <v>0.01</v>
      </c>
      <c r="F540" t="s">
        <v>8</v>
      </c>
    </row>
    <row r="541" spans="1:6" x14ac:dyDescent="0.35">
      <c r="A541" t="s">
        <v>1052</v>
      </c>
      <c r="B541" t="s">
        <v>1043</v>
      </c>
      <c r="C541">
        <v>0.68</v>
      </c>
      <c r="D541">
        <v>0.43</v>
      </c>
      <c r="E541">
        <v>0.02</v>
      </c>
      <c r="F541" t="s">
        <v>8</v>
      </c>
    </row>
    <row r="542" spans="1:6" x14ac:dyDescent="0.35">
      <c r="A542" t="s">
        <v>1053</v>
      </c>
      <c r="B542" t="s">
        <v>1054</v>
      </c>
      <c r="C542">
        <v>0.92</v>
      </c>
      <c r="D542">
        <v>7.0000000000000007E-2</v>
      </c>
      <c r="E542">
        <v>2.5000000000000001E-2</v>
      </c>
      <c r="F542" t="s">
        <v>85</v>
      </c>
    </row>
    <row r="543" spans="1:6" x14ac:dyDescent="0.35">
      <c r="A543" t="s">
        <v>1055</v>
      </c>
      <c r="B543" t="s">
        <v>1056</v>
      </c>
      <c r="C543">
        <v>0.36</v>
      </c>
      <c r="D543">
        <v>0.04</v>
      </c>
      <c r="E543">
        <v>2.5000000000000001E-2</v>
      </c>
      <c r="F543" t="s">
        <v>8</v>
      </c>
    </row>
    <row r="544" spans="1:6" x14ac:dyDescent="0.35">
      <c r="A544" t="s">
        <v>1057</v>
      </c>
      <c r="B544" t="s">
        <v>1058</v>
      </c>
      <c r="C544">
        <v>0.36</v>
      </c>
      <c r="D544">
        <v>6.6000000000000003E-2</v>
      </c>
      <c r="E544">
        <v>2.5000000000000001E-2</v>
      </c>
      <c r="F544" t="s">
        <v>8</v>
      </c>
    </row>
    <row r="545" spans="1:6" x14ac:dyDescent="0.35">
      <c r="A545" t="s">
        <v>1059</v>
      </c>
      <c r="B545" t="s">
        <v>1060</v>
      </c>
      <c r="C545">
        <v>0.36</v>
      </c>
      <c r="D545">
        <v>4.8000000000000001E-2</v>
      </c>
      <c r="E545">
        <v>2.5000000000000001E-2</v>
      </c>
      <c r="F545" t="s">
        <v>8</v>
      </c>
    </row>
    <row r="546" spans="1:6" x14ac:dyDescent="0.35">
      <c r="A546" t="s">
        <v>1061</v>
      </c>
      <c r="B546" t="s">
        <v>1062</v>
      </c>
      <c r="C546">
        <v>0.36</v>
      </c>
      <c r="D546">
        <v>6.6000000000000003E-2</v>
      </c>
      <c r="E546">
        <v>2.5000000000000001E-2</v>
      </c>
      <c r="F546" t="s">
        <v>8</v>
      </c>
    </row>
    <row r="547" spans="1:6" x14ac:dyDescent="0.35">
      <c r="A547" t="s">
        <v>1063</v>
      </c>
      <c r="B547" t="s">
        <v>1043</v>
      </c>
      <c r="C547">
        <v>0.68</v>
      </c>
      <c r="D547">
        <v>0.43</v>
      </c>
      <c r="E547">
        <v>0.02</v>
      </c>
      <c r="F547" t="s">
        <v>8</v>
      </c>
    </row>
    <row r="548" spans="1:6" x14ac:dyDescent="0.35">
      <c r="A548" t="s">
        <v>1064</v>
      </c>
      <c r="B548" t="s">
        <v>1065</v>
      </c>
      <c r="C548">
        <v>0.54</v>
      </c>
      <c r="D548">
        <v>0.08</v>
      </c>
      <c r="E548">
        <v>0.01</v>
      </c>
      <c r="F548" t="s">
        <v>8</v>
      </c>
    </row>
    <row r="549" spans="1:6" x14ac:dyDescent="0.35">
      <c r="A549" t="s">
        <v>1066</v>
      </c>
      <c r="B549" t="s">
        <v>1043</v>
      </c>
      <c r="C549">
        <v>0.68</v>
      </c>
      <c r="D549">
        <v>0.43</v>
      </c>
      <c r="E549">
        <v>0.02</v>
      </c>
      <c r="F549" t="s">
        <v>8</v>
      </c>
    </row>
    <row r="550" spans="1:6" x14ac:dyDescent="0.35">
      <c r="A550" t="s">
        <v>1067</v>
      </c>
      <c r="B550" t="s">
        <v>1068</v>
      </c>
      <c r="C550">
        <v>0.77</v>
      </c>
      <c r="D550">
        <v>0.43</v>
      </c>
      <c r="E550">
        <v>0.01</v>
      </c>
      <c r="F550" t="s">
        <v>8</v>
      </c>
    </row>
    <row r="551" spans="1:6" x14ac:dyDescent="0.35">
      <c r="A551" t="s">
        <v>1069</v>
      </c>
      <c r="B551" t="s">
        <v>1070</v>
      </c>
      <c r="C551">
        <v>0</v>
      </c>
      <c r="D551">
        <v>0</v>
      </c>
      <c r="E551">
        <v>0</v>
      </c>
      <c r="F551" t="s">
        <v>1021</v>
      </c>
    </row>
    <row r="552" spans="1:6" x14ac:dyDescent="0.35">
      <c r="A552" t="s">
        <v>1071</v>
      </c>
      <c r="B552" t="s">
        <v>1072</v>
      </c>
      <c r="C552">
        <v>0.5</v>
      </c>
      <c r="D552">
        <v>0.35</v>
      </c>
      <c r="E552">
        <v>1.4999999999999999E-2</v>
      </c>
      <c r="F552" t="s">
        <v>527</v>
      </c>
    </row>
    <row r="553" spans="1:6" x14ac:dyDescent="0.35">
      <c r="A553" t="s">
        <v>1073</v>
      </c>
      <c r="B553" t="s">
        <v>1074</v>
      </c>
      <c r="C553">
        <v>0</v>
      </c>
      <c r="D553">
        <v>0</v>
      </c>
      <c r="E553">
        <v>0</v>
      </c>
      <c r="F553" t="s">
        <v>1021</v>
      </c>
    </row>
    <row r="554" spans="1:6" x14ac:dyDescent="0.35">
      <c r="A554" t="s">
        <v>1075</v>
      </c>
      <c r="B554" t="s">
        <v>1076</v>
      </c>
      <c r="C554">
        <v>0</v>
      </c>
      <c r="D554">
        <v>0</v>
      </c>
      <c r="E554">
        <v>0</v>
      </c>
      <c r="F554" t="s">
        <v>1021</v>
      </c>
    </row>
    <row r="555" spans="1:6" x14ac:dyDescent="0.35">
      <c r="A555" t="s">
        <v>1077</v>
      </c>
      <c r="B555" t="s">
        <v>1078</v>
      </c>
      <c r="C555">
        <v>0.35</v>
      </c>
      <c r="D555">
        <v>0.115</v>
      </c>
      <c r="E555">
        <v>1.7999999999999999E-2</v>
      </c>
      <c r="F555" t="s">
        <v>8</v>
      </c>
    </row>
    <row r="556" spans="1:6" x14ac:dyDescent="0.35">
      <c r="A556" t="s">
        <v>1079</v>
      </c>
      <c r="B556" t="s">
        <v>1080</v>
      </c>
      <c r="C556">
        <v>0.35</v>
      </c>
      <c r="D556">
        <v>9.7000000000000003E-2</v>
      </c>
      <c r="E556">
        <v>1.7999999999999999E-2</v>
      </c>
      <c r="F556" t="s">
        <v>8</v>
      </c>
    </row>
    <row r="557" spans="1:6" x14ac:dyDescent="0.35">
      <c r="A557" t="s">
        <v>1081</v>
      </c>
      <c r="B557" t="s">
        <v>1082</v>
      </c>
      <c r="C557">
        <v>0.39500000000000002</v>
      </c>
      <c r="D557">
        <v>0.38</v>
      </c>
      <c r="E557">
        <v>8.9999999999999993E-3</v>
      </c>
      <c r="F557" t="s">
        <v>527</v>
      </c>
    </row>
    <row r="558" spans="1:6" x14ac:dyDescent="0.35">
      <c r="A558" t="s">
        <v>1083</v>
      </c>
      <c r="B558" t="s">
        <v>1084</v>
      </c>
      <c r="C558">
        <v>0.42</v>
      </c>
      <c r="D558">
        <v>0.25</v>
      </c>
      <c r="E558">
        <v>1.2E-2</v>
      </c>
      <c r="F558" t="s">
        <v>8</v>
      </c>
    </row>
    <row r="559" spans="1:6" x14ac:dyDescent="0.35">
      <c r="A559" t="s">
        <v>1085</v>
      </c>
      <c r="B559" t="s">
        <v>1086</v>
      </c>
      <c r="C559">
        <v>0.35</v>
      </c>
      <c r="D559">
        <v>9.7000000000000003E-2</v>
      </c>
      <c r="E559">
        <v>1.7999999999999999E-2</v>
      </c>
      <c r="F559" t="s">
        <v>8</v>
      </c>
    </row>
    <row r="560" spans="1:6" x14ac:dyDescent="0.35">
      <c r="A560" t="s">
        <v>1087</v>
      </c>
      <c r="B560" t="s">
        <v>1088</v>
      </c>
      <c r="C560">
        <v>0.34799999999999998</v>
      </c>
      <c r="D560">
        <v>0.34799999999999998</v>
      </c>
      <c r="E560">
        <v>1.4999999999999999E-2</v>
      </c>
      <c r="F560" t="s">
        <v>1021</v>
      </c>
    </row>
    <row r="561" spans="1:6" x14ac:dyDescent="0.35">
      <c r="A561" t="s">
        <v>1089</v>
      </c>
      <c r="B561" t="s">
        <v>1090</v>
      </c>
      <c r="C561">
        <v>0.35</v>
      </c>
      <c r="D561">
        <v>7.0000000000000007E-2</v>
      </c>
      <c r="E561">
        <v>1.7999999999999999E-2</v>
      </c>
      <c r="F561" t="s">
        <v>1021</v>
      </c>
    </row>
    <row r="562" spans="1:6" x14ac:dyDescent="0.35">
      <c r="A562" t="s">
        <v>1091</v>
      </c>
      <c r="B562" t="s">
        <v>1092</v>
      </c>
      <c r="C562">
        <v>0.35</v>
      </c>
      <c r="D562">
        <v>0.11</v>
      </c>
      <c r="E562">
        <v>1.7999999999999999E-2</v>
      </c>
      <c r="F562" t="s">
        <v>1021</v>
      </c>
    </row>
    <row r="563" spans="1:6" x14ac:dyDescent="0.35">
      <c r="A563" t="s">
        <v>1093</v>
      </c>
      <c r="B563" t="s">
        <v>1094</v>
      </c>
      <c r="C563">
        <v>0</v>
      </c>
      <c r="D563">
        <v>0</v>
      </c>
      <c r="E563">
        <v>0</v>
      </c>
      <c r="F563" t="s">
        <v>85</v>
      </c>
    </row>
    <row r="564" spans="1:6" x14ac:dyDescent="0.35">
      <c r="A564" t="s">
        <v>1095</v>
      </c>
      <c r="B564" t="s">
        <v>1096</v>
      </c>
      <c r="C564">
        <v>0.35</v>
      </c>
      <c r="D564">
        <v>0.35</v>
      </c>
      <c r="E564">
        <v>2.5000000000000001E-2</v>
      </c>
      <c r="F564" t="s">
        <v>8</v>
      </c>
    </row>
    <row r="565" spans="1:6" x14ac:dyDescent="0.35">
      <c r="A565" t="s">
        <v>1097</v>
      </c>
      <c r="B565" t="s">
        <v>1098</v>
      </c>
      <c r="C565">
        <v>0</v>
      </c>
      <c r="D565">
        <v>0</v>
      </c>
      <c r="E565">
        <v>0</v>
      </c>
      <c r="F565" t="s">
        <v>1021</v>
      </c>
    </row>
    <row r="566" spans="1:6" x14ac:dyDescent="0.35">
      <c r="A566" t="s">
        <v>1099</v>
      </c>
      <c r="B566" t="s">
        <v>1100</v>
      </c>
      <c r="C566">
        <v>0.92</v>
      </c>
      <c r="D566">
        <v>7.5999999999999998E-2</v>
      </c>
      <c r="E566">
        <v>2.5000000000000001E-2</v>
      </c>
      <c r="F566" t="s">
        <v>85</v>
      </c>
    </row>
    <row r="567" spans="1:6" x14ac:dyDescent="0.35">
      <c r="A567" t="s">
        <v>1101</v>
      </c>
      <c r="B567" t="s">
        <v>1102</v>
      </c>
      <c r="C567">
        <v>0.43</v>
      </c>
      <c r="D567">
        <v>6.2E-2</v>
      </c>
      <c r="E567">
        <v>2.5000000000000001E-2</v>
      </c>
      <c r="F567" t="s">
        <v>85</v>
      </c>
    </row>
    <row r="568" spans="1:6" x14ac:dyDescent="0.35">
      <c r="A568" t="s">
        <v>1103</v>
      </c>
      <c r="B568" t="s">
        <v>1104</v>
      </c>
      <c r="C568">
        <v>0.29499999999999998</v>
      </c>
      <c r="D568">
        <v>0.08</v>
      </c>
      <c r="E568">
        <v>1.7999999999999999E-2</v>
      </c>
      <c r="F568" t="s">
        <v>85</v>
      </c>
    </row>
    <row r="569" spans="1:6" x14ac:dyDescent="0.35">
      <c r="A569" t="s">
        <v>1105</v>
      </c>
      <c r="B569" t="s">
        <v>1106</v>
      </c>
      <c r="C569">
        <v>0.4</v>
      </c>
      <c r="D569">
        <v>0.36</v>
      </c>
      <c r="E569">
        <v>8.9999999999999993E-3</v>
      </c>
      <c r="F569" t="s">
        <v>8</v>
      </c>
    </row>
    <row r="570" spans="1:6" x14ac:dyDescent="0.35">
      <c r="A570" t="s">
        <v>1107</v>
      </c>
      <c r="B570" t="s">
        <v>1108</v>
      </c>
      <c r="C570">
        <v>0.34</v>
      </c>
      <c r="D570">
        <v>7.0000000000000007E-2</v>
      </c>
      <c r="E570">
        <v>1.4999999999999999E-2</v>
      </c>
      <c r="F570" t="s">
        <v>85</v>
      </c>
    </row>
    <row r="571" spans="1:6" x14ac:dyDescent="0.35">
      <c r="A571" t="s">
        <v>1109</v>
      </c>
      <c r="B571" t="s">
        <v>1110</v>
      </c>
      <c r="C571">
        <v>0.34</v>
      </c>
      <c r="D571">
        <v>5.6000000000000001E-2</v>
      </c>
      <c r="E571">
        <v>1.4999999999999999E-2</v>
      </c>
      <c r="F571" t="s">
        <v>8</v>
      </c>
    </row>
    <row r="572" spans="1:6" x14ac:dyDescent="0.35">
      <c r="A572" t="s">
        <v>1111</v>
      </c>
      <c r="B572" t="s">
        <v>1112</v>
      </c>
      <c r="C572">
        <v>0.34</v>
      </c>
      <c r="D572">
        <v>0.03</v>
      </c>
      <c r="E572">
        <v>2.5000000000000001E-2</v>
      </c>
      <c r="F572" t="s">
        <v>8</v>
      </c>
    </row>
    <row r="573" spans="1:6" x14ac:dyDescent="0.35">
      <c r="A573" t="s">
        <v>1113</v>
      </c>
      <c r="B573" t="s">
        <v>1114</v>
      </c>
      <c r="C573">
        <v>0.6</v>
      </c>
      <c r="D573">
        <v>0.41</v>
      </c>
      <c r="E573">
        <v>0.02</v>
      </c>
      <c r="F573" t="s">
        <v>8</v>
      </c>
    </row>
    <row r="574" spans="1:6" x14ac:dyDescent="0.35">
      <c r="A574" t="s">
        <v>1115</v>
      </c>
      <c r="B574" t="s">
        <v>1116</v>
      </c>
      <c r="C574">
        <v>0.41</v>
      </c>
      <c r="D574">
        <v>0.37</v>
      </c>
      <c r="E574">
        <v>0.02</v>
      </c>
      <c r="F574" t="s">
        <v>8</v>
      </c>
    </row>
    <row r="575" spans="1:6" x14ac:dyDescent="0.35">
      <c r="A575" t="s">
        <v>1117</v>
      </c>
      <c r="B575" t="s">
        <v>1118</v>
      </c>
      <c r="C575">
        <v>0.48</v>
      </c>
      <c r="D575">
        <v>7.0000000000000007E-2</v>
      </c>
      <c r="E575">
        <v>0.01</v>
      </c>
      <c r="F575" t="s">
        <v>8</v>
      </c>
    </row>
    <row r="576" spans="1:6" x14ac:dyDescent="0.35">
      <c r="A576" t="s">
        <v>1119</v>
      </c>
      <c r="B576" t="s">
        <v>1120</v>
      </c>
      <c r="C576">
        <v>0</v>
      </c>
      <c r="D576">
        <v>0</v>
      </c>
      <c r="E576">
        <v>0</v>
      </c>
      <c r="F576" t="s">
        <v>85</v>
      </c>
    </row>
    <row r="577" spans="1:6" x14ac:dyDescent="0.35">
      <c r="A577" t="s">
        <v>1121</v>
      </c>
      <c r="B577" t="s">
        <v>1122</v>
      </c>
      <c r="C577">
        <v>0.36</v>
      </c>
      <c r="D577">
        <v>0.4</v>
      </c>
      <c r="E577">
        <v>8.9999999999999993E-3</v>
      </c>
      <c r="F577" t="s">
        <v>527</v>
      </c>
    </row>
    <row r="578" spans="1:6" x14ac:dyDescent="0.35">
      <c r="A578" t="s">
        <v>1123</v>
      </c>
      <c r="B578" t="s">
        <v>1124</v>
      </c>
      <c r="C578">
        <v>0.34699999999999998</v>
      </c>
      <c r="D578">
        <v>3.5000000000000003E-2</v>
      </c>
      <c r="E578">
        <v>1.4999999999999999E-2</v>
      </c>
      <c r="F578" t="s">
        <v>527</v>
      </c>
    </row>
    <row r="579" spans="1:6" x14ac:dyDescent="0.35">
      <c r="A579" t="s">
        <v>1125</v>
      </c>
      <c r="B579" t="s">
        <v>1126</v>
      </c>
      <c r="C579">
        <v>0.51500000000000001</v>
      </c>
      <c r="D579">
        <v>0.34499999999999997</v>
      </c>
      <c r="E579">
        <v>3.0000000000000001E-3</v>
      </c>
      <c r="F579" t="s">
        <v>8</v>
      </c>
    </row>
    <row r="580" spans="1:6" x14ac:dyDescent="0.35">
      <c r="A580" t="s">
        <v>1127</v>
      </c>
      <c r="B580" t="s">
        <v>1128</v>
      </c>
      <c r="C580">
        <v>0.51500000000000001</v>
      </c>
      <c r="D580">
        <v>0.34499999999999997</v>
      </c>
      <c r="E580">
        <v>3.0000000000000001E-3</v>
      </c>
      <c r="F580" t="s">
        <v>8</v>
      </c>
    </row>
    <row r="581" spans="1:6" x14ac:dyDescent="0.35">
      <c r="A581" t="s">
        <v>1129</v>
      </c>
      <c r="B581" t="s">
        <v>1130</v>
      </c>
      <c r="C581">
        <v>0.40500000000000003</v>
      </c>
      <c r="D581">
        <v>0.36499999999999999</v>
      </c>
      <c r="E581">
        <v>0.02</v>
      </c>
      <c r="F581" t="s">
        <v>8</v>
      </c>
    </row>
    <row r="582" spans="1:6" x14ac:dyDescent="0.35">
      <c r="A582" t="s">
        <v>1131</v>
      </c>
      <c r="B582" t="s">
        <v>1132</v>
      </c>
      <c r="C582">
        <v>0.60499999999999998</v>
      </c>
      <c r="D582">
        <v>0.35499999999999998</v>
      </c>
      <c r="E582">
        <v>0.03</v>
      </c>
      <c r="F582" t="s">
        <v>8</v>
      </c>
    </row>
    <row r="583" spans="1:6" x14ac:dyDescent="0.35">
      <c r="A583" t="s">
        <v>1133</v>
      </c>
      <c r="B583" t="s">
        <v>1134</v>
      </c>
      <c r="C583">
        <v>0</v>
      </c>
      <c r="D583">
        <v>0</v>
      </c>
      <c r="E583">
        <v>0</v>
      </c>
      <c r="F583" t="s">
        <v>1135</v>
      </c>
    </row>
    <row r="584" spans="1:6" x14ac:dyDescent="0.35">
      <c r="A584" t="s">
        <v>1136</v>
      </c>
      <c r="B584" t="s">
        <v>1137</v>
      </c>
      <c r="C584">
        <v>1</v>
      </c>
      <c r="D584">
        <v>0.91100000000000003</v>
      </c>
      <c r="E584">
        <v>0.03</v>
      </c>
      <c r="F584" t="s">
        <v>85</v>
      </c>
    </row>
    <row r="585" spans="1:6" x14ac:dyDescent="0.35">
      <c r="A585" t="s">
        <v>1138</v>
      </c>
      <c r="B585" t="s">
        <v>1139</v>
      </c>
      <c r="C585">
        <v>0.46</v>
      </c>
      <c r="D585">
        <v>0.91100000000000003</v>
      </c>
      <c r="E585">
        <v>0.03</v>
      </c>
      <c r="F585" t="s">
        <v>85</v>
      </c>
    </row>
    <row r="586" spans="1:6" x14ac:dyDescent="0.35">
      <c r="A586" t="s">
        <v>1140</v>
      </c>
      <c r="B586" t="s">
        <v>1141</v>
      </c>
      <c r="C586">
        <v>0.40500000000000003</v>
      </c>
      <c r="D586">
        <v>0.04</v>
      </c>
      <c r="E586">
        <v>0.03</v>
      </c>
      <c r="F586" t="s">
        <v>794</v>
      </c>
    </row>
    <row r="587" spans="1:6" x14ac:dyDescent="0.35">
      <c r="A587" t="s">
        <v>1142</v>
      </c>
      <c r="B587" t="s">
        <v>1143</v>
      </c>
      <c r="C587">
        <v>0.43</v>
      </c>
      <c r="D587">
        <v>0.40300000000000002</v>
      </c>
      <c r="E587">
        <v>8.9999999999999993E-3</v>
      </c>
      <c r="F587" t="s">
        <v>8</v>
      </c>
    </row>
    <row r="588" spans="1:6" x14ac:dyDescent="0.35">
      <c r="A588" t="s">
        <v>1144</v>
      </c>
      <c r="B588" t="s">
        <v>1145</v>
      </c>
      <c r="C588">
        <v>0.36699999999999999</v>
      </c>
      <c r="D588">
        <v>0.08</v>
      </c>
      <c r="E588">
        <v>1.4999999999999999E-2</v>
      </c>
      <c r="F588" t="s">
        <v>8</v>
      </c>
    </row>
    <row r="589" spans="1:6" x14ac:dyDescent="0.35">
      <c r="A589" t="s">
        <v>1146</v>
      </c>
      <c r="B589" t="s">
        <v>1147</v>
      </c>
      <c r="C589">
        <v>0.28000000000000003</v>
      </c>
      <c r="D589">
        <v>0.41</v>
      </c>
      <c r="E589">
        <v>3.0000000000000001E-3</v>
      </c>
      <c r="F589" t="s">
        <v>8</v>
      </c>
    </row>
    <row r="590" spans="1:6" x14ac:dyDescent="0.35">
      <c r="A590" t="s">
        <v>1148</v>
      </c>
      <c r="B590" t="s">
        <v>1149</v>
      </c>
      <c r="C590">
        <v>0.36</v>
      </c>
      <c r="D590">
        <v>4.2000000000000003E-2</v>
      </c>
      <c r="E590">
        <v>1.4999999999999999E-2</v>
      </c>
      <c r="F590" t="s">
        <v>8</v>
      </c>
    </row>
    <row r="591" spans="1:6" x14ac:dyDescent="0.35">
      <c r="A591" t="s">
        <v>1150</v>
      </c>
      <c r="B591" t="s">
        <v>1151</v>
      </c>
      <c r="C591">
        <v>0.43</v>
      </c>
      <c r="D591">
        <v>0.08</v>
      </c>
      <c r="E591">
        <v>1.7999999999999999E-2</v>
      </c>
      <c r="F591" t="s">
        <v>8</v>
      </c>
    </row>
    <row r="592" spans="1:6" x14ac:dyDescent="0.35">
      <c r="A592" t="s">
        <v>1152</v>
      </c>
      <c r="B592" t="s">
        <v>1153</v>
      </c>
      <c r="C592">
        <v>0.36</v>
      </c>
      <c r="D592">
        <v>4.8000000000000001E-2</v>
      </c>
      <c r="E592">
        <v>2.5000000000000001E-2</v>
      </c>
      <c r="F592" t="s">
        <v>8</v>
      </c>
    </row>
    <row r="593" spans="1:6" x14ac:dyDescent="0.35">
      <c r="A593" t="s">
        <v>1154</v>
      </c>
      <c r="B593" t="s">
        <v>1155</v>
      </c>
      <c r="C593">
        <v>0.36</v>
      </c>
      <c r="D593">
        <v>4.8000000000000001E-2</v>
      </c>
      <c r="E593">
        <v>2.5000000000000001E-2</v>
      </c>
      <c r="F593" t="s">
        <v>8</v>
      </c>
    </row>
    <row r="594" spans="1:6" x14ac:dyDescent="0.35">
      <c r="A594" t="s">
        <v>1156</v>
      </c>
      <c r="B594" t="s">
        <v>1157</v>
      </c>
      <c r="C594">
        <v>0.64</v>
      </c>
      <c r="D594">
        <v>0.08</v>
      </c>
      <c r="E594">
        <v>0.01</v>
      </c>
      <c r="F594" t="s">
        <v>8</v>
      </c>
    </row>
    <row r="595" spans="1:6" x14ac:dyDescent="0.35">
      <c r="A595" t="s">
        <v>1158</v>
      </c>
      <c r="B595" t="s">
        <v>1159</v>
      </c>
      <c r="C595">
        <v>0.65</v>
      </c>
      <c r="D595">
        <v>0.435</v>
      </c>
      <c r="E595">
        <v>0.02</v>
      </c>
      <c r="F595" t="s">
        <v>8</v>
      </c>
    </row>
    <row r="596" spans="1:6" x14ac:dyDescent="0.35">
      <c r="A596" t="s">
        <v>1160</v>
      </c>
      <c r="B596" t="s">
        <v>1161</v>
      </c>
      <c r="C596">
        <v>0.65</v>
      </c>
      <c r="D596">
        <v>0.435</v>
      </c>
      <c r="E596">
        <v>0.01</v>
      </c>
      <c r="F596" t="s">
        <v>8</v>
      </c>
    </row>
    <row r="597" spans="1:6" x14ac:dyDescent="0.35">
      <c r="A597" t="s">
        <v>1162</v>
      </c>
      <c r="B597" t="s">
        <v>1163</v>
      </c>
      <c r="C597">
        <v>0</v>
      </c>
      <c r="D597">
        <v>0</v>
      </c>
      <c r="E597">
        <v>0</v>
      </c>
      <c r="F597" t="s">
        <v>1021</v>
      </c>
    </row>
    <row r="598" spans="1:6" x14ac:dyDescent="0.35">
      <c r="A598" t="s">
        <v>1164</v>
      </c>
      <c r="B598" t="s">
        <v>1165</v>
      </c>
      <c r="C598">
        <v>0</v>
      </c>
      <c r="D598">
        <v>0</v>
      </c>
      <c r="E598">
        <v>0</v>
      </c>
      <c r="F598" t="s">
        <v>1021</v>
      </c>
    </row>
    <row r="599" spans="1:6" x14ac:dyDescent="0.35">
      <c r="A599" t="s">
        <v>1166</v>
      </c>
      <c r="B599" t="s">
        <v>1167</v>
      </c>
      <c r="C599">
        <v>0</v>
      </c>
      <c r="D599">
        <v>0</v>
      </c>
      <c r="E599">
        <v>0</v>
      </c>
      <c r="F599" t="s">
        <v>1021</v>
      </c>
    </row>
    <row r="600" spans="1:6" x14ac:dyDescent="0.35">
      <c r="A600" t="s">
        <v>1168</v>
      </c>
      <c r="B600" t="s">
        <v>1169</v>
      </c>
      <c r="C600">
        <v>0.36</v>
      </c>
      <c r="D600">
        <v>0.04</v>
      </c>
      <c r="E600">
        <v>2.5000000000000001E-2</v>
      </c>
      <c r="F600" t="s">
        <v>8</v>
      </c>
    </row>
    <row r="601" spans="1:6" x14ac:dyDescent="0.35">
      <c r="A601" t="s">
        <v>1170</v>
      </c>
      <c r="B601" t="s">
        <v>1171</v>
      </c>
      <c r="C601">
        <v>0.36</v>
      </c>
      <c r="D601">
        <v>5.0999999999999997E-2</v>
      </c>
      <c r="E601">
        <v>2.5000000000000001E-2</v>
      </c>
      <c r="F601" t="s">
        <v>8</v>
      </c>
    </row>
    <row r="602" spans="1:6" x14ac:dyDescent="0.35">
      <c r="A602" t="s">
        <v>1172</v>
      </c>
      <c r="B602" t="s">
        <v>1173</v>
      </c>
      <c r="C602">
        <v>0.25</v>
      </c>
      <c r="D602">
        <v>0.35</v>
      </c>
      <c r="E602">
        <v>1.4999999999999999E-2</v>
      </c>
      <c r="F602" t="s">
        <v>527</v>
      </c>
    </row>
    <row r="603" spans="1:6" x14ac:dyDescent="0.35">
      <c r="A603" t="s">
        <v>1174</v>
      </c>
      <c r="B603" t="s">
        <v>1175</v>
      </c>
      <c r="C603">
        <v>0.35</v>
      </c>
      <c r="D603">
        <v>7.0000000000000007E-2</v>
      </c>
      <c r="E603">
        <v>1.7999999999999999E-2</v>
      </c>
      <c r="F603" t="s">
        <v>8</v>
      </c>
    </row>
    <row r="604" spans="1:6" x14ac:dyDescent="0.35">
      <c r="A604" t="s">
        <v>1176</v>
      </c>
      <c r="B604" t="s">
        <v>1177</v>
      </c>
      <c r="C604">
        <v>0</v>
      </c>
      <c r="D604">
        <v>0</v>
      </c>
      <c r="E604">
        <v>0</v>
      </c>
      <c r="F604" t="s">
        <v>85</v>
      </c>
    </row>
    <row r="605" spans="1:6" x14ac:dyDescent="0.35">
      <c r="A605" t="s">
        <v>1178</v>
      </c>
      <c r="B605" t="s">
        <v>1179</v>
      </c>
      <c r="C605">
        <v>0</v>
      </c>
      <c r="D605">
        <v>0</v>
      </c>
      <c r="E605">
        <v>0</v>
      </c>
      <c r="F605" t="s">
        <v>1021</v>
      </c>
    </row>
    <row r="606" spans="1:6" x14ac:dyDescent="0.35">
      <c r="A606" t="s">
        <v>1180</v>
      </c>
      <c r="B606" t="s">
        <v>1181</v>
      </c>
      <c r="C606">
        <v>0</v>
      </c>
      <c r="D606">
        <v>0</v>
      </c>
      <c r="E606">
        <v>0</v>
      </c>
      <c r="F606" t="s">
        <v>1021</v>
      </c>
    </row>
    <row r="607" spans="1:6" x14ac:dyDescent="0.35">
      <c r="A607" t="s">
        <v>1182</v>
      </c>
      <c r="B607" t="s">
        <v>1183</v>
      </c>
      <c r="C607">
        <v>0</v>
      </c>
      <c r="D607">
        <v>0</v>
      </c>
      <c r="E607">
        <v>0</v>
      </c>
      <c r="F607" t="s">
        <v>1135</v>
      </c>
    </row>
    <row r="608" spans="1:6" x14ac:dyDescent="0.35">
      <c r="A608" t="s">
        <v>1184</v>
      </c>
      <c r="B608" t="s">
        <v>1185</v>
      </c>
      <c r="C608">
        <v>0.51700000000000002</v>
      </c>
      <c r="D608">
        <v>5.8000000000000003E-2</v>
      </c>
      <c r="E608">
        <v>0.03</v>
      </c>
      <c r="F608" t="s">
        <v>794</v>
      </c>
    </row>
    <row r="609" spans="1:6" x14ac:dyDescent="0.35">
      <c r="A609" t="s">
        <v>1186</v>
      </c>
      <c r="B609" t="s">
        <v>1187</v>
      </c>
      <c r="C609">
        <v>0.45</v>
      </c>
      <c r="D609">
        <v>5.5E-2</v>
      </c>
      <c r="E609">
        <v>0.03</v>
      </c>
      <c r="F609" t="s">
        <v>794</v>
      </c>
    </row>
    <row r="610" spans="1:6" x14ac:dyDescent="0.35">
      <c r="A610" t="s">
        <v>1188</v>
      </c>
      <c r="B610" t="s">
        <v>1189</v>
      </c>
      <c r="C610">
        <v>0.48499999999999999</v>
      </c>
      <c r="D610">
        <v>5.0999999999999997E-2</v>
      </c>
      <c r="E610">
        <v>2.5000000000000001E-2</v>
      </c>
      <c r="F610" t="s">
        <v>8</v>
      </c>
    </row>
    <row r="611" spans="1:6" x14ac:dyDescent="0.35">
      <c r="A611" t="s">
        <v>1190</v>
      </c>
      <c r="B611" t="s">
        <v>1191</v>
      </c>
      <c r="C611">
        <v>0.08</v>
      </c>
      <c r="D611">
        <v>3.5000000000000003E-2</v>
      </c>
      <c r="E611">
        <v>1.7999999999999999E-2</v>
      </c>
      <c r="F611" t="s">
        <v>8</v>
      </c>
    </row>
    <row r="612" spans="1:6" x14ac:dyDescent="0.35">
      <c r="A612" t="s">
        <v>1192</v>
      </c>
      <c r="B612" t="s">
        <v>1193</v>
      </c>
      <c r="C612">
        <v>0</v>
      </c>
      <c r="D612">
        <v>0</v>
      </c>
      <c r="E612">
        <v>0</v>
      </c>
      <c r="F612" t="s">
        <v>1021</v>
      </c>
    </row>
    <row r="613" spans="1:6" x14ac:dyDescent="0.35">
      <c r="A613" t="s">
        <v>1194</v>
      </c>
      <c r="B613" t="s">
        <v>1195</v>
      </c>
      <c r="C613">
        <v>0.92</v>
      </c>
      <c r="D613">
        <v>0.05</v>
      </c>
      <c r="E613">
        <v>2.5000000000000001E-2</v>
      </c>
      <c r="F613" t="s">
        <v>85</v>
      </c>
    </row>
    <row r="614" spans="1:6" x14ac:dyDescent="0.35">
      <c r="A614" t="s">
        <v>1196</v>
      </c>
      <c r="B614" t="s">
        <v>1197</v>
      </c>
      <c r="C614">
        <v>0.92</v>
      </c>
      <c r="D614">
        <v>0.05</v>
      </c>
      <c r="E614">
        <v>2.5000000000000001E-2</v>
      </c>
      <c r="F614" t="s">
        <v>85</v>
      </c>
    </row>
    <row r="615" spans="1:6" x14ac:dyDescent="0.35">
      <c r="A615" t="s">
        <v>1198</v>
      </c>
      <c r="B615" t="s">
        <v>1199</v>
      </c>
      <c r="C615">
        <v>0.29799999999999999</v>
      </c>
      <c r="D615">
        <v>7.0000000000000007E-2</v>
      </c>
      <c r="E615">
        <v>1.7999999999999999E-2</v>
      </c>
      <c r="F615" t="s">
        <v>85</v>
      </c>
    </row>
    <row r="616" spans="1:6" x14ac:dyDescent="0.35">
      <c r="A616" t="s">
        <v>1200</v>
      </c>
      <c r="B616" t="s">
        <v>1201</v>
      </c>
      <c r="C616">
        <v>0.43</v>
      </c>
      <c r="D616">
        <v>0.40300000000000002</v>
      </c>
      <c r="E616">
        <v>1.2E-2</v>
      </c>
      <c r="F616" t="s">
        <v>8</v>
      </c>
    </row>
    <row r="617" spans="1:6" x14ac:dyDescent="0.35">
      <c r="A617" t="s">
        <v>1202</v>
      </c>
      <c r="B617" t="s">
        <v>1203</v>
      </c>
      <c r="C617">
        <v>0.36</v>
      </c>
      <c r="D617">
        <v>7.0000000000000007E-2</v>
      </c>
      <c r="E617">
        <v>1.7999999999999999E-2</v>
      </c>
      <c r="F617" t="s">
        <v>85</v>
      </c>
    </row>
    <row r="618" spans="1:6" x14ac:dyDescent="0.35">
      <c r="A618" t="s">
        <v>1204</v>
      </c>
      <c r="B618" t="s">
        <v>1205</v>
      </c>
      <c r="C618">
        <v>0.36</v>
      </c>
      <c r="D618">
        <v>7.1999999999999995E-2</v>
      </c>
      <c r="E618">
        <v>1.4999999999999999E-2</v>
      </c>
      <c r="F618" t="s">
        <v>85</v>
      </c>
    </row>
    <row r="619" spans="1:6" x14ac:dyDescent="0.35">
      <c r="A619" t="s">
        <v>1206</v>
      </c>
      <c r="B619" t="s">
        <v>1207</v>
      </c>
      <c r="C619">
        <v>0.43</v>
      </c>
      <c r="D619">
        <v>5.5E-2</v>
      </c>
      <c r="E619">
        <v>2.5000000000000001E-2</v>
      </c>
      <c r="F619" t="s">
        <v>85</v>
      </c>
    </row>
    <row r="620" spans="1:6" x14ac:dyDescent="0.35">
      <c r="A620" t="s">
        <v>1208</v>
      </c>
      <c r="B620" t="s">
        <v>1209</v>
      </c>
      <c r="C620">
        <v>0.43</v>
      </c>
      <c r="D620">
        <v>5.5E-2</v>
      </c>
      <c r="E620">
        <v>2.5000000000000001E-2</v>
      </c>
      <c r="F620" t="s">
        <v>85</v>
      </c>
    </row>
    <row r="621" spans="1:6" x14ac:dyDescent="0.35">
      <c r="A621" t="s">
        <v>1210</v>
      </c>
      <c r="B621" t="s">
        <v>1211</v>
      </c>
      <c r="C621">
        <v>0.41499999999999998</v>
      </c>
      <c r="D621">
        <v>0.44</v>
      </c>
      <c r="E621">
        <v>0.02</v>
      </c>
      <c r="F621" t="s">
        <v>8</v>
      </c>
    </row>
    <row r="622" spans="1:6" x14ac:dyDescent="0.35">
      <c r="A622" t="s">
        <v>1212</v>
      </c>
      <c r="B622" t="s">
        <v>1213</v>
      </c>
      <c r="C622">
        <v>0</v>
      </c>
      <c r="D622">
        <v>0</v>
      </c>
      <c r="E622">
        <v>0</v>
      </c>
      <c r="F622" t="s">
        <v>1021</v>
      </c>
    </row>
    <row r="623" spans="1:6" x14ac:dyDescent="0.35">
      <c r="A623" t="s">
        <v>1214</v>
      </c>
      <c r="B623" t="s">
        <v>1215</v>
      </c>
      <c r="C623">
        <v>0.4</v>
      </c>
      <c r="D623">
        <v>3.5000000000000003E-2</v>
      </c>
      <c r="E623">
        <v>1.4999999999999999E-2</v>
      </c>
      <c r="F623" t="s">
        <v>527</v>
      </c>
    </row>
    <row r="624" spans="1:6" x14ac:dyDescent="0.35">
      <c r="A624" t="s">
        <v>1216</v>
      </c>
      <c r="B624" t="s">
        <v>1217</v>
      </c>
      <c r="C624">
        <v>0.4</v>
      </c>
      <c r="D624">
        <v>7.0000000000000007E-2</v>
      </c>
      <c r="E624">
        <v>1.7999999999999999E-2</v>
      </c>
      <c r="F624" t="s">
        <v>8</v>
      </c>
    </row>
    <row r="625" spans="1:6" x14ac:dyDescent="0.35">
      <c r="A625" t="s">
        <v>1218</v>
      </c>
      <c r="B625" t="s">
        <v>1219</v>
      </c>
      <c r="C625">
        <v>0.43</v>
      </c>
      <c r="D625">
        <v>0.4</v>
      </c>
      <c r="E625">
        <v>8.9999999999999993E-3</v>
      </c>
      <c r="F625" t="s">
        <v>527</v>
      </c>
    </row>
    <row r="626" spans="1:6" x14ac:dyDescent="0.35">
      <c r="A626" t="s">
        <v>1220</v>
      </c>
      <c r="B626" t="s">
        <v>1221</v>
      </c>
      <c r="C626">
        <v>0.49199999999999999</v>
      </c>
      <c r="D626">
        <v>3.5000000000000003E-2</v>
      </c>
      <c r="E626">
        <v>1.4999999999999999E-2</v>
      </c>
      <c r="F626" t="s">
        <v>527</v>
      </c>
    </row>
    <row r="627" spans="1:6" x14ac:dyDescent="0.35">
      <c r="A627" t="s">
        <v>1222</v>
      </c>
      <c r="B627" t="s">
        <v>1223</v>
      </c>
      <c r="C627">
        <v>0.51500000000000001</v>
      </c>
      <c r="D627">
        <v>0.39500000000000002</v>
      </c>
      <c r="E627">
        <v>3.0000000000000001E-3</v>
      </c>
      <c r="F627" t="s">
        <v>8</v>
      </c>
    </row>
    <row r="628" spans="1:6" x14ac:dyDescent="0.35">
      <c r="A628" t="s">
        <v>1224</v>
      </c>
      <c r="B628" t="s">
        <v>1225</v>
      </c>
      <c r="C628">
        <v>0.4</v>
      </c>
      <c r="D628">
        <v>7.0000000000000007E-2</v>
      </c>
      <c r="E628">
        <v>1.7999999999999999E-2</v>
      </c>
      <c r="F628" t="s">
        <v>527</v>
      </c>
    </row>
    <row r="629" spans="1:6" x14ac:dyDescent="0.35">
      <c r="A629" t="s">
        <v>1226</v>
      </c>
      <c r="B629" t="s">
        <v>1227</v>
      </c>
      <c r="C629">
        <v>0.37</v>
      </c>
      <c r="D629">
        <v>0.04</v>
      </c>
      <c r="E629">
        <v>1.4999999999999999E-2</v>
      </c>
      <c r="F629" t="s">
        <v>527</v>
      </c>
    </row>
    <row r="630" spans="1:6" x14ac:dyDescent="0.35">
      <c r="A630" t="s">
        <v>1228</v>
      </c>
      <c r="B630" t="s">
        <v>1229</v>
      </c>
      <c r="C630">
        <v>0.51500000000000001</v>
      </c>
      <c r="D630">
        <v>0.39500000000000002</v>
      </c>
      <c r="E630">
        <v>3.0000000000000001E-3</v>
      </c>
      <c r="F630" t="s">
        <v>8</v>
      </c>
    </row>
    <row r="631" spans="1:6" x14ac:dyDescent="0.35">
      <c r="A631" t="s">
        <v>1230</v>
      </c>
      <c r="B631" t="s">
        <v>1231</v>
      </c>
      <c r="C631">
        <v>0</v>
      </c>
      <c r="D631">
        <v>0</v>
      </c>
      <c r="E631">
        <v>0</v>
      </c>
      <c r="F631" t="s">
        <v>1135</v>
      </c>
    </row>
    <row r="632" spans="1:6" x14ac:dyDescent="0.35">
      <c r="A632" t="s">
        <v>1232</v>
      </c>
      <c r="B632" t="s">
        <v>1233</v>
      </c>
      <c r="C632">
        <v>0.46100000000000002</v>
      </c>
      <c r="D632">
        <v>0.45300000000000001</v>
      </c>
      <c r="E632">
        <v>1.2E-2</v>
      </c>
      <c r="F632" t="s">
        <v>527</v>
      </c>
    </row>
    <row r="633" spans="1:6" x14ac:dyDescent="0.35">
      <c r="A633" t="s">
        <v>1234</v>
      </c>
      <c r="B633" t="s">
        <v>1235</v>
      </c>
      <c r="C633">
        <v>0.46100000000000002</v>
      </c>
      <c r="D633">
        <v>0.45300000000000001</v>
      </c>
      <c r="E633">
        <v>0.03</v>
      </c>
      <c r="F633" t="s">
        <v>8</v>
      </c>
    </row>
    <row r="634" spans="1:6" x14ac:dyDescent="0.35">
      <c r="A634" t="s">
        <v>1236</v>
      </c>
      <c r="B634" t="s">
        <v>1237</v>
      </c>
      <c r="C634">
        <v>0.44800000000000001</v>
      </c>
      <c r="D634">
        <v>0.3</v>
      </c>
      <c r="E634">
        <v>2.5000000000000001E-2</v>
      </c>
      <c r="F634" t="s">
        <v>8</v>
      </c>
    </row>
    <row r="635" spans="1:6" x14ac:dyDescent="0.35">
      <c r="A635" t="s">
        <v>1238</v>
      </c>
      <c r="B635" t="s">
        <v>1239</v>
      </c>
      <c r="C635">
        <v>0.52</v>
      </c>
      <c r="D635">
        <v>0.33</v>
      </c>
      <c r="E635">
        <v>0.01</v>
      </c>
      <c r="F635" t="s">
        <v>8</v>
      </c>
    </row>
    <row r="636" spans="1:6" x14ac:dyDescent="0.35">
      <c r="A636" t="s">
        <v>1240</v>
      </c>
      <c r="B636" t="s">
        <v>1241</v>
      </c>
      <c r="C636">
        <v>0.78500000000000003</v>
      </c>
      <c r="D636">
        <v>9.6000000000000002E-2</v>
      </c>
      <c r="E636">
        <v>3.5000000000000003E-2</v>
      </c>
      <c r="F636" t="s">
        <v>794</v>
      </c>
    </row>
    <row r="637" spans="1:6" x14ac:dyDescent="0.35">
      <c r="A637" t="s">
        <v>1242</v>
      </c>
      <c r="B637" t="s">
        <v>1243</v>
      </c>
      <c r="C637">
        <v>0.45</v>
      </c>
      <c r="D637">
        <v>3.5000000000000003E-2</v>
      </c>
      <c r="E637">
        <v>0.04</v>
      </c>
      <c r="F637" t="s">
        <v>794</v>
      </c>
    </row>
    <row r="638" spans="1:6" x14ac:dyDescent="0.35">
      <c r="A638" t="s">
        <v>1244</v>
      </c>
      <c r="B638" t="s">
        <v>1245</v>
      </c>
      <c r="C638">
        <v>0.36</v>
      </c>
      <c r="D638">
        <v>0.06</v>
      </c>
      <c r="E638">
        <v>0.03</v>
      </c>
      <c r="F638" t="s">
        <v>794</v>
      </c>
    </row>
    <row r="639" spans="1:6" x14ac:dyDescent="0.35">
      <c r="A639" t="s">
        <v>1246</v>
      </c>
      <c r="B639" t="s">
        <v>1247</v>
      </c>
      <c r="C639">
        <v>0.36</v>
      </c>
      <c r="D639">
        <v>5.6000000000000001E-2</v>
      </c>
      <c r="E639">
        <v>0.04</v>
      </c>
      <c r="F639" t="s">
        <v>794</v>
      </c>
    </row>
    <row r="640" spans="1:6" x14ac:dyDescent="0.35">
      <c r="A640" t="s">
        <v>1248</v>
      </c>
      <c r="B640" t="s">
        <v>1249</v>
      </c>
      <c r="C640">
        <v>0.4</v>
      </c>
      <c r="D640">
        <v>0.06</v>
      </c>
      <c r="E640">
        <v>0.03</v>
      </c>
      <c r="F640" t="s">
        <v>794</v>
      </c>
    </row>
    <row r="641" spans="1:6" x14ac:dyDescent="0.35">
      <c r="A641" t="s">
        <v>1250</v>
      </c>
      <c r="B641" t="s">
        <v>1251</v>
      </c>
      <c r="C641">
        <v>0.78500000000000003</v>
      </c>
      <c r="D641">
        <v>9.6000000000000002E-2</v>
      </c>
      <c r="E641">
        <v>3.5000000000000003E-2</v>
      </c>
      <c r="F641" t="s">
        <v>794</v>
      </c>
    </row>
    <row r="642" spans="1:6" x14ac:dyDescent="0.35">
      <c r="A642" t="s">
        <v>1252</v>
      </c>
      <c r="B642" t="s">
        <v>1253</v>
      </c>
      <c r="C642">
        <v>0.77</v>
      </c>
      <c r="D642">
        <v>7.2999999999999995E-2</v>
      </c>
      <c r="E642">
        <v>3.5000000000000003E-2</v>
      </c>
      <c r="F642" t="s">
        <v>794</v>
      </c>
    </row>
    <row r="643" spans="1:6" x14ac:dyDescent="0.35">
      <c r="A643" t="s">
        <v>1254</v>
      </c>
      <c r="B643" t="s">
        <v>1255</v>
      </c>
      <c r="C643">
        <v>0</v>
      </c>
      <c r="D643">
        <v>0</v>
      </c>
      <c r="E643">
        <v>0</v>
      </c>
      <c r="F643" t="s">
        <v>794</v>
      </c>
    </row>
    <row r="644" spans="1:6" x14ac:dyDescent="0.35">
      <c r="A644" t="s">
        <v>1256</v>
      </c>
      <c r="B644" t="s">
        <v>1257</v>
      </c>
      <c r="C644">
        <v>0.78500000000000003</v>
      </c>
      <c r="D644">
        <v>9.6000000000000002E-2</v>
      </c>
      <c r="E644">
        <v>3.5000000000000003E-2</v>
      </c>
      <c r="F644" t="s">
        <v>794</v>
      </c>
    </row>
    <row r="645" spans="1:6" x14ac:dyDescent="0.35">
      <c r="A645" t="s">
        <v>1258</v>
      </c>
      <c r="B645" t="s">
        <v>1259</v>
      </c>
      <c r="C645">
        <v>0.78500000000000003</v>
      </c>
      <c r="D645">
        <v>3.5000000000000003E-2</v>
      </c>
      <c r="E645">
        <v>3.5000000000000003E-2</v>
      </c>
      <c r="F645" t="s">
        <v>794</v>
      </c>
    </row>
    <row r="646" spans="1:6" x14ac:dyDescent="0.35">
      <c r="A646" t="s">
        <v>1260</v>
      </c>
      <c r="B646" t="s">
        <v>1261</v>
      </c>
      <c r="C646">
        <v>0.78500000000000003</v>
      </c>
      <c r="D646">
        <v>9.6000000000000002E-2</v>
      </c>
      <c r="E646">
        <v>3.5000000000000003E-2</v>
      </c>
      <c r="F646" t="s">
        <v>794</v>
      </c>
    </row>
    <row r="647" spans="1:6" x14ac:dyDescent="0.35">
      <c r="A647" t="s">
        <v>1262</v>
      </c>
      <c r="B647" t="s">
        <v>1263</v>
      </c>
      <c r="C647">
        <v>0.45</v>
      </c>
      <c r="D647">
        <v>4.4999999999999998E-2</v>
      </c>
      <c r="E647">
        <v>0.04</v>
      </c>
      <c r="F647" t="s">
        <v>794</v>
      </c>
    </row>
    <row r="648" spans="1:6" x14ac:dyDescent="0.35">
      <c r="A648" t="s">
        <v>1264</v>
      </c>
      <c r="B648" t="s">
        <v>1265</v>
      </c>
      <c r="C648">
        <v>0.45</v>
      </c>
      <c r="D648">
        <v>4.4999999999999998E-2</v>
      </c>
      <c r="E648">
        <v>0.04</v>
      </c>
      <c r="F648" t="s">
        <v>794</v>
      </c>
    </row>
    <row r="649" spans="1:6" x14ac:dyDescent="0.35">
      <c r="A649" t="s">
        <v>1266</v>
      </c>
      <c r="B649" t="s">
        <v>1267</v>
      </c>
      <c r="C649">
        <v>0</v>
      </c>
      <c r="D649">
        <v>0</v>
      </c>
      <c r="E649">
        <v>0</v>
      </c>
      <c r="F649" t="s">
        <v>1135</v>
      </c>
    </row>
    <row r="650" spans="1:6" x14ac:dyDescent="0.35">
      <c r="A650" t="s">
        <v>1268</v>
      </c>
      <c r="B650" t="s">
        <v>1269</v>
      </c>
      <c r="C650">
        <v>0.36</v>
      </c>
      <c r="D650">
        <v>3.5000000000000003E-2</v>
      </c>
      <c r="E650">
        <v>0.03</v>
      </c>
      <c r="F650" t="s">
        <v>794</v>
      </c>
    </row>
    <row r="651" spans="1:6" x14ac:dyDescent="0.35">
      <c r="A651" t="s">
        <v>1270</v>
      </c>
      <c r="B651" t="s">
        <v>1271</v>
      </c>
      <c r="C651">
        <v>0.31</v>
      </c>
      <c r="D651">
        <v>3.7999999999999999E-2</v>
      </c>
      <c r="E651">
        <v>0.03</v>
      </c>
      <c r="F651" t="s">
        <v>794</v>
      </c>
    </row>
    <row r="652" spans="1:6" x14ac:dyDescent="0.35">
      <c r="A652" t="s">
        <v>1272</v>
      </c>
      <c r="B652" t="s">
        <v>1273</v>
      </c>
      <c r="C652">
        <v>0</v>
      </c>
      <c r="D652">
        <v>0</v>
      </c>
      <c r="E652">
        <v>0</v>
      </c>
      <c r="F652" t="s">
        <v>794</v>
      </c>
    </row>
    <row r="653" spans="1:6" x14ac:dyDescent="0.35">
      <c r="A653" t="s">
        <v>1274</v>
      </c>
      <c r="B653" t="s">
        <v>1275</v>
      </c>
      <c r="C653">
        <v>0</v>
      </c>
      <c r="D653">
        <v>0</v>
      </c>
      <c r="E653">
        <v>0</v>
      </c>
      <c r="F653" t="s">
        <v>8</v>
      </c>
    </row>
    <row r="654" spans="1:6" x14ac:dyDescent="0.35">
      <c r="A654" t="s">
        <v>1276</v>
      </c>
      <c r="B654" t="s">
        <v>1277</v>
      </c>
      <c r="C654">
        <v>0</v>
      </c>
      <c r="D654">
        <v>0</v>
      </c>
      <c r="E654">
        <v>0</v>
      </c>
      <c r="F654" t="s">
        <v>1135</v>
      </c>
    </row>
    <row r="655" spans="1:6" x14ac:dyDescent="0.35">
      <c r="A655" t="s">
        <v>1278</v>
      </c>
      <c r="B655" t="s">
        <v>1279</v>
      </c>
      <c r="C655">
        <v>0.84</v>
      </c>
      <c r="D655">
        <v>0.44500000000000001</v>
      </c>
      <c r="E655">
        <v>0.03</v>
      </c>
      <c r="F655" t="s">
        <v>8</v>
      </c>
    </row>
    <row r="656" spans="1:6" x14ac:dyDescent="0.35">
      <c r="A656" t="s">
        <v>1280</v>
      </c>
      <c r="B656" t="s">
        <v>1281</v>
      </c>
      <c r="C656">
        <v>0.57999999999999996</v>
      </c>
      <c r="D656">
        <v>0.48</v>
      </c>
      <c r="E656">
        <v>0.01</v>
      </c>
      <c r="F656" t="s">
        <v>8</v>
      </c>
    </row>
    <row r="657" spans="1:6" x14ac:dyDescent="0.35">
      <c r="A657" t="s">
        <v>1282</v>
      </c>
      <c r="B657" t="s">
        <v>1283</v>
      </c>
      <c r="C657">
        <v>0.55000000000000004</v>
      </c>
      <c r="D657">
        <v>0.06</v>
      </c>
      <c r="E657">
        <v>3.5000000000000003E-2</v>
      </c>
      <c r="F657" t="s">
        <v>794</v>
      </c>
    </row>
    <row r="658" spans="1:6" x14ac:dyDescent="0.35">
      <c r="A658" t="s">
        <v>1284</v>
      </c>
      <c r="B658" t="s">
        <v>1285</v>
      </c>
      <c r="C658">
        <v>0.438</v>
      </c>
      <c r="D658">
        <v>5.6000000000000001E-2</v>
      </c>
      <c r="E658">
        <v>3.5000000000000003E-2</v>
      </c>
      <c r="F658" t="s">
        <v>794</v>
      </c>
    </row>
    <row r="659" spans="1:6" x14ac:dyDescent="0.35">
      <c r="A659" t="s">
        <v>1286</v>
      </c>
      <c r="B659" t="s">
        <v>1287</v>
      </c>
      <c r="C659">
        <v>0.438</v>
      </c>
      <c r="D659">
        <v>5.6000000000000001E-2</v>
      </c>
      <c r="E659">
        <v>3.5000000000000003E-2</v>
      </c>
      <c r="F659" t="s">
        <v>794</v>
      </c>
    </row>
    <row r="660" spans="1:6" x14ac:dyDescent="0.35">
      <c r="A660" t="s">
        <v>1288</v>
      </c>
      <c r="B660" t="s">
        <v>1289</v>
      </c>
      <c r="C660">
        <v>0.41</v>
      </c>
      <c r="D660">
        <v>0.6</v>
      </c>
      <c r="E660">
        <v>0.03</v>
      </c>
      <c r="F660" t="s">
        <v>794</v>
      </c>
    </row>
    <row r="661" spans="1:6" x14ac:dyDescent="0.35">
      <c r="A661" t="s">
        <v>1290</v>
      </c>
      <c r="B661" t="s">
        <v>1291</v>
      </c>
      <c r="C661">
        <v>0.39500000000000002</v>
      </c>
      <c r="D661">
        <v>7.0000000000000007E-2</v>
      </c>
      <c r="E661">
        <v>0.03</v>
      </c>
      <c r="F661" t="s">
        <v>794</v>
      </c>
    </row>
    <row r="662" spans="1:6" x14ac:dyDescent="0.35">
      <c r="A662" t="s">
        <v>1292</v>
      </c>
      <c r="B662" t="s">
        <v>1293</v>
      </c>
      <c r="C662">
        <v>0.41</v>
      </c>
      <c r="D662">
        <v>0.6</v>
      </c>
      <c r="E662">
        <v>0.03</v>
      </c>
      <c r="F662" t="s">
        <v>794</v>
      </c>
    </row>
    <row r="663" spans="1:6" x14ac:dyDescent="0.35">
      <c r="A663" t="s">
        <v>1294</v>
      </c>
      <c r="B663" t="s">
        <v>1295</v>
      </c>
      <c r="C663">
        <v>1</v>
      </c>
      <c r="D663">
        <v>1</v>
      </c>
      <c r="E663">
        <v>1</v>
      </c>
      <c r="F663" t="s">
        <v>794</v>
      </c>
    </row>
    <row r="664" spans="1:6" x14ac:dyDescent="0.35">
      <c r="A664" t="s">
        <v>1296</v>
      </c>
      <c r="B664" t="s">
        <v>1297</v>
      </c>
      <c r="C664">
        <v>1.06</v>
      </c>
      <c r="D664">
        <v>0.45</v>
      </c>
      <c r="E664">
        <v>0.105</v>
      </c>
      <c r="F664" t="s">
        <v>1021</v>
      </c>
    </row>
    <row r="665" spans="1:6" x14ac:dyDescent="0.35">
      <c r="A665" t="s">
        <v>1298</v>
      </c>
      <c r="B665" t="s">
        <v>1299</v>
      </c>
      <c r="C665">
        <v>0.92</v>
      </c>
      <c r="D665">
        <v>0.05</v>
      </c>
      <c r="E665">
        <v>2.5000000000000001E-2</v>
      </c>
      <c r="F665" t="s">
        <v>85</v>
      </c>
    </row>
    <row r="666" spans="1:6" x14ac:dyDescent="0.35">
      <c r="A666" t="s">
        <v>1300</v>
      </c>
      <c r="B666" t="s">
        <v>1301</v>
      </c>
      <c r="C666">
        <v>0.92</v>
      </c>
      <c r="D666">
        <v>0.05</v>
      </c>
      <c r="E666">
        <v>2.5000000000000001E-2</v>
      </c>
      <c r="F666" t="s">
        <v>85</v>
      </c>
    </row>
    <row r="667" spans="1:6" x14ac:dyDescent="0.35">
      <c r="A667" t="s">
        <v>1302</v>
      </c>
      <c r="B667" t="s">
        <v>1199</v>
      </c>
      <c r="C667">
        <v>0.29799999999999999</v>
      </c>
      <c r="D667">
        <v>7.0000000000000007E-2</v>
      </c>
      <c r="E667">
        <v>1.7999999999999999E-2</v>
      </c>
      <c r="F667" t="s">
        <v>85</v>
      </c>
    </row>
    <row r="668" spans="1:6" x14ac:dyDescent="0.35">
      <c r="A668" t="s">
        <v>1303</v>
      </c>
      <c r="B668" t="s">
        <v>1304</v>
      </c>
      <c r="C668">
        <v>0.36</v>
      </c>
      <c r="D668">
        <v>7.0000000000000007E-2</v>
      </c>
      <c r="E668">
        <v>1.7999999999999999E-2</v>
      </c>
      <c r="F668" t="s">
        <v>85</v>
      </c>
    </row>
    <row r="669" spans="1:6" x14ac:dyDescent="0.35">
      <c r="A669" t="s">
        <v>1305</v>
      </c>
      <c r="B669" t="s">
        <v>1205</v>
      </c>
      <c r="C669">
        <v>0.36</v>
      </c>
      <c r="D669">
        <v>7.1999999999999995E-2</v>
      </c>
      <c r="E669">
        <v>1.4999999999999999E-2</v>
      </c>
      <c r="F669" t="s">
        <v>85</v>
      </c>
    </row>
    <row r="670" spans="1:6" x14ac:dyDescent="0.35">
      <c r="A670" t="s">
        <v>1306</v>
      </c>
      <c r="B670" t="s">
        <v>1307</v>
      </c>
      <c r="C670">
        <v>0.43</v>
      </c>
      <c r="D670">
        <v>5.5E-2</v>
      </c>
      <c r="E670">
        <v>2.5000000000000001E-2</v>
      </c>
      <c r="F670" t="s">
        <v>85</v>
      </c>
    </row>
    <row r="671" spans="1:6" x14ac:dyDescent="0.35">
      <c r="A671" t="s">
        <v>1308</v>
      </c>
      <c r="B671" t="s">
        <v>1309</v>
      </c>
      <c r="C671">
        <v>0.43</v>
      </c>
      <c r="D671">
        <v>5.5E-2</v>
      </c>
      <c r="E671">
        <v>2.5000000000000001E-2</v>
      </c>
      <c r="F671" t="s">
        <v>85</v>
      </c>
    </row>
    <row r="672" spans="1:6" x14ac:dyDescent="0.35">
      <c r="A672" t="s">
        <v>1310</v>
      </c>
      <c r="B672" t="s">
        <v>1311</v>
      </c>
      <c r="C672">
        <v>0.33</v>
      </c>
      <c r="D672">
        <v>0.04</v>
      </c>
      <c r="E672">
        <v>1.4999999999999999E-2</v>
      </c>
      <c r="F672" t="s">
        <v>8</v>
      </c>
    </row>
    <row r="673" spans="1:6" x14ac:dyDescent="0.35">
      <c r="A673" t="s">
        <v>1312</v>
      </c>
      <c r="B673" t="s">
        <v>1313</v>
      </c>
      <c r="C673">
        <v>0.26</v>
      </c>
      <c r="D673">
        <v>0.04</v>
      </c>
      <c r="E673">
        <v>1.4999999999999999E-2</v>
      </c>
      <c r="F673" t="s">
        <v>8</v>
      </c>
    </row>
    <row r="674" spans="1:6" x14ac:dyDescent="0.35">
      <c r="A674" t="s">
        <v>1314</v>
      </c>
      <c r="B674" t="s">
        <v>1315</v>
      </c>
      <c r="C674">
        <v>0.38500000000000001</v>
      </c>
      <c r="D674">
        <v>0.34</v>
      </c>
      <c r="E674">
        <v>0.01</v>
      </c>
      <c r="F674" t="s">
        <v>8</v>
      </c>
    </row>
    <row r="675" spans="1:6" x14ac:dyDescent="0.35">
      <c r="A675" t="s">
        <v>1316</v>
      </c>
      <c r="B675" t="s">
        <v>1317</v>
      </c>
      <c r="C675">
        <v>0.38500000000000001</v>
      </c>
      <c r="D675">
        <v>0.27</v>
      </c>
      <c r="E675">
        <v>0.02</v>
      </c>
      <c r="F675" t="s">
        <v>8</v>
      </c>
    </row>
    <row r="676" spans="1:6" x14ac:dyDescent="0.35">
      <c r="A676" t="s">
        <v>1318</v>
      </c>
      <c r="B676" t="s">
        <v>1319</v>
      </c>
      <c r="C676">
        <v>0</v>
      </c>
      <c r="D676">
        <v>0</v>
      </c>
      <c r="E676">
        <v>0</v>
      </c>
      <c r="F676" t="s">
        <v>85</v>
      </c>
    </row>
    <row r="677" spans="1:6" x14ac:dyDescent="0.35">
      <c r="A677" t="s">
        <v>1320</v>
      </c>
      <c r="B677" t="s">
        <v>1321</v>
      </c>
      <c r="C677">
        <v>0.33500000000000002</v>
      </c>
      <c r="D677">
        <v>0.04</v>
      </c>
      <c r="E677">
        <v>1.7999999999999999E-2</v>
      </c>
      <c r="F677" t="s">
        <v>8</v>
      </c>
    </row>
    <row r="678" spans="1:6" x14ac:dyDescent="0.35">
      <c r="A678" t="s">
        <v>1322</v>
      </c>
      <c r="B678" t="s">
        <v>1323</v>
      </c>
      <c r="C678">
        <v>0.33500000000000002</v>
      </c>
      <c r="D678">
        <v>7.0000000000000007E-2</v>
      </c>
      <c r="E678">
        <v>1.7999999999999999E-2</v>
      </c>
      <c r="F678" t="s">
        <v>8</v>
      </c>
    </row>
    <row r="679" spans="1:6" x14ac:dyDescent="0.35">
      <c r="A679" t="s">
        <v>1324</v>
      </c>
      <c r="B679" t="s">
        <v>1325</v>
      </c>
      <c r="C679">
        <v>0.33500000000000002</v>
      </c>
      <c r="D679">
        <v>7.0000000000000007E-2</v>
      </c>
      <c r="E679">
        <v>1.7999999999999999E-2</v>
      </c>
      <c r="F679" t="s">
        <v>8</v>
      </c>
    </row>
    <row r="680" spans="1:6" x14ac:dyDescent="0.35">
      <c r="A680" t="s">
        <v>1326</v>
      </c>
      <c r="B680" t="s">
        <v>1327</v>
      </c>
      <c r="C680">
        <v>0.33500000000000002</v>
      </c>
      <c r="D680">
        <v>7.0000000000000007E-2</v>
      </c>
      <c r="E680">
        <v>1.7999999999999999E-2</v>
      </c>
      <c r="F680" t="s">
        <v>8</v>
      </c>
    </row>
    <row r="681" spans="1:6" x14ac:dyDescent="0.35">
      <c r="A681" t="s">
        <v>1328</v>
      </c>
      <c r="B681" t="s">
        <v>1329</v>
      </c>
      <c r="C681">
        <v>0.48</v>
      </c>
      <c r="D681">
        <v>0.39200000000000002</v>
      </c>
      <c r="E681">
        <v>1.4999999999999999E-2</v>
      </c>
      <c r="F681" t="s">
        <v>8</v>
      </c>
    </row>
    <row r="682" spans="1:6" x14ac:dyDescent="0.35">
      <c r="A682" t="s">
        <v>1330</v>
      </c>
      <c r="B682" t="s">
        <v>1331</v>
      </c>
      <c r="C682">
        <v>0.37</v>
      </c>
      <c r="D682">
        <v>0.39700000000000002</v>
      </c>
      <c r="E682">
        <v>8.9999999999999993E-3</v>
      </c>
      <c r="F682" t="s">
        <v>527</v>
      </c>
    </row>
    <row r="683" spans="1:6" x14ac:dyDescent="0.35">
      <c r="A683" t="s">
        <v>1332</v>
      </c>
      <c r="B683" t="s">
        <v>1333</v>
      </c>
      <c r="C683">
        <v>0.4</v>
      </c>
      <c r="D683">
        <v>0.375</v>
      </c>
      <c r="E683">
        <v>2.5000000000000001E-2</v>
      </c>
      <c r="F683" t="s">
        <v>8</v>
      </c>
    </row>
    <row r="684" spans="1:6" x14ac:dyDescent="0.35">
      <c r="A684" t="s">
        <v>1334</v>
      </c>
      <c r="B684" t="s">
        <v>1335</v>
      </c>
      <c r="C684">
        <v>0</v>
      </c>
      <c r="D684">
        <v>0</v>
      </c>
      <c r="E684">
        <v>0</v>
      </c>
      <c r="F684" t="s">
        <v>85</v>
      </c>
    </row>
    <row r="685" spans="1:6" x14ac:dyDescent="0.35">
      <c r="A685" t="s">
        <v>1336</v>
      </c>
      <c r="B685" t="s">
        <v>1337</v>
      </c>
      <c r="C685">
        <v>0.33500000000000002</v>
      </c>
      <c r="D685">
        <v>0.04</v>
      </c>
      <c r="E685">
        <v>1.7999999999999999E-2</v>
      </c>
      <c r="F685" t="s">
        <v>8</v>
      </c>
    </row>
    <row r="686" spans="1:6" x14ac:dyDescent="0.35">
      <c r="A686" t="s">
        <v>1338</v>
      </c>
      <c r="B686" t="s">
        <v>1339</v>
      </c>
      <c r="C686">
        <v>0.33500000000000002</v>
      </c>
      <c r="D686">
        <v>7.0000000000000007E-2</v>
      </c>
      <c r="E686">
        <v>2.5000000000000001E-2</v>
      </c>
      <c r="F686" t="s">
        <v>8</v>
      </c>
    </row>
    <row r="687" spans="1:6" x14ac:dyDescent="0.35">
      <c r="A687" t="s">
        <v>1340</v>
      </c>
      <c r="B687" t="s">
        <v>1341</v>
      </c>
      <c r="C687">
        <v>0.33500000000000002</v>
      </c>
      <c r="D687">
        <v>7.0000000000000007E-2</v>
      </c>
      <c r="E687">
        <v>2.5000000000000001E-2</v>
      </c>
      <c r="F687" t="s">
        <v>8</v>
      </c>
    </row>
    <row r="688" spans="1:6" x14ac:dyDescent="0.35">
      <c r="A688" t="s">
        <v>1342</v>
      </c>
      <c r="B688" t="s">
        <v>1343</v>
      </c>
      <c r="C688">
        <v>0.33500000000000002</v>
      </c>
      <c r="D688">
        <v>7.0000000000000007E-2</v>
      </c>
      <c r="E688">
        <v>1.7999999999999999E-2</v>
      </c>
      <c r="F688" t="s">
        <v>8</v>
      </c>
    </row>
    <row r="689" spans="1:6" x14ac:dyDescent="0.35">
      <c r="A689" t="s">
        <v>1344</v>
      </c>
      <c r="B689" t="s">
        <v>1345</v>
      </c>
      <c r="C689">
        <v>0</v>
      </c>
      <c r="D689">
        <v>0</v>
      </c>
      <c r="E689">
        <v>0</v>
      </c>
      <c r="F689" t="s">
        <v>1135</v>
      </c>
    </row>
    <row r="690" spans="1:6" x14ac:dyDescent="0.35">
      <c r="A690" t="s">
        <v>1346</v>
      </c>
      <c r="B690" t="s">
        <v>1347</v>
      </c>
      <c r="C690">
        <v>0.42299999999999999</v>
      </c>
      <c r="D690">
        <v>5.0999999999999997E-2</v>
      </c>
      <c r="E690">
        <v>2.5000000000000001E-2</v>
      </c>
      <c r="F690" t="s">
        <v>8</v>
      </c>
    </row>
    <row r="691" spans="1:6" x14ac:dyDescent="0.35">
      <c r="A691" t="s">
        <v>1348</v>
      </c>
      <c r="B691" t="s">
        <v>1349</v>
      </c>
      <c r="C691">
        <v>0.92200000000000004</v>
      </c>
      <c r="D691">
        <v>0.1</v>
      </c>
      <c r="E691">
        <v>2.5000000000000001E-2</v>
      </c>
      <c r="F691" t="s">
        <v>794</v>
      </c>
    </row>
    <row r="692" spans="1:6" x14ac:dyDescent="0.35">
      <c r="A692" t="s">
        <v>1350</v>
      </c>
      <c r="B692" t="s">
        <v>1351</v>
      </c>
      <c r="C692">
        <v>0.93</v>
      </c>
      <c r="D692">
        <v>5.8000000000000003E-2</v>
      </c>
      <c r="E692">
        <v>0.03</v>
      </c>
      <c r="F692" t="s">
        <v>794</v>
      </c>
    </row>
    <row r="693" spans="1:6" x14ac:dyDescent="0.35">
      <c r="A693" t="s">
        <v>1352</v>
      </c>
      <c r="B693" t="s">
        <v>1353</v>
      </c>
      <c r="C693">
        <v>0.45</v>
      </c>
      <c r="D693">
        <v>0.22</v>
      </c>
      <c r="E693">
        <v>1.4999999999999999E-2</v>
      </c>
      <c r="F693" t="s">
        <v>527</v>
      </c>
    </row>
    <row r="694" spans="1:6" x14ac:dyDescent="0.35">
      <c r="A694" t="s">
        <v>1354</v>
      </c>
      <c r="B694" t="s">
        <v>1355</v>
      </c>
      <c r="C694">
        <v>0.45</v>
      </c>
      <c r="D694">
        <v>0.1</v>
      </c>
      <c r="E694">
        <v>1.4999999999999999E-2</v>
      </c>
      <c r="F694" t="s">
        <v>527</v>
      </c>
    </row>
    <row r="695" spans="1:6" x14ac:dyDescent="0.35">
      <c r="A695" t="s">
        <v>1356</v>
      </c>
      <c r="B695" t="s">
        <v>1357</v>
      </c>
      <c r="C695">
        <v>0.3</v>
      </c>
      <c r="D695">
        <v>0.3</v>
      </c>
      <c r="E695">
        <v>1.4999999999999999E-2</v>
      </c>
      <c r="F695" t="s">
        <v>527</v>
      </c>
    </row>
    <row r="696" spans="1:6" x14ac:dyDescent="0.35">
      <c r="A696" t="s">
        <v>1358</v>
      </c>
      <c r="B696" t="s">
        <v>1359</v>
      </c>
      <c r="C696">
        <v>0</v>
      </c>
      <c r="D696">
        <v>0</v>
      </c>
      <c r="E696">
        <v>0</v>
      </c>
      <c r="F696" t="s">
        <v>8</v>
      </c>
    </row>
    <row r="697" spans="1:6" x14ac:dyDescent="0.35">
      <c r="A697" t="s">
        <v>1360</v>
      </c>
      <c r="B697" t="s">
        <v>1361</v>
      </c>
      <c r="C697">
        <v>0.42</v>
      </c>
      <c r="D697">
        <v>3.5000000000000003E-2</v>
      </c>
      <c r="E697">
        <v>1.4999999999999999E-2</v>
      </c>
      <c r="F697" t="s">
        <v>1021</v>
      </c>
    </row>
    <row r="698" spans="1:6" x14ac:dyDescent="0.35">
      <c r="A698" t="s">
        <v>1362</v>
      </c>
      <c r="B698" t="s">
        <v>1363</v>
      </c>
      <c r="C698">
        <v>0.39</v>
      </c>
      <c r="D698">
        <v>3.5000000000000003E-2</v>
      </c>
      <c r="E698">
        <v>1.4999999999999999E-2</v>
      </c>
      <c r="F698" t="s">
        <v>527</v>
      </c>
    </row>
    <row r="699" spans="1:6" x14ac:dyDescent="0.35">
      <c r="A699" t="s">
        <v>1364</v>
      </c>
      <c r="B699" t="s">
        <v>1365</v>
      </c>
      <c r="C699">
        <v>0.42</v>
      </c>
      <c r="D699">
        <v>6.5000000000000002E-2</v>
      </c>
      <c r="E699">
        <v>1.7999999999999999E-2</v>
      </c>
      <c r="F699" t="s">
        <v>527</v>
      </c>
    </row>
    <row r="700" spans="1:6" x14ac:dyDescent="0.35">
      <c r="A700" t="s">
        <v>1366</v>
      </c>
      <c r="B700" t="s">
        <v>1367</v>
      </c>
      <c r="C700">
        <v>0.46</v>
      </c>
      <c r="D700">
        <v>5.5E-2</v>
      </c>
      <c r="E700">
        <v>8.9999999999999993E-3</v>
      </c>
      <c r="F700" t="s">
        <v>527</v>
      </c>
    </row>
    <row r="701" spans="1:6" x14ac:dyDescent="0.35">
      <c r="A701" t="s">
        <v>1368</v>
      </c>
      <c r="B701" t="s">
        <v>1369</v>
      </c>
      <c r="C701">
        <v>0.4</v>
      </c>
      <c r="D701">
        <v>5.5E-2</v>
      </c>
      <c r="E701">
        <v>8.9999999999999993E-3</v>
      </c>
      <c r="F701" t="s">
        <v>527</v>
      </c>
    </row>
    <row r="702" spans="1:6" x14ac:dyDescent="0.35">
      <c r="A702" t="s">
        <v>1370</v>
      </c>
      <c r="B702" t="s">
        <v>1371</v>
      </c>
      <c r="C702">
        <v>0.45</v>
      </c>
      <c r="D702">
        <v>0.4</v>
      </c>
      <c r="E702">
        <v>8.9999999999999993E-3</v>
      </c>
      <c r="F702" t="s">
        <v>527</v>
      </c>
    </row>
    <row r="703" spans="1:6" x14ac:dyDescent="0.35">
      <c r="A703" t="s">
        <v>1372</v>
      </c>
      <c r="B703" t="s">
        <v>1373</v>
      </c>
      <c r="C703">
        <v>0</v>
      </c>
      <c r="D703">
        <v>0</v>
      </c>
      <c r="E703">
        <v>0</v>
      </c>
      <c r="F703" t="s">
        <v>85</v>
      </c>
    </row>
    <row r="704" spans="1:6" x14ac:dyDescent="0.35">
      <c r="A704" t="s">
        <v>1374</v>
      </c>
      <c r="B704" t="s">
        <v>1375</v>
      </c>
      <c r="C704">
        <v>0.35</v>
      </c>
      <c r="D704">
        <v>7.0000000000000007E-2</v>
      </c>
      <c r="E704">
        <v>1.7999999999999999E-2</v>
      </c>
      <c r="F704" t="s">
        <v>8</v>
      </c>
    </row>
    <row r="705" spans="1:6" x14ac:dyDescent="0.35">
      <c r="A705" t="s">
        <v>1376</v>
      </c>
      <c r="B705" t="s">
        <v>1377</v>
      </c>
      <c r="C705">
        <v>0.35</v>
      </c>
      <c r="D705">
        <v>7.0000000000000007E-2</v>
      </c>
      <c r="E705">
        <v>2.5000000000000001E-2</v>
      </c>
      <c r="F705" t="s">
        <v>8</v>
      </c>
    </row>
    <row r="706" spans="1:6" x14ac:dyDescent="0.35">
      <c r="A706" t="s">
        <v>1378</v>
      </c>
      <c r="B706" t="s">
        <v>1379</v>
      </c>
      <c r="C706">
        <v>0.35</v>
      </c>
      <c r="D706">
        <v>7.0000000000000007E-2</v>
      </c>
      <c r="E706">
        <v>1.7999999999999999E-2</v>
      </c>
      <c r="F706" t="s">
        <v>8</v>
      </c>
    </row>
    <row r="707" spans="1:6" x14ac:dyDescent="0.35">
      <c r="A707" t="s">
        <v>1380</v>
      </c>
      <c r="B707" t="s">
        <v>1381</v>
      </c>
      <c r="C707">
        <v>0.35</v>
      </c>
      <c r="D707">
        <v>7.0000000000000007E-2</v>
      </c>
      <c r="E707">
        <v>1.7999999999999999E-2</v>
      </c>
      <c r="F707" t="s">
        <v>8</v>
      </c>
    </row>
    <row r="708" spans="1:6" x14ac:dyDescent="0.35">
      <c r="A708" t="s">
        <v>1382</v>
      </c>
      <c r="B708" t="s">
        <v>1383</v>
      </c>
      <c r="C708">
        <v>0.48</v>
      </c>
      <c r="D708">
        <v>0.41499999999999998</v>
      </c>
      <c r="E708">
        <v>3.0000000000000001E-3</v>
      </c>
      <c r="F708" t="s">
        <v>8</v>
      </c>
    </row>
    <row r="709" spans="1:6" x14ac:dyDescent="0.35">
      <c r="A709" t="s">
        <v>1384</v>
      </c>
      <c r="B709" t="s">
        <v>1385</v>
      </c>
      <c r="C709">
        <v>0.54</v>
      </c>
      <c r="D709">
        <v>0.42</v>
      </c>
      <c r="E709">
        <v>0.03</v>
      </c>
      <c r="F709" t="s">
        <v>8</v>
      </c>
    </row>
    <row r="710" spans="1:6" x14ac:dyDescent="0.35">
      <c r="A710" t="s">
        <v>1386</v>
      </c>
      <c r="B710" t="s">
        <v>1387</v>
      </c>
      <c r="C710">
        <v>0.47</v>
      </c>
      <c r="D710">
        <v>0.09</v>
      </c>
      <c r="E710">
        <v>0.01</v>
      </c>
      <c r="F710" t="s">
        <v>8</v>
      </c>
    </row>
    <row r="711" spans="1:6" x14ac:dyDescent="0.35">
      <c r="A711" t="s">
        <v>1388</v>
      </c>
      <c r="B711" t="s">
        <v>1389</v>
      </c>
      <c r="C711">
        <v>0.53</v>
      </c>
      <c r="D711">
        <v>0.42</v>
      </c>
      <c r="E711">
        <v>0.03</v>
      </c>
      <c r="F711" t="s">
        <v>8</v>
      </c>
    </row>
    <row r="712" spans="1:6" x14ac:dyDescent="0.35">
      <c r="A712" t="s">
        <v>1390</v>
      </c>
      <c r="B712" t="s">
        <v>1391</v>
      </c>
      <c r="C712">
        <v>0.49</v>
      </c>
      <c r="D712">
        <v>0.09</v>
      </c>
      <c r="E712">
        <v>0.01</v>
      </c>
      <c r="F712" t="s">
        <v>8</v>
      </c>
    </row>
    <row r="713" spans="1:6" x14ac:dyDescent="0.35">
      <c r="A713" t="s">
        <v>1392</v>
      </c>
      <c r="B713" t="s">
        <v>1393</v>
      </c>
      <c r="C713">
        <v>0</v>
      </c>
      <c r="D713">
        <v>0</v>
      </c>
      <c r="E713">
        <v>0</v>
      </c>
      <c r="F713" t="s">
        <v>1021</v>
      </c>
    </row>
    <row r="714" spans="1:6" x14ac:dyDescent="0.35">
      <c r="A714" t="s">
        <v>1394</v>
      </c>
      <c r="B714" t="s">
        <v>1395</v>
      </c>
      <c r="C714">
        <v>0</v>
      </c>
      <c r="D714">
        <v>0</v>
      </c>
      <c r="E714">
        <v>0</v>
      </c>
      <c r="F714" t="s">
        <v>85</v>
      </c>
    </row>
    <row r="715" spans="1:6" x14ac:dyDescent="0.35">
      <c r="A715" t="s">
        <v>1396</v>
      </c>
      <c r="B715" t="s">
        <v>1397</v>
      </c>
      <c r="C715">
        <v>0.34</v>
      </c>
      <c r="D715">
        <v>7.0000000000000007E-2</v>
      </c>
      <c r="E715">
        <v>1.7999999999999999E-2</v>
      </c>
      <c r="F715" t="s">
        <v>1021</v>
      </c>
    </row>
    <row r="716" spans="1:6" x14ac:dyDescent="0.35">
      <c r="A716" t="s">
        <v>1398</v>
      </c>
      <c r="B716" t="s">
        <v>1399</v>
      </c>
      <c r="C716">
        <v>0.44</v>
      </c>
      <c r="D716">
        <v>0.44</v>
      </c>
      <c r="E716">
        <v>1.4999999999999999E-2</v>
      </c>
      <c r="F716" t="s">
        <v>8</v>
      </c>
    </row>
    <row r="717" spans="1:6" x14ac:dyDescent="0.35">
      <c r="A717" t="s">
        <v>1400</v>
      </c>
      <c r="B717" t="s">
        <v>1401</v>
      </c>
      <c r="C717">
        <v>0.47199999999999998</v>
      </c>
      <c r="D717">
        <v>0.45</v>
      </c>
      <c r="E717">
        <v>1.4999999999999999E-2</v>
      </c>
      <c r="F717" t="s">
        <v>8</v>
      </c>
    </row>
    <row r="718" spans="1:6" x14ac:dyDescent="0.35">
      <c r="A718" t="s">
        <v>1402</v>
      </c>
      <c r="B718" t="s">
        <v>1403</v>
      </c>
      <c r="C718">
        <v>0</v>
      </c>
      <c r="D718">
        <v>0</v>
      </c>
      <c r="E718">
        <v>0</v>
      </c>
      <c r="F718" t="s">
        <v>1021</v>
      </c>
    </row>
    <row r="719" spans="1:6" x14ac:dyDescent="0.35">
      <c r="A719" t="s">
        <v>1404</v>
      </c>
      <c r="B719" t="s">
        <v>1405</v>
      </c>
      <c r="C719">
        <v>0.88</v>
      </c>
      <c r="D719">
        <v>0.05</v>
      </c>
      <c r="E719">
        <v>2.5000000000000001E-2</v>
      </c>
      <c r="F719" t="s">
        <v>8</v>
      </c>
    </row>
    <row r="720" spans="1:6" x14ac:dyDescent="0.35">
      <c r="A720" t="s">
        <v>1406</v>
      </c>
      <c r="B720" t="s">
        <v>1407</v>
      </c>
      <c r="C720">
        <v>0.88</v>
      </c>
      <c r="D720">
        <v>0.05</v>
      </c>
      <c r="E720">
        <v>2.5000000000000001E-2</v>
      </c>
      <c r="F720" t="s">
        <v>85</v>
      </c>
    </row>
    <row r="721" spans="1:6" x14ac:dyDescent="0.35">
      <c r="A721" t="s">
        <v>1408</v>
      </c>
      <c r="B721" t="s">
        <v>1409</v>
      </c>
      <c r="C721">
        <v>0.34</v>
      </c>
      <c r="D721">
        <v>7.0000000000000007E-2</v>
      </c>
      <c r="E721">
        <v>1.7999999999999999E-2</v>
      </c>
      <c r="F721" t="s">
        <v>8</v>
      </c>
    </row>
    <row r="722" spans="1:6" x14ac:dyDescent="0.35">
      <c r="A722" t="s">
        <v>1410</v>
      </c>
      <c r="B722" t="s">
        <v>1411</v>
      </c>
      <c r="C722">
        <v>0.44500000000000001</v>
      </c>
      <c r="D722">
        <v>0.28000000000000003</v>
      </c>
      <c r="E722">
        <v>1.4999999999999999E-2</v>
      </c>
      <c r="F722" t="s">
        <v>85</v>
      </c>
    </row>
    <row r="723" spans="1:6" x14ac:dyDescent="0.35">
      <c r="A723" t="s">
        <v>1412</v>
      </c>
      <c r="B723" t="s">
        <v>1413</v>
      </c>
      <c r="C723">
        <v>0.44</v>
      </c>
      <c r="D723">
        <v>0.42499999999999999</v>
      </c>
      <c r="E723">
        <v>8.9999999999999993E-3</v>
      </c>
      <c r="F723" t="s">
        <v>8</v>
      </c>
    </row>
    <row r="724" spans="1:6" x14ac:dyDescent="0.35">
      <c r="A724" t="s">
        <v>1414</v>
      </c>
      <c r="B724" t="s">
        <v>1415</v>
      </c>
      <c r="C724">
        <v>0</v>
      </c>
      <c r="D724">
        <v>0</v>
      </c>
      <c r="E724">
        <v>0</v>
      </c>
      <c r="F724" t="s">
        <v>8</v>
      </c>
    </row>
    <row r="725" spans="1:6" x14ac:dyDescent="0.35">
      <c r="A725" t="s">
        <v>1416</v>
      </c>
      <c r="B725" t="s">
        <v>1417</v>
      </c>
      <c r="C725">
        <v>0</v>
      </c>
      <c r="D725">
        <v>0</v>
      </c>
      <c r="E725">
        <v>0</v>
      </c>
      <c r="F725" t="s">
        <v>8</v>
      </c>
    </row>
    <row r="726" spans="1:6" x14ac:dyDescent="0.35">
      <c r="A726" t="s">
        <v>1418</v>
      </c>
      <c r="B726" t="s">
        <v>1419</v>
      </c>
      <c r="C726">
        <v>0</v>
      </c>
      <c r="D726">
        <v>0</v>
      </c>
      <c r="E726">
        <v>0</v>
      </c>
      <c r="F726" t="s">
        <v>8</v>
      </c>
    </row>
    <row r="727" spans="1:6" x14ac:dyDescent="0.35">
      <c r="A727" t="s">
        <v>1420</v>
      </c>
      <c r="B727" t="s">
        <v>1421</v>
      </c>
      <c r="C727">
        <v>0.45</v>
      </c>
      <c r="D727">
        <v>0.43</v>
      </c>
      <c r="E727">
        <v>0.03</v>
      </c>
      <c r="F727" t="s">
        <v>8</v>
      </c>
    </row>
    <row r="728" spans="1:6" x14ac:dyDescent="0.35">
      <c r="A728" t="s">
        <v>1422</v>
      </c>
      <c r="B728" t="s">
        <v>1423</v>
      </c>
      <c r="C728">
        <v>0</v>
      </c>
      <c r="D728">
        <v>0</v>
      </c>
      <c r="E728">
        <v>0</v>
      </c>
      <c r="F728" t="s">
        <v>8</v>
      </c>
    </row>
    <row r="729" spans="1:6" x14ac:dyDescent="0.35">
      <c r="A729" t="s">
        <v>1424</v>
      </c>
      <c r="B729" t="s">
        <v>1425</v>
      </c>
      <c r="C729">
        <v>0</v>
      </c>
      <c r="D729">
        <v>0</v>
      </c>
      <c r="E729">
        <v>0</v>
      </c>
      <c r="F729" t="s">
        <v>1135</v>
      </c>
    </row>
    <row r="730" spans="1:6" x14ac:dyDescent="0.35">
      <c r="A730" t="s">
        <v>1426</v>
      </c>
      <c r="B730" t="s">
        <v>1185</v>
      </c>
      <c r="C730">
        <v>0.51700000000000002</v>
      </c>
      <c r="D730">
        <v>5.8000000000000003E-2</v>
      </c>
      <c r="E730">
        <v>0.03</v>
      </c>
      <c r="F730" t="s">
        <v>794</v>
      </c>
    </row>
    <row r="731" spans="1:6" x14ac:dyDescent="0.35">
      <c r="A731" t="s">
        <v>1427</v>
      </c>
      <c r="B731" t="s">
        <v>1187</v>
      </c>
      <c r="C731">
        <v>0.45</v>
      </c>
      <c r="D731">
        <v>5.5E-2</v>
      </c>
      <c r="E731">
        <v>0.03</v>
      </c>
      <c r="F731" t="s">
        <v>794</v>
      </c>
    </row>
    <row r="732" spans="1:6" x14ac:dyDescent="0.35">
      <c r="A732" t="s">
        <v>1428</v>
      </c>
      <c r="B732" t="s">
        <v>1429</v>
      </c>
      <c r="C732">
        <v>0.48</v>
      </c>
      <c r="D732">
        <v>0.44</v>
      </c>
      <c r="E732">
        <v>1.4999999999999999E-2</v>
      </c>
      <c r="F732" t="s">
        <v>1021</v>
      </c>
    </row>
    <row r="733" spans="1:6" x14ac:dyDescent="0.35">
      <c r="A733" t="s">
        <v>1430</v>
      </c>
      <c r="B733" t="s">
        <v>1431</v>
      </c>
      <c r="C733">
        <v>0.44</v>
      </c>
      <c r="D733">
        <v>0.44</v>
      </c>
      <c r="E733">
        <v>1.4999999999999999E-2</v>
      </c>
      <c r="F733" t="s">
        <v>1021</v>
      </c>
    </row>
    <row r="734" spans="1:6" x14ac:dyDescent="0.35">
      <c r="A734" t="s">
        <v>1432</v>
      </c>
      <c r="B734" t="s">
        <v>1433</v>
      </c>
      <c r="C734">
        <v>0</v>
      </c>
      <c r="D734">
        <v>0</v>
      </c>
      <c r="E734">
        <v>0</v>
      </c>
      <c r="F734" t="s">
        <v>1135</v>
      </c>
    </row>
    <row r="735" spans="1:6" x14ac:dyDescent="0.35">
      <c r="A735" t="s">
        <v>1434</v>
      </c>
      <c r="B735" t="s">
        <v>1435</v>
      </c>
      <c r="C735">
        <v>0</v>
      </c>
      <c r="D735">
        <v>0</v>
      </c>
      <c r="E735">
        <v>0</v>
      </c>
      <c r="F735" t="s">
        <v>794</v>
      </c>
    </row>
    <row r="736" spans="1:6" x14ac:dyDescent="0.35">
      <c r="A736" t="s">
        <v>1436</v>
      </c>
      <c r="B736" t="s">
        <v>1437</v>
      </c>
      <c r="C736">
        <v>0</v>
      </c>
      <c r="D736">
        <v>0</v>
      </c>
      <c r="E736">
        <v>0</v>
      </c>
      <c r="F736" t="s">
        <v>794</v>
      </c>
    </row>
    <row r="737" spans="1:6" x14ac:dyDescent="0.35">
      <c r="A737" t="s">
        <v>1438</v>
      </c>
      <c r="B737" t="s">
        <v>1439</v>
      </c>
      <c r="C737">
        <v>0.44</v>
      </c>
      <c r="D737">
        <v>0.44</v>
      </c>
      <c r="E737">
        <v>1.4999999999999999E-2</v>
      </c>
      <c r="F737" t="s">
        <v>527</v>
      </c>
    </row>
    <row r="738" spans="1:6" x14ac:dyDescent="0.35">
      <c r="A738" t="s">
        <v>1440</v>
      </c>
      <c r="B738" t="s">
        <v>1441</v>
      </c>
      <c r="C738">
        <v>0.45</v>
      </c>
      <c r="D738">
        <v>4.4999999999999998E-2</v>
      </c>
      <c r="E738">
        <v>0.04</v>
      </c>
      <c r="F738" t="s">
        <v>794</v>
      </c>
    </row>
    <row r="739" spans="1:6" x14ac:dyDescent="0.35">
      <c r="A739" t="s">
        <v>1442</v>
      </c>
      <c r="B739" t="s">
        <v>1443</v>
      </c>
      <c r="C739">
        <v>0.53400000000000003</v>
      </c>
      <c r="D739">
        <v>0.06</v>
      </c>
      <c r="E739">
        <v>3.5000000000000003E-2</v>
      </c>
      <c r="F739" t="s">
        <v>794</v>
      </c>
    </row>
    <row r="740" spans="1:6" x14ac:dyDescent="0.35">
      <c r="A740" t="s">
        <v>1444</v>
      </c>
      <c r="B740" t="s">
        <v>1445</v>
      </c>
      <c r="C740">
        <v>0.53400000000000003</v>
      </c>
      <c r="D740">
        <v>0.06</v>
      </c>
      <c r="E740">
        <v>3.5000000000000003E-2</v>
      </c>
      <c r="F740" t="s">
        <v>794</v>
      </c>
    </row>
    <row r="741" spans="1:6" x14ac:dyDescent="0.35">
      <c r="A741" t="s">
        <v>1446</v>
      </c>
      <c r="B741" t="s">
        <v>1447</v>
      </c>
      <c r="C741">
        <v>0</v>
      </c>
      <c r="D741">
        <v>0</v>
      </c>
      <c r="E741">
        <v>0</v>
      </c>
      <c r="F741" t="s">
        <v>1135</v>
      </c>
    </row>
    <row r="742" spans="1:6" x14ac:dyDescent="0.35">
      <c r="A742" t="s">
        <v>1448</v>
      </c>
      <c r="B742" t="s">
        <v>1435</v>
      </c>
      <c r="C742">
        <v>0</v>
      </c>
      <c r="D742">
        <v>0</v>
      </c>
      <c r="E742">
        <v>0</v>
      </c>
      <c r="F742" t="s">
        <v>794</v>
      </c>
    </row>
    <row r="743" spans="1:6" x14ac:dyDescent="0.35">
      <c r="A743" t="s">
        <v>1449</v>
      </c>
      <c r="B743" t="s">
        <v>1441</v>
      </c>
      <c r="C743">
        <v>0.45</v>
      </c>
      <c r="D743">
        <v>4.4999999999999998E-2</v>
      </c>
      <c r="E743">
        <v>0.04</v>
      </c>
      <c r="F743" t="s">
        <v>794</v>
      </c>
    </row>
    <row r="744" spans="1:6" x14ac:dyDescent="0.35">
      <c r="A744" t="s">
        <v>1450</v>
      </c>
      <c r="B744" t="s">
        <v>1443</v>
      </c>
      <c r="C744">
        <v>0.53400000000000003</v>
      </c>
      <c r="D744">
        <v>0.06</v>
      </c>
      <c r="E744">
        <v>3.5000000000000003E-2</v>
      </c>
      <c r="F744" t="s">
        <v>794</v>
      </c>
    </row>
    <row r="745" spans="1:6" x14ac:dyDescent="0.35">
      <c r="A745" t="s">
        <v>1451</v>
      </c>
      <c r="B745" t="s">
        <v>1445</v>
      </c>
      <c r="C745">
        <v>0.53400000000000003</v>
      </c>
      <c r="D745">
        <v>0.06</v>
      </c>
      <c r="E745">
        <v>3.5000000000000003E-2</v>
      </c>
      <c r="F745" t="s">
        <v>794</v>
      </c>
    </row>
    <row r="746" spans="1:6" x14ac:dyDescent="0.35">
      <c r="A746" t="s">
        <v>1452</v>
      </c>
      <c r="B746" t="s">
        <v>1453</v>
      </c>
      <c r="C746">
        <v>0.43</v>
      </c>
      <c r="D746">
        <v>0.1</v>
      </c>
      <c r="E746">
        <v>3.0000000000000001E-3</v>
      </c>
      <c r="F746" t="s">
        <v>8</v>
      </c>
    </row>
    <row r="747" spans="1:6" x14ac:dyDescent="0.35">
      <c r="A747" t="s">
        <v>1454</v>
      </c>
      <c r="B747" t="s">
        <v>1455</v>
      </c>
      <c r="C747">
        <v>0.32500000000000001</v>
      </c>
      <c r="D747">
        <v>7.0000000000000007E-2</v>
      </c>
      <c r="E747">
        <v>1.7999999999999999E-2</v>
      </c>
      <c r="F747" t="s">
        <v>8</v>
      </c>
    </row>
    <row r="748" spans="1:6" x14ac:dyDescent="0.35">
      <c r="A748" t="s">
        <v>1456</v>
      </c>
      <c r="B748" t="s">
        <v>1457</v>
      </c>
      <c r="C748">
        <v>0.59</v>
      </c>
      <c r="D748">
        <v>0.125</v>
      </c>
      <c r="E748">
        <v>1.2E-2</v>
      </c>
      <c r="F748" t="s">
        <v>8</v>
      </c>
    </row>
    <row r="749" spans="1:6" x14ac:dyDescent="0.35">
      <c r="A749" t="s">
        <v>1458</v>
      </c>
      <c r="B749" t="s">
        <v>1459</v>
      </c>
      <c r="C749">
        <v>0.39</v>
      </c>
      <c r="D749">
        <v>4.4999999999999998E-2</v>
      </c>
      <c r="E749">
        <v>1.7999999999999999E-2</v>
      </c>
      <c r="F749" t="s">
        <v>1021</v>
      </c>
    </row>
    <row r="750" spans="1:6" x14ac:dyDescent="0.35">
      <c r="A750" t="s">
        <v>1460</v>
      </c>
      <c r="B750" t="s">
        <v>1461</v>
      </c>
      <c r="C750">
        <v>0.39</v>
      </c>
      <c r="D750">
        <v>0.06</v>
      </c>
      <c r="E750">
        <v>1.4999999999999999E-2</v>
      </c>
      <c r="F750" t="s">
        <v>527</v>
      </c>
    </row>
    <row r="751" spans="1:6" x14ac:dyDescent="0.35">
      <c r="A751" t="s">
        <v>1462</v>
      </c>
      <c r="B751" t="s">
        <v>1463</v>
      </c>
      <c r="C751">
        <v>0.38500000000000001</v>
      </c>
      <c r="D751">
        <v>0.08</v>
      </c>
      <c r="E751">
        <v>8.9999999999999993E-3</v>
      </c>
      <c r="F751" t="s">
        <v>527</v>
      </c>
    </row>
    <row r="752" spans="1:6" x14ac:dyDescent="0.35">
      <c r="A752" t="s">
        <v>1464</v>
      </c>
      <c r="B752" t="s">
        <v>1465</v>
      </c>
      <c r="C752">
        <v>0.39</v>
      </c>
      <c r="D752">
        <v>7.4999999999999997E-2</v>
      </c>
      <c r="E752">
        <v>0.02</v>
      </c>
      <c r="F752" t="s">
        <v>8</v>
      </c>
    </row>
    <row r="753" spans="1:6" x14ac:dyDescent="0.35">
      <c r="A753" t="s">
        <v>1466</v>
      </c>
      <c r="B753" t="s">
        <v>1467</v>
      </c>
      <c r="C753">
        <v>0.44</v>
      </c>
      <c r="D753">
        <v>0.08</v>
      </c>
      <c r="E753">
        <v>8.9999999999999993E-3</v>
      </c>
      <c r="F753" t="s">
        <v>527</v>
      </c>
    </row>
    <row r="754" spans="1:6" x14ac:dyDescent="0.35">
      <c r="A754" t="s">
        <v>1468</v>
      </c>
      <c r="B754" t="s">
        <v>1469</v>
      </c>
      <c r="C754">
        <v>0.45</v>
      </c>
      <c r="D754">
        <v>0.08</v>
      </c>
      <c r="E754">
        <v>2.5000000000000001E-2</v>
      </c>
      <c r="F754" t="s">
        <v>8</v>
      </c>
    </row>
    <row r="755" spans="1:6" x14ac:dyDescent="0.35">
      <c r="A755" t="s">
        <v>1470</v>
      </c>
      <c r="B755" t="s">
        <v>1471</v>
      </c>
      <c r="C755">
        <v>0.48</v>
      </c>
      <c r="D755">
        <v>0.38500000000000001</v>
      </c>
      <c r="E755">
        <v>8.9999999999999993E-3</v>
      </c>
      <c r="F755" t="s">
        <v>527</v>
      </c>
    </row>
    <row r="756" spans="1:6" x14ac:dyDescent="0.35">
      <c r="A756" t="s">
        <v>1472</v>
      </c>
      <c r="B756" t="s">
        <v>1473</v>
      </c>
      <c r="C756">
        <v>0.505</v>
      </c>
      <c r="D756">
        <v>0.15</v>
      </c>
      <c r="E756">
        <v>3.0000000000000001E-3</v>
      </c>
      <c r="F756" t="s">
        <v>8</v>
      </c>
    </row>
    <row r="757" spans="1:6" x14ac:dyDescent="0.35">
      <c r="A757" t="s">
        <v>1474</v>
      </c>
      <c r="B757" t="s">
        <v>1475</v>
      </c>
      <c r="C757">
        <v>0.30499999999999999</v>
      </c>
      <c r="D757">
        <v>7.0000000000000007E-2</v>
      </c>
      <c r="E757">
        <v>1.7999999999999999E-2</v>
      </c>
      <c r="F757" t="s">
        <v>1476</v>
      </c>
    </row>
    <row r="758" spans="1:6" x14ac:dyDescent="0.35">
      <c r="A758" t="s">
        <v>1477</v>
      </c>
      <c r="B758" t="s">
        <v>1478</v>
      </c>
      <c r="C758">
        <v>0.39</v>
      </c>
      <c r="D758">
        <v>0.04</v>
      </c>
      <c r="E758">
        <v>1.7999999999999999E-2</v>
      </c>
      <c r="F758" t="s">
        <v>527</v>
      </c>
    </row>
    <row r="759" spans="1:6" x14ac:dyDescent="0.35">
      <c r="A759" t="s">
        <v>1479</v>
      </c>
      <c r="B759" t="s">
        <v>1480</v>
      </c>
      <c r="C759">
        <v>0.42</v>
      </c>
      <c r="D759">
        <v>0.51</v>
      </c>
      <c r="E759">
        <v>3.0000000000000001E-3</v>
      </c>
      <c r="F759" t="s">
        <v>8</v>
      </c>
    </row>
    <row r="760" spans="1:6" x14ac:dyDescent="0.35">
      <c r="A760" t="s">
        <v>1481</v>
      </c>
      <c r="B760" t="s">
        <v>1482</v>
      </c>
      <c r="C760">
        <v>0</v>
      </c>
      <c r="D760">
        <v>0</v>
      </c>
      <c r="E760">
        <v>0</v>
      </c>
      <c r="F760" t="s">
        <v>1021</v>
      </c>
    </row>
    <row r="761" spans="1:6" x14ac:dyDescent="0.35">
      <c r="A761" t="s">
        <v>1483</v>
      </c>
      <c r="B761" t="s">
        <v>1484</v>
      </c>
      <c r="C761">
        <v>0.88</v>
      </c>
      <c r="D761">
        <v>0.05</v>
      </c>
      <c r="E761">
        <v>2.5000000000000001E-2</v>
      </c>
      <c r="F761" t="s">
        <v>8</v>
      </c>
    </row>
    <row r="762" spans="1:6" x14ac:dyDescent="0.35">
      <c r="A762" t="s">
        <v>1485</v>
      </c>
      <c r="B762" t="s">
        <v>1486</v>
      </c>
      <c r="C762">
        <v>0.88</v>
      </c>
      <c r="D762">
        <v>0.05</v>
      </c>
      <c r="E762">
        <v>2.5000000000000001E-2</v>
      </c>
      <c r="F762" t="s">
        <v>85</v>
      </c>
    </row>
    <row r="763" spans="1:6" x14ac:dyDescent="0.35">
      <c r="A763" t="s">
        <v>1487</v>
      </c>
      <c r="B763" t="s">
        <v>1488</v>
      </c>
      <c r="C763">
        <v>0.34</v>
      </c>
      <c r="D763">
        <v>7.0000000000000007E-2</v>
      </c>
      <c r="E763">
        <v>1.7999999999999999E-2</v>
      </c>
      <c r="F763" t="s">
        <v>8</v>
      </c>
    </row>
    <row r="764" spans="1:6" x14ac:dyDescent="0.35">
      <c r="A764" t="s">
        <v>1489</v>
      </c>
      <c r="B764" t="s">
        <v>1490</v>
      </c>
      <c r="C764">
        <v>0.44500000000000001</v>
      </c>
      <c r="D764">
        <v>0.28000000000000003</v>
      </c>
      <c r="E764">
        <v>1.4999999999999999E-2</v>
      </c>
      <c r="F764" t="s">
        <v>85</v>
      </c>
    </row>
    <row r="765" spans="1:6" x14ac:dyDescent="0.35">
      <c r="A765" t="s">
        <v>1491</v>
      </c>
      <c r="B765" t="s">
        <v>1492</v>
      </c>
      <c r="C765">
        <v>0.36</v>
      </c>
      <c r="D765">
        <v>7.0000000000000007E-2</v>
      </c>
      <c r="E765">
        <v>1.7999999999999999E-2</v>
      </c>
      <c r="F765" t="s">
        <v>85</v>
      </c>
    </row>
    <row r="766" spans="1:6" x14ac:dyDescent="0.35">
      <c r="A766" t="s">
        <v>1493</v>
      </c>
      <c r="B766" t="s">
        <v>1494</v>
      </c>
      <c r="C766">
        <v>0</v>
      </c>
      <c r="D766">
        <v>0</v>
      </c>
      <c r="E766">
        <v>0</v>
      </c>
      <c r="F766" t="s">
        <v>8</v>
      </c>
    </row>
    <row r="767" spans="1:6" x14ac:dyDescent="0.35">
      <c r="A767" t="s">
        <v>1495</v>
      </c>
      <c r="B767" t="s">
        <v>1496</v>
      </c>
      <c r="C767">
        <v>0</v>
      </c>
      <c r="D767">
        <v>0</v>
      </c>
      <c r="E767">
        <v>0</v>
      </c>
      <c r="F767" t="s">
        <v>8</v>
      </c>
    </row>
    <row r="768" spans="1:6" x14ac:dyDescent="0.35">
      <c r="A768" t="s">
        <v>1497</v>
      </c>
      <c r="B768" t="s">
        <v>1498</v>
      </c>
      <c r="C768">
        <v>0</v>
      </c>
      <c r="D768">
        <v>0</v>
      </c>
      <c r="E768">
        <v>0</v>
      </c>
      <c r="F768" t="s">
        <v>8</v>
      </c>
    </row>
    <row r="769" spans="1:6" x14ac:dyDescent="0.35">
      <c r="A769" t="s">
        <v>1499</v>
      </c>
      <c r="B769" t="s">
        <v>1500</v>
      </c>
      <c r="C769">
        <v>0.43</v>
      </c>
      <c r="D769">
        <v>5.5E-2</v>
      </c>
      <c r="E769">
        <v>2.5000000000000001E-2</v>
      </c>
      <c r="F769" t="s">
        <v>85</v>
      </c>
    </row>
    <row r="770" spans="1:6" x14ac:dyDescent="0.35">
      <c r="A770" t="s">
        <v>1501</v>
      </c>
      <c r="B770" t="s">
        <v>1502</v>
      </c>
      <c r="C770">
        <v>0.43</v>
      </c>
      <c r="D770">
        <v>5.5E-2</v>
      </c>
      <c r="E770">
        <v>2.5000000000000001E-2</v>
      </c>
      <c r="F770" t="s">
        <v>85</v>
      </c>
    </row>
    <row r="771" spans="1:6" x14ac:dyDescent="0.35">
      <c r="A771" t="s">
        <v>1503</v>
      </c>
      <c r="B771" t="s">
        <v>1504</v>
      </c>
      <c r="C771">
        <v>0.40500000000000003</v>
      </c>
      <c r="D771">
        <v>4.4999999999999998E-2</v>
      </c>
      <c r="E771">
        <v>2.5000000000000001E-2</v>
      </c>
      <c r="F771" t="s">
        <v>8</v>
      </c>
    </row>
    <row r="772" spans="1:6" x14ac:dyDescent="0.35">
      <c r="A772" t="s">
        <v>1505</v>
      </c>
      <c r="B772" t="s">
        <v>1506</v>
      </c>
      <c r="C772">
        <v>0</v>
      </c>
      <c r="D772">
        <v>0</v>
      </c>
      <c r="E772">
        <v>0</v>
      </c>
      <c r="F772" t="s">
        <v>1021</v>
      </c>
    </row>
    <row r="773" spans="1:6" x14ac:dyDescent="0.35">
      <c r="A773" t="s">
        <v>1507</v>
      </c>
      <c r="B773" t="s">
        <v>1508</v>
      </c>
      <c r="C773">
        <v>0</v>
      </c>
      <c r="D773">
        <v>0</v>
      </c>
      <c r="E773">
        <v>0</v>
      </c>
      <c r="F773" t="s">
        <v>85</v>
      </c>
    </row>
    <row r="774" spans="1:6" x14ac:dyDescent="0.35">
      <c r="A774" t="s">
        <v>1509</v>
      </c>
      <c r="B774" t="s">
        <v>1510</v>
      </c>
      <c r="C774">
        <v>0</v>
      </c>
      <c r="D774">
        <v>0</v>
      </c>
      <c r="E774">
        <v>0</v>
      </c>
      <c r="F774" t="s">
        <v>85</v>
      </c>
    </row>
    <row r="775" spans="1:6" x14ac:dyDescent="0.35">
      <c r="A775" t="s">
        <v>1511</v>
      </c>
      <c r="B775" t="s">
        <v>1512</v>
      </c>
      <c r="C775">
        <v>0.505</v>
      </c>
      <c r="D775">
        <v>0.47</v>
      </c>
      <c r="E775">
        <v>1.7999999999999999E-2</v>
      </c>
      <c r="F775" t="s">
        <v>85</v>
      </c>
    </row>
    <row r="776" spans="1:6" x14ac:dyDescent="0.35">
      <c r="A776" t="s">
        <v>1513</v>
      </c>
      <c r="B776" t="s">
        <v>1514</v>
      </c>
      <c r="C776">
        <v>0.6</v>
      </c>
      <c r="D776">
        <v>0.52</v>
      </c>
      <c r="E776">
        <v>0.03</v>
      </c>
      <c r="F776" t="s">
        <v>8</v>
      </c>
    </row>
    <row r="777" spans="1:6" x14ac:dyDescent="0.35">
      <c r="A777" t="s">
        <v>1515</v>
      </c>
      <c r="B777" t="s">
        <v>1516</v>
      </c>
      <c r="C777">
        <v>0.46</v>
      </c>
      <c r="D777">
        <v>0.43</v>
      </c>
      <c r="E777">
        <v>0.02</v>
      </c>
      <c r="F777" t="s">
        <v>8</v>
      </c>
    </row>
    <row r="778" spans="1:6" x14ac:dyDescent="0.35">
      <c r="A778" t="s">
        <v>1517</v>
      </c>
      <c r="B778" t="s">
        <v>1518</v>
      </c>
      <c r="C778">
        <v>0.73</v>
      </c>
      <c r="D778">
        <v>0.47</v>
      </c>
      <c r="E778">
        <v>0.02</v>
      </c>
      <c r="F778" t="s">
        <v>8</v>
      </c>
    </row>
    <row r="779" spans="1:6" x14ac:dyDescent="0.35">
      <c r="A779" t="s">
        <v>1519</v>
      </c>
      <c r="B779" t="s">
        <v>1520</v>
      </c>
      <c r="C779">
        <v>0.77</v>
      </c>
      <c r="D779">
        <v>0.55000000000000004</v>
      </c>
      <c r="E779">
        <v>0.01</v>
      </c>
      <c r="F779" t="s">
        <v>8</v>
      </c>
    </row>
    <row r="780" spans="1:6" x14ac:dyDescent="0.35">
      <c r="A780" t="s">
        <v>1521</v>
      </c>
      <c r="B780" t="s">
        <v>1522</v>
      </c>
      <c r="C780">
        <v>0</v>
      </c>
      <c r="D780">
        <v>0</v>
      </c>
      <c r="E780">
        <v>0</v>
      </c>
      <c r="F780" t="s">
        <v>85</v>
      </c>
    </row>
    <row r="781" spans="1:6" x14ac:dyDescent="0.35">
      <c r="A781" t="s">
        <v>1523</v>
      </c>
      <c r="B781" t="s">
        <v>1524</v>
      </c>
      <c r="C781">
        <v>0</v>
      </c>
      <c r="D781">
        <v>0</v>
      </c>
      <c r="E781">
        <v>0</v>
      </c>
      <c r="F781" t="s">
        <v>85</v>
      </c>
    </row>
    <row r="782" spans="1:6" x14ac:dyDescent="0.35">
      <c r="A782" t="s">
        <v>1525</v>
      </c>
      <c r="B782" t="s">
        <v>1526</v>
      </c>
      <c r="C782">
        <v>0.7</v>
      </c>
      <c r="D782">
        <v>0.46</v>
      </c>
      <c r="E782">
        <v>0.02</v>
      </c>
      <c r="F782" t="s">
        <v>8</v>
      </c>
    </row>
    <row r="783" spans="1:6" x14ac:dyDescent="0.35">
      <c r="A783" t="s">
        <v>1527</v>
      </c>
      <c r="B783" t="s">
        <v>1528</v>
      </c>
      <c r="C783">
        <v>0.7</v>
      </c>
      <c r="D783">
        <v>0.46</v>
      </c>
      <c r="E783">
        <v>0.02</v>
      </c>
      <c r="F783" t="s">
        <v>8</v>
      </c>
    </row>
    <row r="784" spans="1:6" x14ac:dyDescent="0.35">
      <c r="A784" t="s">
        <v>1529</v>
      </c>
      <c r="B784" t="s">
        <v>1530</v>
      </c>
      <c r="C784">
        <v>0.4</v>
      </c>
      <c r="D784">
        <v>0.2</v>
      </c>
      <c r="E784">
        <v>1.4999999999999999E-2</v>
      </c>
      <c r="F784" t="s">
        <v>85</v>
      </c>
    </row>
    <row r="785" spans="1:6" x14ac:dyDescent="0.35">
      <c r="A785" t="s">
        <v>1531</v>
      </c>
      <c r="B785" t="s">
        <v>1532</v>
      </c>
      <c r="C785">
        <v>0.4</v>
      </c>
      <c r="D785">
        <v>0.2</v>
      </c>
      <c r="E785">
        <v>1.4999999999999999E-2</v>
      </c>
      <c r="F785" t="s">
        <v>85</v>
      </c>
    </row>
    <row r="786" spans="1:6" x14ac:dyDescent="0.35">
      <c r="A786" t="s">
        <v>1533</v>
      </c>
      <c r="B786" t="s">
        <v>1534</v>
      </c>
      <c r="C786">
        <v>0.4</v>
      </c>
      <c r="D786">
        <v>0.2</v>
      </c>
      <c r="E786">
        <v>1.4999999999999999E-2</v>
      </c>
      <c r="F786" t="s">
        <v>85</v>
      </c>
    </row>
    <row r="787" spans="1:6" x14ac:dyDescent="0.35">
      <c r="A787" t="s">
        <v>1535</v>
      </c>
      <c r="B787" t="s">
        <v>1536</v>
      </c>
      <c r="C787">
        <v>0.44</v>
      </c>
      <c r="D787">
        <v>0.42499999999999999</v>
      </c>
      <c r="E787">
        <v>1.2E-2</v>
      </c>
      <c r="F787" t="s">
        <v>85</v>
      </c>
    </row>
    <row r="788" spans="1:6" x14ac:dyDescent="0.35">
      <c r="A788" t="s">
        <v>1537</v>
      </c>
      <c r="B788" t="s">
        <v>1538</v>
      </c>
      <c r="C788">
        <v>0.44</v>
      </c>
      <c r="D788">
        <v>0.42499999999999999</v>
      </c>
      <c r="E788">
        <v>0.03</v>
      </c>
      <c r="F788" t="s">
        <v>8</v>
      </c>
    </row>
    <row r="789" spans="1:6" x14ac:dyDescent="0.35">
      <c r="A789" t="s">
        <v>1539</v>
      </c>
      <c r="B789" t="s">
        <v>1540</v>
      </c>
      <c r="C789">
        <v>1.46</v>
      </c>
      <c r="D789">
        <v>0.08</v>
      </c>
      <c r="E789">
        <v>0.01</v>
      </c>
      <c r="F789" t="s">
        <v>8</v>
      </c>
    </row>
    <row r="790" spans="1:6" x14ac:dyDescent="0.35">
      <c r="A790" t="s">
        <v>1541</v>
      </c>
      <c r="B790" t="s">
        <v>1542</v>
      </c>
      <c r="C790">
        <v>0.44</v>
      </c>
      <c r="D790">
        <v>0.42499999999999999</v>
      </c>
      <c r="E790">
        <v>0.03</v>
      </c>
      <c r="F790" t="s">
        <v>8</v>
      </c>
    </row>
    <row r="791" spans="1:6" x14ac:dyDescent="0.35">
      <c r="A791" t="s">
        <v>1543</v>
      </c>
      <c r="B791" t="s">
        <v>1544</v>
      </c>
      <c r="C791">
        <v>0.44</v>
      </c>
      <c r="D791">
        <v>0.42499999999999999</v>
      </c>
      <c r="E791">
        <v>1.2E-2</v>
      </c>
      <c r="F791" t="s">
        <v>85</v>
      </c>
    </row>
    <row r="792" spans="1:6" x14ac:dyDescent="0.35">
      <c r="A792" t="s">
        <v>1545</v>
      </c>
      <c r="B792" t="s">
        <v>1546</v>
      </c>
      <c r="C792">
        <v>0.44</v>
      </c>
      <c r="D792">
        <v>0.42499999999999999</v>
      </c>
      <c r="E792">
        <v>1.2E-2</v>
      </c>
      <c r="F792" t="s">
        <v>85</v>
      </c>
    </row>
    <row r="793" spans="1:6" x14ac:dyDescent="0.35">
      <c r="A793" t="s">
        <v>1547</v>
      </c>
      <c r="B793" t="s">
        <v>1548</v>
      </c>
      <c r="C793">
        <v>0.63</v>
      </c>
      <c r="D793">
        <v>0.56999999999999995</v>
      </c>
      <c r="E793">
        <v>0.03</v>
      </c>
      <c r="F793" t="s">
        <v>8</v>
      </c>
    </row>
    <row r="794" spans="1:6" x14ac:dyDescent="0.35">
      <c r="A794" t="s">
        <v>1549</v>
      </c>
      <c r="B794" t="s">
        <v>1550</v>
      </c>
      <c r="C794">
        <v>0.4</v>
      </c>
      <c r="D794">
        <v>0.4</v>
      </c>
      <c r="E794">
        <v>0.03</v>
      </c>
      <c r="F794" t="s">
        <v>8</v>
      </c>
    </row>
    <row r="795" spans="1:6" x14ac:dyDescent="0.35">
      <c r="A795" t="s">
        <v>1551</v>
      </c>
      <c r="B795" t="s">
        <v>1552</v>
      </c>
      <c r="C795">
        <v>0.44</v>
      </c>
      <c r="D795">
        <v>0.42499999999999999</v>
      </c>
      <c r="E795">
        <v>0.03</v>
      </c>
      <c r="F795" t="s">
        <v>8</v>
      </c>
    </row>
    <row r="796" spans="1:6" x14ac:dyDescent="0.35">
      <c r="A796" t="s">
        <v>1553</v>
      </c>
      <c r="B796" t="s">
        <v>1554</v>
      </c>
      <c r="C796">
        <v>1.05</v>
      </c>
      <c r="D796">
        <v>0.56999999999999995</v>
      </c>
      <c r="E796">
        <v>0.01</v>
      </c>
      <c r="F796" t="s">
        <v>8</v>
      </c>
    </row>
    <row r="797" spans="1:6" x14ac:dyDescent="0.35">
      <c r="A797" t="s">
        <v>1555</v>
      </c>
      <c r="B797" t="s">
        <v>1556</v>
      </c>
      <c r="C797">
        <v>0.67</v>
      </c>
      <c r="D797">
        <v>0.54</v>
      </c>
      <c r="E797">
        <v>0.02</v>
      </c>
      <c r="F797" t="s">
        <v>8</v>
      </c>
    </row>
    <row r="798" spans="1:6" x14ac:dyDescent="0.35">
      <c r="A798" t="s">
        <v>1557</v>
      </c>
      <c r="B798" t="s">
        <v>1558</v>
      </c>
      <c r="C798">
        <v>0.56999999999999995</v>
      </c>
      <c r="D798">
        <v>0.15</v>
      </c>
      <c r="E798">
        <v>0.01</v>
      </c>
      <c r="F798" t="s">
        <v>8</v>
      </c>
    </row>
    <row r="799" spans="1:6" x14ac:dyDescent="0.35">
      <c r="A799" t="s">
        <v>1559</v>
      </c>
      <c r="B799" t="s">
        <v>1560</v>
      </c>
      <c r="C799">
        <v>0.44</v>
      </c>
      <c r="D799">
        <v>0.42499999999999999</v>
      </c>
      <c r="E799">
        <v>0.03</v>
      </c>
      <c r="F799" t="s">
        <v>8</v>
      </c>
    </row>
    <row r="800" spans="1:6" x14ac:dyDescent="0.35">
      <c r="A800" t="s">
        <v>1561</v>
      </c>
      <c r="B800" t="s">
        <v>1562</v>
      </c>
      <c r="C800">
        <v>0.44</v>
      </c>
      <c r="D800">
        <v>0.42499999999999999</v>
      </c>
      <c r="E800">
        <v>0.03</v>
      </c>
      <c r="F800" t="s">
        <v>8</v>
      </c>
    </row>
    <row r="801" spans="1:6" x14ac:dyDescent="0.35">
      <c r="A801" t="s">
        <v>1563</v>
      </c>
      <c r="B801" t="s">
        <v>1564</v>
      </c>
      <c r="C801">
        <v>0.44</v>
      </c>
      <c r="D801">
        <v>0.42499999999999999</v>
      </c>
      <c r="E801">
        <v>1.2E-2</v>
      </c>
      <c r="F801" t="s">
        <v>85</v>
      </c>
    </row>
    <row r="802" spans="1:6" x14ac:dyDescent="0.35">
      <c r="A802" t="s">
        <v>1565</v>
      </c>
      <c r="B802" t="s">
        <v>1566</v>
      </c>
      <c r="C802">
        <v>0.44</v>
      </c>
      <c r="D802">
        <v>0.42499999999999999</v>
      </c>
      <c r="E802">
        <v>1.2E-2</v>
      </c>
      <c r="F802" t="s">
        <v>85</v>
      </c>
    </row>
    <row r="803" spans="1:6" x14ac:dyDescent="0.35">
      <c r="A803" t="s">
        <v>1567</v>
      </c>
      <c r="B803" t="s">
        <v>1568</v>
      </c>
      <c r="C803">
        <v>0.44</v>
      </c>
      <c r="D803">
        <v>0.42499999999999999</v>
      </c>
      <c r="E803">
        <v>1.2E-2</v>
      </c>
      <c r="F803" t="s">
        <v>85</v>
      </c>
    </row>
    <row r="804" spans="1:6" x14ac:dyDescent="0.35">
      <c r="A804" t="s">
        <v>1569</v>
      </c>
      <c r="B804" t="s">
        <v>1570</v>
      </c>
      <c r="C804">
        <v>0.98</v>
      </c>
      <c r="D804">
        <v>7.0000000000000007E-2</v>
      </c>
      <c r="E804">
        <v>2.5000000000000001E-2</v>
      </c>
      <c r="F804" t="s">
        <v>85</v>
      </c>
    </row>
    <row r="805" spans="1:6" x14ac:dyDescent="0.35">
      <c r="A805" t="s">
        <v>1571</v>
      </c>
      <c r="B805" t="s">
        <v>1572</v>
      </c>
      <c r="C805">
        <v>0.98</v>
      </c>
      <c r="D805">
        <v>7.0000000000000007E-2</v>
      </c>
      <c r="E805">
        <v>2.5000000000000001E-2</v>
      </c>
      <c r="F805" t="s">
        <v>85</v>
      </c>
    </row>
    <row r="806" spans="1:6" x14ac:dyDescent="0.35">
      <c r="A806" t="s">
        <v>1573</v>
      </c>
      <c r="B806" t="s">
        <v>1574</v>
      </c>
      <c r="C806">
        <v>0.98</v>
      </c>
      <c r="D806">
        <v>7.0000000000000007E-2</v>
      </c>
      <c r="E806">
        <v>2.5000000000000001E-2</v>
      </c>
      <c r="F806" t="s">
        <v>85</v>
      </c>
    </row>
    <row r="807" spans="1:6" x14ac:dyDescent="0.35">
      <c r="A807" t="s">
        <v>1575</v>
      </c>
      <c r="B807" t="s">
        <v>1576</v>
      </c>
      <c r="C807">
        <v>0.36</v>
      </c>
      <c r="D807">
        <v>8.6999999999999994E-2</v>
      </c>
      <c r="E807">
        <v>1.4999999999999999E-2</v>
      </c>
      <c r="F807" t="s">
        <v>85</v>
      </c>
    </row>
    <row r="808" spans="1:6" x14ac:dyDescent="0.35">
      <c r="A808" t="s">
        <v>1577</v>
      </c>
      <c r="B808" t="s">
        <v>1578</v>
      </c>
      <c r="C808">
        <v>0.61</v>
      </c>
      <c r="D808">
        <v>0.09</v>
      </c>
      <c r="E808">
        <v>0.01</v>
      </c>
      <c r="F808" t="s">
        <v>85</v>
      </c>
    </row>
    <row r="809" spans="1:6" x14ac:dyDescent="0.35">
      <c r="A809" t="s">
        <v>1579</v>
      </c>
      <c r="B809" t="s">
        <v>1580</v>
      </c>
      <c r="C809">
        <v>0.61</v>
      </c>
      <c r="D809">
        <v>0.09</v>
      </c>
      <c r="E809">
        <v>0.01</v>
      </c>
      <c r="F809" t="s">
        <v>85</v>
      </c>
    </row>
    <row r="810" spans="1:6" x14ac:dyDescent="0.35">
      <c r="A810" t="s">
        <v>1581</v>
      </c>
      <c r="B810" t="s">
        <v>1582</v>
      </c>
      <c r="C810">
        <v>0.61</v>
      </c>
      <c r="D810">
        <v>0.09</v>
      </c>
      <c r="E810">
        <v>0.01</v>
      </c>
      <c r="F810" t="s">
        <v>85</v>
      </c>
    </row>
    <row r="811" spans="1:6" x14ac:dyDescent="0.35">
      <c r="A811" t="s">
        <v>1583</v>
      </c>
      <c r="B811" t="s">
        <v>1584</v>
      </c>
      <c r="C811">
        <v>0.61</v>
      </c>
      <c r="D811">
        <v>0.09</v>
      </c>
      <c r="E811">
        <v>0.01</v>
      </c>
      <c r="F811" t="s">
        <v>85</v>
      </c>
    </row>
    <row r="812" spans="1:6" x14ac:dyDescent="0.35">
      <c r="A812" t="s">
        <v>1585</v>
      </c>
      <c r="B812" t="s">
        <v>1586</v>
      </c>
      <c r="C812">
        <v>0.6</v>
      </c>
      <c r="D812">
        <v>0.44500000000000001</v>
      </c>
      <c r="E812">
        <v>1.4999999999999999E-2</v>
      </c>
      <c r="F812" t="s">
        <v>8</v>
      </c>
    </row>
    <row r="813" spans="1:6" x14ac:dyDescent="0.35">
      <c r="A813" t="s">
        <v>1587</v>
      </c>
      <c r="B813" t="s">
        <v>1588</v>
      </c>
      <c r="C813">
        <v>1.06</v>
      </c>
      <c r="D813">
        <v>0.45</v>
      </c>
      <c r="E813">
        <v>0.105</v>
      </c>
      <c r="F813" t="s">
        <v>1021</v>
      </c>
    </row>
    <row r="814" spans="1:6" x14ac:dyDescent="0.35">
      <c r="A814" t="s">
        <v>1589</v>
      </c>
      <c r="B814" t="s">
        <v>1299</v>
      </c>
      <c r="C814">
        <v>0.92</v>
      </c>
      <c r="D814">
        <v>0.05</v>
      </c>
      <c r="E814">
        <v>2.5000000000000001E-2</v>
      </c>
      <c r="F814" t="s">
        <v>85</v>
      </c>
    </row>
    <row r="815" spans="1:6" x14ac:dyDescent="0.35">
      <c r="A815" t="s">
        <v>1590</v>
      </c>
      <c r="B815" t="s">
        <v>1301</v>
      </c>
      <c r="C815">
        <v>0.92</v>
      </c>
      <c r="D815">
        <v>0.05</v>
      </c>
      <c r="E815">
        <v>2.5000000000000001E-2</v>
      </c>
      <c r="F815" t="s">
        <v>85</v>
      </c>
    </row>
    <row r="816" spans="1:6" x14ac:dyDescent="0.35">
      <c r="A816" t="s">
        <v>1591</v>
      </c>
      <c r="B816" t="s">
        <v>1592</v>
      </c>
      <c r="C816">
        <v>0</v>
      </c>
      <c r="D816">
        <v>0</v>
      </c>
      <c r="E816">
        <v>0</v>
      </c>
      <c r="F816" t="s">
        <v>1021</v>
      </c>
    </row>
    <row r="817" spans="1:6" x14ac:dyDescent="0.35">
      <c r="A817" t="s">
        <v>1593</v>
      </c>
      <c r="B817" t="s">
        <v>1195</v>
      </c>
      <c r="C817">
        <v>0.92</v>
      </c>
      <c r="D817">
        <v>0.05</v>
      </c>
      <c r="E817">
        <v>2.5000000000000001E-2</v>
      </c>
      <c r="F817" t="s">
        <v>85</v>
      </c>
    </row>
    <row r="818" spans="1:6" x14ac:dyDescent="0.35">
      <c r="A818" t="s">
        <v>1594</v>
      </c>
      <c r="B818" t="s">
        <v>1197</v>
      </c>
      <c r="C818">
        <v>0.92</v>
      </c>
      <c r="D818">
        <v>0.05</v>
      </c>
      <c r="E818">
        <v>2.5000000000000001E-2</v>
      </c>
      <c r="F818" t="s">
        <v>85</v>
      </c>
    </row>
    <row r="819" spans="1:6" x14ac:dyDescent="0.35">
      <c r="A819" t="s">
        <v>1595</v>
      </c>
      <c r="B819" t="s">
        <v>1199</v>
      </c>
      <c r="C819">
        <v>0.29799999999999999</v>
      </c>
      <c r="D819">
        <v>7.0000000000000007E-2</v>
      </c>
      <c r="E819">
        <v>1.7999999999999999E-2</v>
      </c>
      <c r="F819" t="s">
        <v>85</v>
      </c>
    </row>
    <row r="820" spans="1:6" x14ac:dyDescent="0.35">
      <c r="A820" t="s">
        <v>1596</v>
      </c>
      <c r="B820" t="s">
        <v>1203</v>
      </c>
      <c r="C820">
        <v>0.36</v>
      </c>
      <c r="D820">
        <v>7.0000000000000007E-2</v>
      </c>
      <c r="E820">
        <v>1.7999999999999999E-2</v>
      </c>
      <c r="F820" t="s">
        <v>85</v>
      </c>
    </row>
    <row r="821" spans="1:6" x14ac:dyDescent="0.35">
      <c r="A821" t="s">
        <v>1597</v>
      </c>
      <c r="B821" t="s">
        <v>1205</v>
      </c>
      <c r="C821">
        <v>0.36</v>
      </c>
      <c r="D821">
        <v>7.1999999999999995E-2</v>
      </c>
      <c r="E821">
        <v>1.4999999999999999E-2</v>
      </c>
      <c r="F821" t="s">
        <v>85</v>
      </c>
    </row>
    <row r="822" spans="1:6" x14ac:dyDescent="0.35">
      <c r="A822" t="s">
        <v>1598</v>
      </c>
      <c r="B822" t="s">
        <v>1207</v>
      </c>
      <c r="C822">
        <v>0.43</v>
      </c>
      <c r="D822">
        <v>5.5E-2</v>
      </c>
      <c r="E822">
        <v>2.5000000000000001E-2</v>
      </c>
      <c r="F822" t="s">
        <v>85</v>
      </c>
    </row>
    <row r="823" spans="1:6" x14ac:dyDescent="0.35">
      <c r="A823" t="s">
        <v>1599</v>
      </c>
      <c r="B823" t="s">
        <v>1209</v>
      </c>
      <c r="C823">
        <v>0.43</v>
      </c>
      <c r="D823">
        <v>5.5E-2</v>
      </c>
      <c r="E823">
        <v>2.5000000000000001E-2</v>
      </c>
      <c r="F823" t="s">
        <v>85</v>
      </c>
    </row>
    <row r="824" spans="1:6" x14ac:dyDescent="0.35">
      <c r="A824" t="s">
        <v>1600</v>
      </c>
      <c r="B824" t="s">
        <v>1601</v>
      </c>
      <c r="C824">
        <v>0.4</v>
      </c>
      <c r="D824">
        <v>9.7000000000000003E-2</v>
      </c>
      <c r="E824">
        <v>1.7999999999999999E-2</v>
      </c>
      <c r="F824" t="s">
        <v>8</v>
      </c>
    </row>
    <row r="825" spans="1:6" x14ac:dyDescent="0.35">
      <c r="A825" t="s">
        <v>1602</v>
      </c>
      <c r="B825" t="s">
        <v>1603</v>
      </c>
      <c r="C825">
        <v>0.04</v>
      </c>
      <c r="D825">
        <v>0.4</v>
      </c>
      <c r="E825">
        <v>1.4999999999999999E-2</v>
      </c>
      <c r="F825" t="s">
        <v>8</v>
      </c>
    </row>
    <row r="826" spans="1:6" x14ac:dyDescent="0.35">
      <c r="A826" t="s">
        <v>1604</v>
      </c>
      <c r="B826" t="s">
        <v>1605</v>
      </c>
      <c r="C826">
        <v>0.44700000000000001</v>
      </c>
      <c r="D826">
        <v>0.39800000000000002</v>
      </c>
      <c r="E826">
        <v>1.2E-2</v>
      </c>
      <c r="F826" t="s">
        <v>527</v>
      </c>
    </row>
    <row r="827" spans="1:6" x14ac:dyDescent="0.35">
      <c r="A827" t="s">
        <v>1606</v>
      </c>
      <c r="B827" t="s">
        <v>1607</v>
      </c>
      <c r="C827">
        <v>0</v>
      </c>
      <c r="D827">
        <v>0</v>
      </c>
      <c r="E827">
        <v>0</v>
      </c>
      <c r="F827" t="s">
        <v>85</v>
      </c>
    </row>
    <row r="828" spans="1:6" x14ac:dyDescent="0.35">
      <c r="A828" t="s">
        <v>1608</v>
      </c>
      <c r="B828" t="s">
        <v>1609</v>
      </c>
      <c r="C828">
        <v>0.60499999999999998</v>
      </c>
      <c r="D828">
        <v>0.40500000000000003</v>
      </c>
      <c r="E828">
        <v>0.03</v>
      </c>
      <c r="F828" t="s">
        <v>8</v>
      </c>
    </row>
    <row r="829" spans="1:6" x14ac:dyDescent="0.35">
      <c r="A829" t="s">
        <v>1610</v>
      </c>
      <c r="B829" t="s">
        <v>1611</v>
      </c>
      <c r="C829">
        <v>0.40500000000000003</v>
      </c>
      <c r="D829">
        <v>0.45500000000000002</v>
      </c>
      <c r="E829">
        <v>3.5000000000000003E-2</v>
      </c>
      <c r="F829" t="s">
        <v>8</v>
      </c>
    </row>
    <row r="830" spans="1:6" x14ac:dyDescent="0.35">
      <c r="A830" t="s">
        <v>1612</v>
      </c>
      <c r="B830" t="s">
        <v>1613</v>
      </c>
      <c r="C830">
        <v>0</v>
      </c>
      <c r="D830">
        <v>0</v>
      </c>
      <c r="E830">
        <v>0</v>
      </c>
      <c r="F830" t="s">
        <v>1021</v>
      </c>
    </row>
    <row r="831" spans="1:6" x14ac:dyDescent="0.35">
      <c r="A831" t="s">
        <v>1614</v>
      </c>
      <c r="B831" t="s">
        <v>1615</v>
      </c>
      <c r="C831">
        <v>0.44500000000000001</v>
      </c>
      <c r="D831">
        <v>0.28000000000000003</v>
      </c>
      <c r="E831">
        <v>1.4999999999999999E-2</v>
      </c>
      <c r="F831" t="s">
        <v>85</v>
      </c>
    </row>
    <row r="832" spans="1:6" x14ac:dyDescent="0.35">
      <c r="A832" t="s">
        <v>1616</v>
      </c>
      <c r="B832" t="s">
        <v>1617</v>
      </c>
      <c r="C832">
        <v>0.44500000000000001</v>
      </c>
      <c r="D832">
        <v>0.28000000000000003</v>
      </c>
      <c r="E832">
        <v>0.02</v>
      </c>
      <c r="F832" t="s">
        <v>8</v>
      </c>
    </row>
    <row r="833" spans="1:6" x14ac:dyDescent="0.35">
      <c r="A833" t="s">
        <v>1618</v>
      </c>
      <c r="B833" t="s">
        <v>1619</v>
      </c>
      <c r="C833">
        <v>0.51500000000000001</v>
      </c>
      <c r="D833">
        <v>0.315</v>
      </c>
      <c r="E833">
        <v>0.01</v>
      </c>
      <c r="F833" t="s">
        <v>8</v>
      </c>
    </row>
    <row r="834" spans="1:6" x14ac:dyDescent="0.35">
      <c r="A834" t="s">
        <v>1620</v>
      </c>
      <c r="B834" t="s">
        <v>1621</v>
      </c>
      <c r="C834">
        <v>0</v>
      </c>
      <c r="D834">
        <v>0</v>
      </c>
      <c r="E834">
        <v>0</v>
      </c>
      <c r="F834" t="s">
        <v>8</v>
      </c>
    </row>
    <row r="835" spans="1:6" x14ac:dyDescent="0.35">
      <c r="A835" t="s">
        <v>1622</v>
      </c>
      <c r="B835" t="s">
        <v>1623</v>
      </c>
      <c r="C835">
        <v>0</v>
      </c>
      <c r="D835">
        <v>0</v>
      </c>
      <c r="E835">
        <v>0</v>
      </c>
      <c r="F835" t="s">
        <v>8</v>
      </c>
    </row>
    <row r="836" spans="1:6" x14ac:dyDescent="0.35">
      <c r="A836" t="s">
        <v>1624</v>
      </c>
      <c r="B836" t="s">
        <v>1625</v>
      </c>
      <c r="C836">
        <v>0</v>
      </c>
      <c r="D836">
        <v>0</v>
      </c>
      <c r="E836">
        <v>0</v>
      </c>
      <c r="F836" t="s">
        <v>1135</v>
      </c>
    </row>
    <row r="837" spans="1:6" x14ac:dyDescent="0.35">
      <c r="A837" t="s">
        <v>1626</v>
      </c>
      <c r="B837" t="s">
        <v>1627</v>
      </c>
      <c r="C837">
        <v>0.78500000000000003</v>
      </c>
      <c r="D837">
        <v>9.6000000000000002E-2</v>
      </c>
      <c r="E837">
        <v>3.5000000000000003E-2</v>
      </c>
      <c r="F837" t="s">
        <v>794</v>
      </c>
    </row>
    <row r="838" spans="1:6" x14ac:dyDescent="0.35">
      <c r="A838" t="s">
        <v>1628</v>
      </c>
      <c r="B838" t="s">
        <v>1629</v>
      </c>
      <c r="C838">
        <v>0.78500000000000003</v>
      </c>
      <c r="D838">
        <v>9.6000000000000002E-2</v>
      </c>
      <c r="E838">
        <v>3.5000000000000003E-2</v>
      </c>
      <c r="F838" t="s">
        <v>794</v>
      </c>
    </row>
    <row r="839" spans="1:6" x14ac:dyDescent="0.35">
      <c r="A839" t="s">
        <v>1630</v>
      </c>
      <c r="B839" t="s">
        <v>1631</v>
      </c>
      <c r="C839">
        <v>0.77</v>
      </c>
      <c r="D839">
        <v>7.2999999999999995E-2</v>
      </c>
      <c r="E839">
        <v>3.5000000000000003E-2</v>
      </c>
      <c r="F839" t="s">
        <v>794</v>
      </c>
    </row>
    <row r="840" spans="1:6" x14ac:dyDescent="0.35">
      <c r="A840" t="s">
        <v>1632</v>
      </c>
      <c r="B840" t="s">
        <v>1633</v>
      </c>
      <c r="C840">
        <v>0.77</v>
      </c>
      <c r="D840">
        <v>7.2999999999999995E-2</v>
      </c>
      <c r="E840">
        <v>3.5000000000000003E-2</v>
      </c>
      <c r="F840" t="s">
        <v>794</v>
      </c>
    </row>
    <row r="841" spans="1:6" x14ac:dyDescent="0.35">
      <c r="A841" t="s">
        <v>1634</v>
      </c>
      <c r="B841" t="s">
        <v>1635</v>
      </c>
      <c r="C841">
        <v>0</v>
      </c>
      <c r="D841">
        <v>0</v>
      </c>
      <c r="E841">
        <v>0</v>
      </c>
      <c r="F841" t="s">
        <v>794</v>
      </c>
    </row>
    <row r="842" spans="1:6" x14ac:dyDescent="0.35">
      <c r="A842" t="s">
        <v>1636</v>
      </c>
      <c r="B842" t="s">
        <v>1637</v>
      </c>
      <c r="C842">
        <v>0.45</v>
      </c>
      <c r="D842">
        <v>4.4999999999999998E-2</v>
      </c>
      <c r="E842">
        <v>0.04</v>
      </c>
      <c r="F842" t="s">
        <v>794</v>
      </c>
    </row>
    <row r="843" spans="1:6" x14ac:dyDescent="0.35">
      <c r="A843" t="s">
        <v>1638</v>
      </c>
      <c r="B843" t="s">
        <v>1639</v>
      </c>
      <c r="C843">
        <v>0.45</v>
      </c>
      <c r="D843">
        <v>4.4999999999999998E-2</v>
      </c>
      <c r="E843">
        <v>0.04</v>
      </c>
      <c r="F843" t="s">
        <v>794</v>
      </c>
    </row>
    <row r="844" spans="1:6" x14ac:dyDescent="0.35">
      <c r="A844" t="s">
        <v>1640</v>
      </c>
      <c r="B844" t="s">
        <v>1641</v>
      </c>
      <c r="C844">
        <v>0.78500000000000003</v>
      </c>
      <c r="D844">
        <v>9.6000000000000002E-2</v>
      </c>
      <c r="E844">
        <v>3.5000000000000003E-2</v>
      </c>
      <c r="F844" t="s">
        <v>794</v>
      </c>
    </row>
    <row r="845" spans="1:6" x14ac:dyDescent="0.35">
      <c r="A845" t="s">
        <v>1642</v>
      </c>
      <c r="B845" t="s">
        <v>1643</v>
      </c>
      <c r="C845">
        <v>0.78500000000000003</v>
      </c>
      <c r="D845">
        <v>9.6000000000000002E-2</v>
      </c>
      <c r="E845">
        <v>3.5000000000000003E-2</v>
      </c>
      <c r="F845" t="s">
        <v>794</v>
      </c>
    </row>
    <row r="846" spans="1:6" x14ac:dyDescent="0.35">
      <c r="A846" t="s">
        <v>1644</v>
      </c>
      <c r="B846" t="s">
        <v>1645</v>
      </c>
      <c r="C846">
        <v>0.4</v>
      </c>
      <c r="D846">
        <v>6.5000000000000002E-2</v>
      </c>
      <c r="E846">
        <v>0.03</v>
      </c>
      <c r="F846" t="s">
        <v>794</v>
      </c>
    </row>
    <row r="847" spans="1:6" x14ac:dyDescent="0.35">
      <c r="A847" t="s">
        <v>1646</v>
      </c>
      <c r="B847" t="s">
        <v>1647</v>
      </c>
      <c r="C847">
        <v>0</v>
      </c>
      <c r="D847">
        <v>0</v>
      </c>
      <c r="E847">
        <v>0</v>
      </c>
      <c r="F847" t="s">
        <v>794</v>
      </c>
    </row>
    <row r="848" spans="1:6" x14ac:dyDescent="0.35">
      <c r="A848" t="s">
        <v>1648</v>
      </c>
      <c r="B848" t="s">
        <v>1649</v>
      </c>
      <c r="C848">
        <v>0.77</v>
      </c>
      <c r="D848">
        <v>7.2999999999999995E-2</v>
      </c>
      <c r="E848">
        <v>3.5000000000000003E-2</v>
      </c>
      <c r="F848" t="s">
        <v>794</v>
      </c>
    </row>
    <row r="849" spans="1:6" x14ac:dyDescent="0.35">
      <c r="A849" t="s">
        <v>1650</v>
      </c>
      <c r="B849" t="s">
        <v>1651</v>
      </c>
      <c r="C849">
        <v>0.08</v>
      </c>
      <c r="D849">
        <v>0.08</v>
      </c>
      <c r="E849">
        <v>0.03</v>
      </c>
      <c r="F849" t="s">
        <v>794</v>
      </c>
    </row>
    <row r="850" spans="1:6" x14ac:dyDescent="0.35">
      <c r="A850" t="s">
        <v>1652</v>
      </c>
      <c r="B850" t="s">
        <v>1653</v>
      </c>
      <c r="C850">
        <v>0.77</v>
      </c>
      <c r="D850">
        <v>7.2999999999999995E-2</v>
      </c>
      <c r="E850">
        <v>3.5000000000000003E-2</v>
      </c>
      <c r="F850" t="s">
        <v>794</v>
      </c>
    </row>
    <row r="851" spans="1:6" x14ac:dyDescent="0.35">
      <c r="A851" t="s">
        <v>1654</v>
      </c>
      <c r="B851" t="s">
        <v>1655</v>
      </c>
      <c r="C851">
        <v>0.45500000000000002</v>
      </c>
      <c r="D851">
        <v>0.06</v>
      </c>
      <c r="E851">
        <v>0.04</v>
      </c>
      <c r="F851" t="s">
        <v>794</v>
      </c>
    </row>
    <row r="852" spans="1:6" x14ac:dyDescent="0.35">
      <c r="A852" t="s">
        <v>1656</v>
      </c>
      <c r="B852" t="s">
        <v>1657</v>
      </c>
      <c r="C852">
        <v>0.46100000000000002</v>
      </c>
      <c r="D852">
        <v>6.5000000000000002E-2</v>
      </c>
      <c r="E852">
        <v>0.04</v>
      </c>
      <c r="F852" t="s">
        <v>794</v>
      </c>
    </row>
    <row r="853" spans="1:6" x14ac:dyDescent="0.35">
      <c r="A853" t="s">
        <v>1658</v>
      </c>
      <c r="B853" t="s">
        <v>1659</v>
      </c>
      <c r="C853">
        <v>0.49</v>
      </c>
      <c r="D853">
        <v>5.5E-2</v>
      </c>
      <c r="E853">
        <v>0.04</v>
      </c>
      <c r="F853" t="s">
        <v>794</v>
      </c>
    </row>
    <row r="854" spans="1:6" x14ac:dyDescent="0.35">
      <c r="A854" t="s">
        <v>1660</v>
      </c>
      <c r="B854" t="s">
        <v>1661</v>
      </c>
      <c r="C854">
        <v>0.35</v>
      </c>
      <c r="D854">
        <v>5.5E-2</v>
      </c>
      <c r="E854">
        <v>0.04</v>
      </c>
      <c r="F854" t="s">
        <v>794</v>
      </c>
    </row>
    <row r="855" spans="1:6" x14ac:dyDescent="0.35">
      <c r="A855" t="s">
        <v>1662</v>
      </c>
      <c r="B855" t="s">
        <v>1663</v>
      </c>
      <c r="C855">
        <v>0.34</v>
      </c>
      <c r="D855">
        <v>3.5000000000000003E-2</v>
      </c>
      <c r="E855">
        <v>1.4999999999999999E-2</v>
      </c>
      <c r="F855" t="s">
        <v>85</v>
      </c>
    </row>
    <row r="856" spans="1:6" x14ac:dyDescent="0.35">
      <c r="A856" t="s">
        <v>1664</v>
      </c>
      <c r="B856" t="s">
        <v>1665</v>
      </c>
      <c r="C856">
        <v>0.47599999999999998</v>
      </c>
      <c r="D856">
        <v>0.436</v>
      </c>
      <c r="E856">
        <v>3.0000000000000001E-3</v>
      </c>
      <c r="F856" t="s">
        <v>85</v>
      </c>
    </row>
    <row r="857" spans="1:6" x14ac:dyDescent="0.35">
      <c r="A857" t="s">
        <v>1666</v>
      </c>
      <c r="B857" t="s">
        <v>1667</v>
      </c>
      <c r="C857">
        <v>0.52500000000000002</v>
      </c>
      <c r="D857">
        <v>0.06</v>
      </c>
      <c r="E857">
        <v>1.7999999999999999E-2</v>
      </c>
      <c r="F857" t="s">
        <v>85</v>
      </c>
    </row>
    <row r="858" spans="1:6" x14ac:dyDescent="0.35">
      <c r="A858" t="s">
        <v>1668</v>
      </c>
      <c r="B858" t="s">
        <v>1669</v>
      </c>
      <c r="C858">
        <v>0.40400000000000003</v>
      </c>
      <c r="D858">
        <v>0.06</v>
      </c>
      <c r="E858">
        <v>1.4999999999999999E-2</v>
      </c>
      <c r="F858" t="s">
        <v>85</v>
      </c>
    </row>
    <row r="859" spans="1:6" x14ac:dyDescent="0.35">
      <c r="A859" t="s">
        <v>1670</v>
      </c>
      <c r="B859" t="s">
        <v>1671</v>
      </c>
      <c r="C859">
        <v>0.44</v>
      </c>
      <c r="D859">
        <v>3.5000000000000003E-2</v>
      </c>
      <c r="E859">
        <v>1.4999999999999999E-2</v>
      </c>
      <c r="F859" t="s">
        <v>85</v>
      </c>
    </row>
    <row r="860" spans="1:6" x14ac:dyDescent="0.35">
      <c r="A860" t="s">
        <v>1672</v>
      </c>
      <c r="B860" t="s">
        <v>1673</v>
      </c>
      <c r="C860">
        <v>0.53</v>
      </c>
      <c r="D860">
        <v>0.44</v>
      </c>
      <c r="E860">
        <v>3.0000000000000001E-3</v>
      </c>
      <c r="F860" t="s">
        <v>85</v>
      </c>
    </row>
    <row r="861" spans="1:6" x14ac:dyDescent="0.35">
      <c r="A861" t="s">
        <v>1674</v>
      </c>
      <c r="B861" t="s">
        <v>1675</v>
      </c>
      <c r="C861">
        <v>0.44</v>
      </c>
      <c r="D861">
        <v>0.42499999999999999</v>
      </c>
      <c r="E861">
        <v>0.03</v>
      </c>
      <c r="F861" t="s">
        <v>8</v>
      </c>
    </row>
    <row r="862" spans="1:6" x14ac:dyDescent="0.35">
      <c r="A862" t="s">
        <v>1676</v>
      </c>
      <c r="B862" t="s">
        <v>1677</v>
      </c>
      <c r="C862">
        <v>1.28</v>
      </c>
      <c r="D862">
        <v>7.1999999999999995E-2</v>
      </c>
      <c r="E862">
        <v>0.01</v>
      </c>
      <c r="F862" t="s">
        <v>8</v>
      </c>
    </row>
    <row r="863" spans="1:6" x14ac:dyDescent="0.35">
      <c r="A863" t="s">
        <v>1678</v>
      </c>
      <c r="B863" t="s">
        <v>1679</v>
      </c>
      <c r="C863">
        <v>0.59</v>
      </c>
      <c r="D863">
        <v>0.44</v>
      </c>
      <c r="E863">
        <v>0.01</v>
      </c>
      <c r="F863" t="s">
        <v>8</v>
      </c>
    </row>
    <row r="864" spans="1:6" x14ac:dyDescent="0.35">
      <c r="A864" t="s">
        <v>1680</v>
      </c>
      <c r="B864" t="s">
        <v>1681</v>
      </c>
      <c r="C864">
        <v>0.56999999999999995</v>
      </c>
      <c r="D864">
        <v>0.08</v>
      </c>
      <c r="E864">
        <v>0.01</v>
      </c>
      <c r="F864" t="s">
        <v>8</v>
      </c>
    </row>
    <row r="865" spans="1:6" x14ac:dyDescent="0.35">
      <c r="A865" t="s">
        <v>1682</v>
      </c>
      <c r="B865" t="s">
        <v>1683</v>
      </c>
      <c r="C865">
        <v>0</v>
      </c>
      <c r="D865">
        <v>0</v>
      </c>
      <c r="E865">
        <v>0</v>
      </c>
      <c r="F865" t="s">
        <v>1135</v>
      </c>
    </row>
    <row r="866" spans="1:6" x14ac:dyDescent="0.35">
      <c r="A866" t="s">
        <v>1684</v>
      </c>
      <c r="B866" t="s">
        <v>1685</v>
      </c>
      <c r="C866">
        <v>0</v>
      </c>
      <c r="D866">
        <v>0</v>
      </c>
      <c r="E866">
        <v>0</v>
      </c>
      <c r="F866" t="s">
        <v>8</v>
      </c>
    </row>
    <row r="867" spans="1:6" x14ac:dyDescent="0.35">
      <c r="A867" t="s">
        <v>1686</v>
      </c>
      <c r="B867" t="s">
        <v>1687</v>
      </c>
      <c r="C867">
        <v>0</v>
      </c>
      <c r="D867">
        <v>0</v>
      </c>
      <c r="E867">
        <v>0</v>
      </c>
      <c r="F867" t="s">
        <v>1135</v>
      </c>
    </row>
    <row r="868" spans="1:6" x14ac:dyDescent="0.35">
      <c r="A868" t="s">
        <v>1688</v>
      </c>
      <c r="B868" t="s">
        <v>1689</v>
      </c>
      <c r="C868">
        <v>0.54</v>
      </c>
      <c r="D868">
        <v>0.41</v>
      </c>
      <c r="E868">
        <v>3.0000000000000001E-3</v>
      </c>
      <c r="F868" t="s">
        <v>8</v>
      </c>
    </row>
    <row r="869" spans="1:6" x14ac:dyDescent="0.35">
      <c r="A869" t="s">
        <v>1690</v>
      </c>
      <c r="B869" t="s">
        <v>1691</v>
      </c>
      <c r="C869">
        <v>0.39</v>
      </c>
      <c r="D869">
        <v>0.06</v>
      </c>
      <c r="E869">
        <v>0.02</v>
      </c>
      <c r="F869" t="s">
        <v>527</v>
      </c>
    </row>
    <row r="870" spans="1:6" x14ac:dyDescent="0.35">
      <c r="A870" t="s">
        <v>1692</v>
      </c>
      <c r="B870" t="s">
        <v>1693</v>
      </c>
      <c r="C870">
        <v>0.39</v>
      </c>
      <c r="D870">
        <v>0.04</v>
      </c>
      <c r="E870">
        <v>0.02</v>
      </c>
      <c r="F870" t="s">
        <v>527</v>
      </c>
    </row>
    <row r="871" spans="1:6" x14ac:dyDescent="0.35">
      <c r="A871" t="s">
        <v>1694</v>
      </c>
      <c r="B871" t="s">
        <v>1695</v>
      </c>
      <c r="C871">
        <v>0.625</v>
      </c>
      <c r="D871">
        <v>0.435</v>
      </c>
      <c r="E871">
        <v>2.5000000000000001E-2</v>
      </c>
      <c r="F871" t="s">
        <v>8</v>
      </c>
    </row>
    <row r="872" spans="1:6" x14ac:dyDescent="0.35">
      <c r="A872" t="s">
        <v>1696</v>
      </c>
      <c r="B872" t="s">
        <v>1697</v>
      </c>
      <c r="C872">
        <v>0.63</v>
      </c>
      <c r="D872">
        <v>0.1</v>
      </c>
      <c r="E872">
        <v>0.01</v>
      </c>
      <c r="F872" t="s">
        <v>8</v>
      </c>
    </row>
    <row r="873" spans="1:6" x14ac:dyDescent="0.35">
      <c r="A873" t="s">
        <v>1698</v>
      </c>
      <c r="B873" t="s">
        <v>1699</v>
      </c>
      <c r="C873">
        <v>0</v>
      </c>
      <c r="D873">
        <v>0</v>
      </c>
      <c r="E873">
        <v>0</v>
      </c>
      <c r="F873" t="s">
        <v>1135</v>
      </c>
    </row>
    <row r="874" spans="1:6" x14ac:dyDescent="0.35">
      <c r="A874" t="s">
        <v>1700</v>
      </c>
      <c r="B874" t="s">
        <v>1701</v>
      </c>
      <c r="C874">
        <v>0.28000000000000003</v>
      </c>
      <c r="D874">
        <v>7.0000000000000007E-2</v>
      </c>
      <c r="E874">
        <v>1.7999999999999999E-2</v>
      </c>
      <c r="F874" t="s">
        <v>1476</v>
      </c>
    </row>
    <row r="875" spans="1:6" x14ac:dyDescent="0.35">
      <c r="A875" t="s">
        <v>1702</v>
      </c>
      <c r="B875" t="s">
        <v>1703</v>
      </c>
      <c r="C875">
        <v>0.39</v>
      </c>
      <c r="D875">
        <v>0.15</v>
      </c>
      <c r="E875">
        <v>1.4999999999999999E-2</v>
      </c>
      <c r="F875" t="s">
        <v>527</v>
      </c>
    </row>
    <row r="876" spans="1:6" x14ac:dyDescent="0.35">
      <c r="A876" t="s">
        <v>1704</v>
      </c>
      <c r="B876" t="s">
        <v>1478</v>
      </c>
      <c r="C876">
        <v>0.39</v>
      </c>
      <c r="D876">
        <v>0.04</v>
      </c>
      <c r="E876">
        <v>1.7999999999999999E-2</v>
      </c>
      <c r="F876" t="s">
        <v>527</v>
      </c>
    </row>
    <row r="877" spans="1:6" x14ac:dyDescent="0.35">
      <c r="A877" t="s">
        <v>1705</v>
      </c>
      <c r="B877" t="s">
        <v>1461</v>
      </c>
      <c r="C877">
        <v>0.39</v>
      </c>
      <c r="D877">
        <v>0.06</v>
      </c>
      <c r="E877">
        <v>1.4999999999999999E-2</v>
      </c>
      <c r="F877" t="s">
        <v>527</v>
      </c>
    </row>
    <row r="878" spans="1:6" x14ac:dyDescent="0.35">
      <c r="A878" t="s">
        <v>1706</v>
      </c>
      <c r="B878" t="s">
        <v>1707</v>
      </c>
      <c r="C878">
        <v>0.39</v>
      </c>
      <c r="D878">
        <v>8.5000000000000006E-2</v>
      </c>
      <c r="E878">
        <v>1.2E-2</v>
      </c>
      <c r="F878" t="s">
        <v>527</v>
      </c>
    </row>
    <row r="879" spans="1:6" x14ac:dyDescent="0.35">
      <c r="A879" t="s">
        <v>1708</v>
      </c>
      <c r="B879" t="s">
        <v>1709</v>
      </c>
      <c r="C879">
        <v>0.43</v>
      </c>
      <c r="D879">
        <v>0.39</v>
      </c>
      <c r="E879">
        <v>8.9999999999999993E-3</v>
      </c>
      <c r="F879" t="s">
        <v>527</v>
      </c>
    </row>
    <row r="880" spans="1:6" x14ac:dyDescent="0.35">
      <c r="A880" t="s">
        <v>1710</v>
      </c>
      <c r="B880" t="s">
        <v>1711</v>
      </c>
      <c r="C880">
        <v>0.65</v>
      </c>
      <c r="D880">
        <v>0.1</v>
      </c>
      <c r="E880">
        <v>1.2E-2</v>
      </c>
      <c r="F880" t="s">
        <v>8</v>
      </c>
    </row>
    <row r="881" spans="1:6" x14ac:dyDescent="0.35">
      <c r="A881" t="s">
        <v>1712</v>
      </c>
      <c r="B881" t="s">
        <v>1713</v>
      </c>
      <c r="C881">
        <v>0.39</v>
      </c>
      <c r="D881">
        <v>0.08</v>
      </c>
      <c r="E881">
        <v>8.9999999999999993E-3</v>
      </c>
      <c r="F881" t="s">
        <v>527</v>
      </c>
    </row>
    <row r="882" spans="1:6" x14ac:dyDescent="0.35">
      <c r="A882" t="s">
        <v>1714</v>
      </c>
      <c r="B882" t="s">
        <v>1715</v>
      </c>
      <c r="C882">
        <v>0.495</v>
      </c>
      <c r="D882">
        <v>0.41499999999999998</v>
      </c>
      <c r="E882">
        <v>0.04</v>
      </c>
      <c r="F882" t="s">
        <v>8</v>
      </c>
    </row>
    <row r="883" spans="1:6" x14ac:dyDescent="0.35">
      <c r="A883" t="s">
        <v>1716</v>
      </c>
      <c r="B883" t="s">
        <v>1717</v>
      </c>
      <c r="C883">
        <v>0.42199999999999999</v>
      </c>
      <c r="D883">
        <v>0.13</v>
      </c>
      <c r="E883">
        <v>0.01</v>
      </c>
      <c r="F883" t="s">
        <v>8</v>
      </c>
    </row>
    <row r="884" spans="1:6" x14ac:dyDescent="0.35">
      <c r="A884" t="s">
        <v>1718</v>
      </c>
      <c r="B884" t="s">
        <v>1719</v>
      </c>
      <c r="C884">
        <v>0.39</v>
      </c>
      <c r="D884">
        <v>0.02</v>
      </c>
      <c r="E884">
        <v>1.4999999999999999E-2</v>
      </c>
      <c r="F884" t="s">
        <v>527</v>
      </c>
    </row>
    <row r="885" spans="1:6" x14ac:dyDescent="0.35">
      <c r="A885" t="s">
        <v>1720</v>
      </c>
      <c r="B885" t="s">
        <v>1721</v>
      </c>
      <c r="C885">
        <v>0.46</v>
      </c>
      <c r="D885">
        <v>3.5000000000000003E-2</v>
      </c>
      <c r="E885">
        <v>0.04</v>
      </c>
      <c r="F885" t="s">
        <v>794</v>
      </c>
    </row>
    <row r="886" spans="1:6" x14ac:dyDescent="0.35">
      <c r="A886" t="s">
        <v>1722</v>
      </c>
      <c r="B886" t="s">
        <v>1723</v>
      </c>
      <c r="C886">
        <v>0.35099999999999998</v>
      </c>
      <c r="D886">
        <v>0.06</v>
      </c>
      <c r="E886">
        <v>3.5000000000000003E-2</v>
      </c>
      <c r="F886" t="s">
        <v>794</v>
      </c>
    </row>
    <row r="887" spans="1:6" x14ac:dyDescent="0.35">
      <c r="A887" t="s">
        <v>1724</v>
      </c>
      <c r="B887" t="s">
        <v>1725</v>
      </c>
      <c r="C887">
        <v>0</v>
      </c>
      <c r="D887">
        <v>0</v>
      </c>
      <c r="E887">
        <v>0</v>
      </c>
      <c r="F887" t="s">
        <v>1021</v>
      </c>
    </row>
    <row r="888" spans="1:6" x14ac:dyDescent="0.35">
      <c r="A888" t="s">
        <v>1726</v>
      </c>
      <c r="B888" t="s">
        <v>1727</v>
      </c>
      <c r="C888">
        <v>0.315</v>
      </c>
      <c r="D888">
        <v>7.0000000000000007E-2</v>
      </c>
      <c r="E888">
        <v>1.7999999999999999E-2</v>
      </c>
      <c r="F888" t="s">
        <v>1476</v>
      </c>
    </row>
    <row r="889" spans="1:6" x14ac:dyDescent="0.35">
      <c r="A889" t="s">
        <v>1728</v>
      </c>
      <c r="B889" t="s">
        <v>1729</v>
      </c>
      <c r="C889">
        <v>0.48</v>
      </c>
      <c r="D889">
        <v>0.08</v>
      </c>
      <c r="E889">
        <v>2.5000000000000001E-2</v>
      </c>
      <c r="F889" t="s">
        <v>8</v>
      </c>
    </row>
    <row r="890" spans="1:6" x14ac:dyDescent="0.35">
      <c r="A890" t="s">
        <v>1730</v>
      </c>
      <c r="B890" t="s">
        <v>1731</v>
      </c>
      <c r="C890">
        <v>0.40500000000000003</v>
      </c>
      <c r="D890">
        <v>4.4999999999999998E-2</v>
      </c>
      <c r="E890">
        <v>2.5000000000000001E-2</v>
      </c>
      <c r="F890" t="s">
        <v>8</v>
      </c>
    </row>
    <row r="891" spans="1:6" x14ac:dyDescent="0.35">
      <c r="A891" t="s">
        <v>1732</v>
      </c>
      <c r="B891" t="s">
        <v>1733</v>
      </c>
      <c r="C891">
        <v>0.32500000000000001</v>
      </c>
      <c r="D891">
        <v>7.0000000000000007E-2</v>
      </c>
      <c r="E891">
        <v>1.7999999999999999E-2</v>
      </c>
      <c r="F891" t="s">
        <v>8</v>
      </c>
    </row>
    <row r="892" spans="1:6" x14ac:dyDescent="0.35">
      <c r="A892" t="s">
        <v>1734</v>
      </c>
      <c r="B892" t="s">
        <v>1735</v>
      </c>
      <c r="C892">
        <v>0.39</v>
      </c>
      <c r="D892">
        <v>0.45</v>
      </c>
      <c r="E892">
        <v>1.4999999999999999E-2</v>
      </c>
      <c r="F892" t="s">
        <v>8</v>
      </c>
    </row>
    <row r="893" spans="1:6" x14ac:dyDescent="0.35">
      <c r="A893" t="s">
        <v>1736</v>
      </c>
      <c r="B893" t="s">
        <v>1737</v>
      </c>
      <c r="C893">
        <v>0.48</v>
      </c>
      <c r="D893">
        <v>0.08</v>
      </c>
      <c r="E893">
        <v>2.5000000000000001E-2</v>
      </c>
      <c r="F893" t="s">
        <v>8</v>
      </c>
    </row>
    <row r="894" spans="1:6" x14ac:dyDescent="0.35">
      <c r="A894" t="s">
        <v>1738</v>
      </c>
      <c r="B894" t="s">
        <v>1739</v>
      </c>
      <c r="C894">
        <v>0.42</v>
      </c>
      <c r="D894">
        <v>0.51</v>
      </c>
      <c r="E894">
        <v>3.0000000000000001E-3</v>
      </c>
      <c r="F894" t="s">
        <v>8</v>
      </c>
    </row>
    <row r="895" spans="1:6" x14ac:dyDescent="0.35">
      <c r="A895" t="s">
        <v>1740</v>
      </c>
      <c r="B895" t="s">
        <v>1741</v>
      </c>
      <c r="C895">
        <v>0.39</v>
      </c>
      <c r="D895">
        <v>0.04</v>
      </c>
      <c r="E895">
        <v>2.5000000000000001E-2</v>
      </c>
      <c r="F895" t="s">
        <v>8</v>
      </c>
    </row>
    <row r="896" spans="1:6" x14ac:dyDescent="0.35">
      <c r="A896" t="s">
        <v>1742</v>
      </c>
      <c r="B896" t="s">
        <v>1743</v>
      </c>
      <c r="C896">
        <v>0.59</v>
      </c>
      <c r="D896">
        <v>0.1</v>
      </c>
      <c r="E896">
        <v>1.2E-2</v>
      </c>
      <c r="F896" t="s">
        <v>8</v>
      </c>
    </row>
    <row r="897" spans="1:6" x14ac:dyDescent="0.35">
      <c r="A897" t="s">
        <v>1744</v>
      </c>
      <c r="B897" t="s">
        <v>1745</v>
      </c>
      <c r="C897">
        <v>0.39</v>
      </c>
      <c r="D897">
        <v>0.06</v>
      </c>
      <c r="E897">
        <v>1.4999999999999999E-2</v>
      </c>
      <c r="F897" t="s">
        <v>8</v>
      </c>
    </row>
    <row r="898" spans="1:6" x14ac:dyDescent="0.35">
      <c r="A898" t="s">
        <v>1746</v>
      </c>
      <c r="B898" t="s">
        <v>1747</v>
      </c>
      <c r="C898">
        <v>0.39</v>
      </c>
      <c r="D898">
        <v>0.4</v>
      </c>
      <c r="E898">
        <v>1.4999999999999999E-2</v>
      </c>
      <c r="F898" t="s">
        <v>527</v>
      </c>
    </row>
    <row r="899" spans="1:6" x14ac:dyDescent="0.35">
      <c r="A899" t="s">
        <v>1748</v>
      </c>
      <c r="B899" t="s">
        <v>1749</v>
      </c>
      <c r="C899">
        <v>0.59</v>
      </c>
      <c r="D899">
        <v>0.44500000000000001</v>
      </c>
      <c r="E899">
        <v>0.01</v>
      </c>
      <c r="F899" t="s">
        <v>8</v>
      </c>
    </row>
    <row r="900" spans="1:6" x14ac:dyDescent="0.35">
      <c r="A900" t="s">
        <v>1750</v>
      </c>
      <c r="B900" t="s">
        <v>1751</v>
      </c>
      <c r="C900">
        <v>0.54</v>
      </c>
      <c r="D900">
        <v>0.09</v>
      </c>
      <c r="E900">
        <v>1.2E-2</v>
      </c>
      <c r="F900" t="s">
        <v>8</v>
      </c>
    </row>
    <row r="901" spans="1:6" x14ac:dyDescent="0.35">
      <c r="A901" t="s">
        <v>1752</v>
      </c>
      <c r="B901" t="s">
        <v>1753</v>
      </c>
      <c r="C901">
        <v>0.42</v>
      </c>
      <c r="D901">
        <v>0.47</v>
      </c>
      <c r="E901">
        <v>3.0000000000000001E-3</v>
      </c>
      <c r="F901" t="s">
        <v>8</v>
      </c>
    </row>
    <row r="902" spans="1:6" x14ac:dyDescent="0.35">
      <c r="A902" t="s">
        <v>1754</v>
      </c>
      <c r="B902" t="s">
        <v>1755</v>
      </c>
      <c r="C902">
        <v>0.23</v>
      </c>
      <c r="D902">
        <v>0.47</v>
      </c>
      <c r="E902">
        <v>3.0000000000000001E-3</v>
      </c>
      <c r="F902" t="s">
        <v>8</v>
      </c>
    </row>
    <row r="903" spans="1:6" x14ac:dyDescent="0.35">
      <c r="A903" t="s">
        <v>1756</v>
      </c>
      <c r="B903" t="s">
        <v>1757</v>
      </c>
      <c r="C903">
        <v>0.56000000000000005</v>
      </c>
      <c r="D903">
        <v>0.44500000000000001</v>
      </c>
      <c r="E903">
        <v>0.01</v>
      </c>
      <c r="F903" t="s">
        <v>8</v>
      </c>
    </row>
    <row r="904" spans="1:6" x14ac:dyDescent="0.35">
      <c r="A904" t="s">
        <v>1758</v>
      </c>
      <c r="B904" t="s">
        <v>1759</v>
      </c>
      <c r="C904">
        <v>0.6</v>
      </c>
      <c r="D904">
        <v>0.11</v>
      </c>
      <c r="E904">
        <v>0.01</v>
      </c>
      <c r="F904" t="s">
        <v>8</v>
      </c>
    </row>
    <row r="905" spans="1:6" x14ac:dyDescent="0.35">
      <c r="A905" t="s">
        <v>1760</v>
      </c>
      <c r="B905" t="s">
        <v>1761</v>
      </c>
      <c r="C905">
        <v>0.54500000000000004</v>
      </c>
      <c r="D905">
        <v>0.40500000000000003</v>
      </c>
      <c r="E905">
        <v>0.03</v>
      </c>
      <c r="F905" t="s">
        <v>8</v>
      </c>
    </row>
    <row r="906" spans="1:6" x14ac:dyDescent="0.35">
      <c r="A906" t="s">
        <v>1762</v>
      </c>
      <c r="B906" t="s">
        <v>1763</v>
      </c>
      <c r="C906">
        <v>0.47699999999999998</v>
      </c>
      <c r="D906">
        <v>0.12</v>
      </c>
      <c r="E906">
        <v>0.01</v>
      </c>
      <c r="F906" t="s">
        <v>8</v>
      </c>
    </row>
    <row r="907" spans="1:6" x14ac:dyDescent="0.35">
      <c r="A907" t="s">
        <v>1764</v>
      </c>
      <c r="B907" t="s">
        <v>1765</v>
      </c>
      <c r="C907">
        <v>0.4</v>
      </c>
      <c r="D907">
        <v>0.06</v>
      </c>
      <c r="E907">
        <v>0.01</v>
      </c>
      <c r="F907" t="s">
        <v>8</v>
      </c>
    </row>
    <row r="908" spans="1:6" x14ac:dyDescent="0.35">
      <c r="A908" t="s">
        <v>1766</v>
      </c>
      <c r="B908" t="s">
        <v>1767</v>
      </c>
      <c r="C908">
        <v>0.44</v>
      </c>
      <c r="D908">
        <v>0.42499999999999999</v>
      </c>
      <c r="E908">
        <v>0.03</v>
      </c>
      <c r="F908" t="s">
        <v>8</v>
      </c>
    </row>
    <row r="909" spans="1:6" x14ac:dyDescent="0.35">
      <c r="A909" t="s">
        <v>1768</v>
      </c>
      <c r="B909" t="s">
        <v>1769</v>
      </c>
      <c r="C909">
        <v>1.3</v>
      </c>
      <c r="D909">
        <v>0.08</v>
      </c>
      <c r="E909">
        <v>0.01</v>
      </c>
      <c r="F909" t="s">
        <v>8</v>
      </c>
    </row>
    <row r="910" spans="1:6" x14ac:dyDescent="0.35">
      <c r="A910" t="s">
        <v>1770</v>
      </c>
      <c r="B910" t="s">
        <v>1771</v>
      </c>
      <c r="C910">
        <v>0.45</v>
      </c>
      <c r="D910">
        <v>0.44</v>
      </c>
      <c r="E910">
        <v>0.02</v>
      </c>
      <c r="F910" t="s">
        <v>8</v>
      </c>
    </row>
    <row r="911" spans="1:6" x14ac:dyDescent="0.35">
      <c r="A911" t="s">
        <v>1772</v>
      </c>
      <c r="B911" t="s">
        <v>1773</v>
      </c>
      <c r="C911">
        <v>0.52</v>
      </c>
      <c r="D911">
        <v>0.52</v>
      </c>
      <c r="E911">
        <v>0.01</v>
      </c>
      <c r="F911" t="s">
        <v>8</v>
      </c>
    </row>
    <row r="912" spans="1:6" x14ac:dyDescent="0.35">
      <c r="A912" t="s">
        <v>1774</v>
      </c>
      <c r="B912" t="s">
        <v>1775</v>
      </c>
      <c r="C912">
        <v>0.44</v>
      </c>
      <c r="D912">
        <v>0.44</v>
      </c>
      <c r="E912">
        <v>1.4999999999999999E-2</v>
      </c>
      <c r="F912" t="s">
        <v>527</v>
      </c>
    </row>
    <row r="913" spans="1:6" x14ac:dyDescent="0.35">
      <c r="A913" t="s">
        <v>1776</v>
      </c>
      <c r="B913" t="s">
        <v>1777</v>
      </c>
      <c r="C913">
        <v>0.46</v>
      </c>
      <c r="D913">
        <v>3.5000000000000003E-2</v>
      </c>
      <c r="E913">
        <v>0.04</v>
      </c>
      <c r="F913" t="s">
        <v>794</v>
      </c>
    </row>
    <row r="914" spans="1:6" x14ac:dyDescent="0.35">
      <c r="A914" t="s">
        <v>1778</v>
      </c>
      <c r="B914" t="s">
        <v>1779</v>
      </c>
      <c r="C914">
        <v>0.35</v>
      </c>
      <c r="D914">
        <v>0.06</v>
      </c>
      <c r="E914">
        <v>3.5000000000000003E-2</v>
      </c>
      <c r="F914" t="s">
        <v>794</v>
      </c>
    </row>
    <row r="915" spans="1:6" x14ac:dyDescent="0.35">
      <c r="A915" t="s">
        <v>1780</v>
      </c>
      <c r="B915" t="s">
        <v>1781</v>
      </c>
      <c r="C915">
        <v>0</v>
      </c>
      <c r="D915">
        <v>0</v>
      </c>
      <c r="E915">
        <v>0</v>
      </c>
      <c r="F915" t="s">
        <v>8</v>
      </c>
    </row>
    <row r="916" spans="1:6" x14ac:dyDescent="0.35">
      <c r="A916" t="s">
        <v>1782</v>
      </c>
      <c r="B916" t="s">
        <v>1783</v>
      </c>
      <c r="C916">
        <v>0.441</v>
      </c>
      <c r="D916">
        <v>0.06</v>
      </c>
      <c r="E916">
        <v>2.5000000000000001E-2</v>
      </c>
      <c r="F916" t="s">
        <v>8</v>
      </c>
    </row>
    <row r="917" spans="1:6" x14ac:dyDescent="0.35">
      <c r="A917" t="s">
        <v>1784</v>
      </c>
      <c r="B917" t="s">
        <v>1785</v>
      </c>
      <c r="C917">
        <v>0.43</v>
      </c>
      <c r="D917">
        <v>0.08</v>
      </c>
      <c r="E917">
        <v>1.7999999999999999E-2</v>
      </c>
      <c r="F917" t="s">
        <v>8</v>
      </c>
    </row>
    <row r="918" spans="1:6" x14ac:dyDescent="0.35">
      <c r="A918" t="s">
        <v>1786</v>
      </c>
      <c r="B918" t="s">
        <v>1787</v>
      </c>
      <c r="C918">
        <v>0.36699999999999999</v>
      </c>
      <c r="D918">
        <v>0.08</v>
      </c>
      <c r="E918">
        <v>1.4999999999999999E-2</v>
      </c>
      <c r="F918" t="s">
        <v>8</v>
      </c>
    </row>
    <row r="919" spans="1:6" x14ac:dyDescent="0.35">
      <c r="A919" t="s">
        <v>1788</v>
      </c>
      <c r="B919" t="s">
        <v>1789</v>
      </c>
      <c r="C919">
        <v>0.48</v>
      </c>
      <c r="D919">
        <v>0.40300000000000002</v>
      </c>
      <c r="E919">
        <v>1.2E-2</v>
      </c>
      <c r="F919" t="s">
        <v>8</v>
      </c>
    </row>
    <row r="920" spans="1:6" x14ac:dyDescent="0.35">
      <c r="A920" t="s">
        <v>1790</v>
      </c>
      <c r="B920" t="s">
        <v>1791</v>
      </c>
      <c r="C920">
        <v>0.36</v>
      </c>
      <c r="D920">
        <v>9.1999999999999998E-2</v>
      </c>
      <c r="E920">
        <v>1.4999999999999999E-2</v>
      </c>
      <c r="F920" t="s">
        <v>8</v>
      </c>
    </row>
    <row r="921" spans="1:6" x14ac:dyDescent="0.35">
      <c r="A921" t="s">
        <v>1792</v>
      </c>
      <c r="B921" t="s">
        <v>1793</v>
      </c>
      <c r="C921">
        <v>0.36</v>
      </c>
      <c r="D921">
        <v>6.4000000000000001E-2</v>
      </c>
      <c r="E921">
        <v>1.4999999999999999E-2</v>
      </c>
      <c r="F921" t="s">
        <v>8</v>
      </c>
    </row>
    <row r="922" spans="1:6" x14ac:dyDescent="0.35">
      <c r="A922" t="s">
        <v>1794</v>
      </c>
      <c r="B922" t="s">
        <v>1795</v>
      </c>
      <c r="C922">
        <v>0.36</v>
      </c>
      <c r="D922">
        <v>7.0000000000000007E-2</v>
      </c>
      <c r="E922">
        <v>2.5000000000000001E-2</v>
      </c>
      <c r="F922" t="s">
        <v>8</v>
      </c>
    </row>
    <row r="923" spans="1:6" x14ac:dyDescent="0.35">
      <c r="A923" t="s">
        <v>1796</v>
      </c>
      <c r="B923" t="s">
        <v>1797</v>
      </c>
      <c r="C923">
        <v>0.49</v>
      </c>
      <c r="D923">
        <v>0.18</v>
      </c>
      <c r="E923">
        <v>1.4999999999999999E-2</v>
      </c>
      <c r="F923" t="s">
        <v>8</v>
      </c>
    </row>
    <row r="924" spans="1:6" x14ac:dyDescent="0.35">
      <c r="A924" t="s">
        <v>1798</v>
      </c>
      <c r="B924" t="s">
        <v>1799</v>
      </c>
      <c r="C924">
        <v>0.78</v>
      </c>
      <c r="D924">
        <v>0.09</v>
      </c>
      <c r="E924">
        <v>2.5000000000000001E-2</v>
      </c>
      <c r="F924" t="s">
        <v>8</v>
      </c>
    </row>
    <row r="925" spans="1:6" x14ac:dyDescent="0.35">
      <c r="A925" t="s">
        <v>1800</v>
      </c>
      <c r="B925" t="s">
        <v>1801</v>
      </c>
      <c r="C925">
        <v>0.6</v>
      </c>
      <c r="D925">
        <v>0.1</v>
      </c>
      <c r="E925">
        <v>1.4999999999999999E-2</v>
      </c>
      <c r="F925" t="s">
        <v>85</v>
      </c>
    </row>
    <row r="926" spans="1:6" x14ac:dyDescent="0.35">
      <c r="A926" t="s">
        <v>1802</v>
      </c>
      <c r="B926" t="s">
        <v>1803</v>
      </c>
      <c r="C926">
        <v>0.34499999999999997</v>
      </c>
      <c r="D926">
        <v>0.18</v>
      </c>
      <c r="E926">
        <v>1.7999999999999999E-2</v>
      </c>
      <c r="F926" t="s">
        <v>85</v>
      </c>
    </row>
    <row r="927" spans="1:6" x14ac:dyDescent="0.35">
      <c r="A927" t="s">
        <v>1804</v>
      </c>
      <c r="B927" t="s">
        <v>1805</v>
      </c>
      <c r="C927">
        <v>0.89</v>
      </c>
      <c r="D927">
        <v>0.18</v>
      </c>
      <c r="E927">
        <v>1.4999999999999999E-2</v>
      </c>
      <c r="F927" t="s">
        <v>8</v>
      </c>
    </row>
    <row r="928" spans="1:6" x14ac:dyDescent="0.35">
      <c r="A928" t="s">
        <v>1806</v>
      </c>
      <c r="B928" t="s">
        <v>1807</v>
      </c>
      <c r="C928">
        <v>0.40500000000000003</v>
      </c>
      <c r="D928">
        <v>7.4999999999999997E-2</v>
      </c>
      <c r="E928">
        <v>1.2E-2</v>
      </c>
      <c r="F928" t="s">
        <v>8</v>
      </c>
    </row>
    <row r="929" spans="1:6" x14ac:dyDescent="0.35">
      <c r="A929" t="s">
        <v>1808</v>
      </c>
      <c r="B929" t="s">
        <v>1809</v>
      </c>
      <c r="C929">
        <v>0.75</v>
      </c>
      <c r="D929">
        <v>0.35399999999999998</v>
      </c>
      <c r="E929">
        <v>3.0000000000000001E-3</v>
      </c>
      <c r="F929" t="s">
        <v>8</v>
      </c>
    </row>
    <row r="930" spans="1:6" x14ac:dyDescent="0.35">
      <c r="A930" t="s">
        <v>1810</v>
      </c>
      <c r="B930" t="s">
        <v>1811</v>
      </c>
      <c r="C930">
        <v>0.78</v>
      </c>
      <c r="D930">
        <v>0.09</v>
      </c>
      <c r="E930">
        <v>2.5000000000000001E-2</v>
      </c>
      <c r="F930" t="s">
        <v>8</v>
      </c>
    </row>
    <row r="931" spans="1:6" x14ac:dyDescent="0.35">
      <c r="A931" t="s">
        <v>1812</v>
      </c>
      <c r="B931" t="s">
        <v>1813</v>
      </c>
      <c r="C931">
        <v>0.56000000000000005</v>
      </c>
      <c r="D931">
        <v>0.76</v>
      </c>
      <c r="E931">
        <v>1.2E-2</v>
      </c>
      <c r="F931" t="s">
        <v>8</v>
      </c>
    </row>
    <row r="932" spans="1:6" x14ac:dyDescent="0.35">
      <c r="A932" t="s">
        <v>1814</v>
      </c>
      <c r="B932" t="s">
        <v>1815</v>
      </c>
      <c r="C932">
        <v>0.56000000000000005</v>
      </c>
      <c r="D932">
        <v>0.76</v>
      </c>
      <c r="E932">
        <v>1.2E-2</v>
      </c>
      <c r="F932" t="s">
        <v>8</v>
      </c>
    </row>
    <row r="933" spans="1:6" x14ac:dyDescent="0.35">
      <c r="A933" t="s">
        <v>1816</v>
      </c>
      <c r="B933" t="s">
        <v>1817</v>
      </c>
      <c r="C933">
        <v>0.5</v>
      </c>
      <c r="D933">
        <v>0.4</v>
      </c>
      <c r="E933">
        <v>1.4999999999999999E-2</v>
      </c>
      <c r="F933" t="s">
        <v>8</v>
      </c>
    </row>
    <row r="934" spans="1:6" x14ac:dyDescent="0.35">
      <c r="A934" t="s">
        <v>1818</v>
      </c>
      <c r="B934" t="s">
        <v>1819</v>
      </c>
      <c r="C934">
        <v>0.62</v>
      </c>
      <c r="D934">
        <v>0.62</v>
      </c>
      <c r="E934">
        <v>1.2E-2</v>
      </c>
      <c r="F934" t="s">
        <v>8</v>
      </c>
    </row>
    <row r="935" spans="1:6" x14ac:dyDescent="0.35">
      <c r="A935" t="s">
        <v>1820</v>
      </c>
      <c r="B935" t="s">
        <v>1821</v>
      </c>
      <c r="C935">
        <v>1.36</v>
      </c>
      <c r="D935">
        <v>0.68</v>
      </c>
      <c r="E935">
        <v>1.2E-2</v>
      </c>
      <c r="F935" t="s">
        <v>85</v>
      </c>
    </row>
    <row r="936" spans="1:6" x14ac:dyDescent="0.35">
      <c r="A936" t="s">
        <v>1822</v>
      </c>
      <c r="B936" t="s">
        <v>1823</v>
      </c>
      <c r="C936">
        <v>1.36</v>
      </c>
      <c r="D936">
        <v>0.68</v>
      </c>
      <c r="E936">
        <v>1.4999999999999999E-2</v>
      </c>
      <c r="F936" t="s">
        <v>85</v>
      </c>
    </row>
    <row r="937" spans="1:6" x14ac:dyDescent="0.35">
      <c r="A937" t="s">
        <v>1824</v>
      </c>
      <c r="B937" t="s">
        <v>1825</v>
      </c>
      <c r="C937">
        <v>1.36</v>
      </c>
      <c r="D937">
        <v>0.68</v>
      </c>
      <c r="E937">
        <v>1.4999999999999999E-2</v>
      </c>
      <c r="F937" t="s">
        <v>85</v>
      </c>
    </row>
    <row r="938" spans="1:6" x14ac:dyDescent="0.35">
      <c r="A938" t="s">
        <v>1826</v>
      </c>
      <c r="B938" t="s">
        <v>1827</v>
      </c>
      <c r="C938">
        <v>1.36</v>
      </c>
      <c r="D938">
        <v>0.68</v>
      </c>
      <c r="E938">
        <v>1.2E-2</v>
      </c>
      <c r="F938" t="s">
        <v>85</v>
      </c>
    </row>
    <row r="939" spans="1:6" x14ac:dyDescent="0.35">
      <c r="A939" t="s">
        <v>1828</v>
      </c>
      <c r="B939" t="s">
        <v>1829</v>
      </c>
      <c r="C939">
        <v>0.3</v>
      </c>
      <c r="D939">
        <v>0.3</v>
      </c>
      <c r="E939">
        <v>1.2E-2</v>
      </c>
      <c r="F939" t="s">
        <v>85</v>
      </c>
    </row>
    <row r="940" spans="1:6" x14ac:dyDescent="0.35">
      <c r="A940" t="s">
        <v>1830</v>
      </c>
      <c r="B940" t="s">
        <v>1831</v>
      </c>
      <c r="C940">
        <v>0.4</v>
      </c>
      <c r="D940">
        <v>0.4</v>
      </c>
      <c r="E940">
        <v>1.2E-2</v>
      </c>
      <c r="F940" t="s">
        <v>85</v>
      </c>
    </row>
    <row r="941" spans="1:6" x14ac:dyDescent="0.35">
      <c r="A941" t="s">
        <v>1832</v>
      </c>
      <c r="B941" t="s">
        <v>1821</v>
      </c>
      <c r="C941">
        <v>1.36</v>
      </c>
      <c r="D941">
        <v>0.68</v>
      </c>
      <c r="E941">
        <v>1.2E-2</v>
      </c>
      <c r="F941" t="s">
        <v>85</v>
      </c>
    </row>
    <row r="942" spans="1:6" x14ac:dyDescent="0.35">
      <c r="A942" t="s">
        <v>1833</v>
      </c>
      <c r="B942" t="s">
        <v>1834</v>
      </c>
      <c r="C942">
        <v>1.32</v>
      </c>
      <c r="D942">
        <v>6.5000000000000002E-2</v>
      </c>
      <c r="E942">
        <v>2.5000000000000001E-2</v>
      </c>
      <c r="F942" t="s">
        <v>8</v>
      </c>
    </row>
    <row r="943" spans="1:6" x14ac:dyDescent="0.35">
      <c r="A943" t="s">
        <v>1835</v>
      </c>
      <c r="B943" t="s">
        <v>1836</v>
      </c>
      <c r="C943">
        <v>1.19</v>
      </c>
      <c r="D943">
        <v>6.5000000000000002E-2</v>
      </c>
      <c r="E943">
        <v>2.5000000000000001E-2</v>
      </c>
      <c r="F943" t="s">
        <v>8</v>
      </c>
    </row>
    <row r="944" spans="1:6" x14ac:dyDescent="0.35">
      <c r="A944" t="s">
        <v>1837</v>
      </c>
      <c r="B944" t="s">
        <v>1838</v>
      </c>
      <c r="C944">
        <v>0.6</v>
      </c>
      <c r="D944">
        <v>0.6</v>
      </c>
      <c r="E944">
        <v>1.2E-2</v>
      </c>
      <c r="F944" t="s">
        <v>85</v>
      </c>
    </row>
    <row r="945" spans="1:6" x14ac:dyDescent="0.35">
      <c r="A945" t="s">
        <v>1839</v>
      </c>
      <c r="B945" t="s">
        <v>1840</v>
      </c>
      <c r="C945">
        <v>0.68</v>
      </c>
      <c r="D945">
        <v>0.68</v>
      </c>
      <c r="E945">
        <v>1.2E-2</v>
      </c>
      <c r="F945" t="s">
        <v>85</v>
      </c>
    </row>
    <row r="946" spans="1:6" x14ac:dyDescent="0.35">
      <c r="A946" t="s">
        <v>1841</v>
      </c>
      <c r="B946" t="s">
        <v>1842</v>
      </c>
      <c r="C946">
        <v>0.45</v>
      </c>
      <c r="D946">
        <v>0.76</v>
      </c>
      <c r="E946">
        <v>1.2E-2</v>
      </c>
      <c r="F946" t="s">
        <v>8</v>
      </c>
    </row>
    <row r="947" spans="1:6" x14ac:dyDescent="0.35">
      <c r="A947" t="s">
        <v>1843</v>
      </c>
      <c r="B947" t="s">
        <v>1844</v>
      </c>
      <c r="C947">
        <v>0.45</v>
      </c>
      <c r="D947">
        <v>0.76</v>
      </c>
      <c r="E947">
        <v>3.0000000000000001E-3</v>
      </c>
      <c r="F947" t="s">
        <v>8</v>
      </c>
    </row>
    <row r="948" spans="1:6" x14ac:dyDescent="0.35">
      <c r="A948" t="s">
        <v>1845</v>
      </c>
      <c r="B948" t="s">
        <v>1846</v>
      </c>
      <c r="C948">
        <v>0.5</v>
      </c>
      <c r="D948">
        <v>0.5</v>
      </c>
      <c r="E948">
        <v>1.2E-2</v>
      </c>
      <c r="F948" t="s">
        <v>8</v>
      </c>
    </row>
    <row r="949" spans="1:6" x14ac:dyDescent="0.35">
      <c r="A949" t="s">
        <v>1847</v>
      </c>
      <c r="B949" t="s">
        <v>1848</v>
      </c>
      <c r="C949">
        <v>0.38</v>
      </c>
      <c r="D949">
        <v>0.38</v>
      </c>
      <c r="E949">
        <v>1.2E-2</v>
      </c>
      <c r="F949" t="s">
        <v>301</v>
      </c>
    </row>
    <row r="950" spans="1:6" x14ac:dyDescent="0.35">
      <c r="A950" t="s">
        <v>1849</v>
      </c>
      <c r="B950" t="s">
        <v>1850</v>
      </c>
      <c r="C950">
        <v>0.9</v>
      </c>
      <c r="D950">
        <v>0.9</v>
      </c>
      <c r="E950">
        <v>1.2E-2</v>
      </c>
      <c r="F950" t="s">
        <v>85</v>
      </c>
    </row>
    <row r="951" spans="1:6" x14ac:dyDescent="0.35">
      <c r="A951" t="s">
        <v>1851</v>
      </c>
      <c r="B951" t="s">
        <v>1852</v>
      </c>
      <c r="C951">
        <v>0.9</v>
      </c>
      <c r="D951">
        <v>0.9</v>
      </c>
      <c r="E951">
        <v>1.4999999999999999E-2</v>
      </c>
      <c r="F951" t="s">
        <v>85</v>
      </c>
    </row>
    <row r="952" spans="1:6" x14ac:dyDescent="0.35">
      <c r="A952" t="s">
        <v>1853</v>
      </c>
      <c r="B952" t="s">
        <v>1854</v>
      </c>
      <c r="C952">
        <v>0.38</v>
      </c>
      <c r="D952">
        <v>0.38</v>
      </c>
      <c r="E952">
        <v>1.2E-2</v>
      </c>
      <c r="F952" t="s">
        <v>301</v>
      </c>
    </row>
    <row r="953" spans="1:6" x14ac:dyDescent="0.35">
      <c r="A953" t="s">
        <v>1855</v>
      </c>
      <c r="B953" t="s">
        <v>1856</v>
      </c>
      <c r="C953">
        <v>0.9</v>
      </c>
      <c r="D953">
        <v>0.9</v>
      </c>
      <c r="E953">
        <v>1.2E-2</v>
      </c>
      <c r="F953" t="s">
        <v>85</v>
      </c>
    </row>
    <row r="954" spans="1:6" x14ac:dyDescent="0.35">
      <c r="A954" t="s">
        <v>1857</v>
      </c>
      <c r="B954" t="s">
        <v>1858</v>
      </c>
      <c r="C954">
        <v>0.83499999999999996</v>
      </c>
      <c r="D954">
        <v>6.5000000000000002E-2</v>
      </c>
      <c r="E954">
        <v>2.5000000000000001E-2</v>
      </c>
      <c r="F954" t="s">
        <v>8</v>
      </c>
    </row>
    <row r="955" spans="1:6" x14ac:dyDescent="0.35">
      <c r="A955" t="s">
        <v>1859</v>
      </c>
      <c r="B955" t="s">
        <v>1860</v>
      </c>
      <c r="C955">
        <v>0.7</v>
      </c>
      <c r="D955">
        <v>6.5000000000000002E-2</v>
      </c>
      <c r="E955">
        <v>2.5000000000000001E-2</v>
      </c>
      <c r="F955" t="s">
        <v>8</v>
      </c>
    </row>
    <row r="956" spans="1:6" x14ac:dyDescent="0.35">
      <c r="A956" t="s">
        <v>1861</v>
      </c>
      <c r="B956" t="s">
        <v>1862</v>
      </c>
      <c r="C956">
        <v>0.85</v>
      </c>
      <c r="D956">
        <v>0.76</v>
      </c>
      <c r="E956">
        <v>1.2E-2</v>
      </c>
      <c r="F956" t="s">
        <v>8</v>
      </c>
    </row>
    <row r="957" spans="1:6" x14ac:dyDescent="0.35">
      <c r="A957" t="s">
        <v>1863</v>
      </c>
      <c r="B957" t="s">
        <v>1864</v>
      </c>
      <c r="C957">
        <v>0.35</v>
      </c>
      <c r="D957">
        <v>0.76</v>
      </c>
      <c r="E957">
        <v>1.2E-2</v>
      </c>
      <c r="F957" t="s">
        <v>8</v>
      </c>
    </row>
    <row r="958" spans="1:6" x14ac:dyDescent="0.35">
      <c r="A958" t="s">
        <v>1865</v>
      </c>
      <c r="B958" t="s">
        <v>1866</v>
      </c>
      <c r="C958">
        <v>0.85</v>
      </c>
      <c r="D958">
        <v>0.76</v>
      </c>
      <c r="E958">
        <v>1.2E-2</v>
      </c>
      <c r="F958" t="s">
        <v>8</v>
      </c>
    </row>
    <row r="959" spans="1:6" x14ac:dyDescent="0.35">
      <c r="A959" t="s">
        <v>1867</v>
      </c>
      <c r="B959" t="s">
        <v>1868</v>
      </c>
      <c r="C959">
        <v>0.35</v>
      </c>
      <c r="D959">
        <v>0.76</v>
      </c>
      <c r="E959">
        <v>1.2E-2</v>
      </c>
      <c r="F959" t="s">
        <v>8</v>
      </c>
    </row>
    <row r="960" spans="1:6" x14ac:dyDescent="0.35">
      <c r="A960" t="s">
        <v>1869</v>
      </c>
      <c r="B960" t="s">
        <v>1870</v>
      </c>
      <c r="C960">
        <v>0.88</v>
      </c>
      <c r="D960">
        <v>0.38200000000000001</v>
      </c>
      <c r="E960">
        <v>1.2E-2</v>
      </c>
      <c r="F960" t="s">
        <v>301</v>
      </c>
    </row>
    <row r="961" spans="1:6" x14ac:dyDescent="0.35">
      <c r="A961" t="s">
        <v>1871</v>
      </c>
      <c r="B961" t="s">
        <v>1872</v>
      </c>
      <c r="C961">
        <v>1.6</v>
      </c>
      <c r="D961">
        <v>0.9</v>
      </c>
      <c r="E961">
        <v>1.2E-2</v>
      </c>
      <c r="F961" t="s">
        <v>85</v>
      </c>
    </row>
    <row r="962" spans="1:6" x14ac:dyDescent="0.35">
      <c r="A962" t="s">
        <v>1873</v>
      </c>
      <c r="B962" t="s">
        <v>1874</v>
      </c>
      <c r="C962">
        <v>1.6</v>
      </c>
      <c r="D962">
        <v>0.9</v>
      </c>
      <c r="E962">
        <v>1.4999999999999999E-2</v>
      </c>
      <c r="F962" t="s">
        <v>85</v>
      </c>
    </row>
    <row r="963" spans="1:6" x14ac:dyDescent="0.35">
      <c r="A963" t="s">
        <v>1875</v>
      </c>
      <c r="B963" t="s">
        <v>1876</v>
      </c>
      <c r="C963">
        <v>0.88</v>
      </c>
      <c r="D963">
        <v>0.38200000000000001</v>
      </c>
      <c r="E963">
        <v>1.2E-2</v>
      </c>
      <c r="F963" t="s">
        <v>301</v>
      </c>
    </row>
    <row r="964" spans="1:6" x14ac:dyDescent="0.35">
      <c r="A964" t="s">
        <v>1877</v>
      </c>
      <c r="B964" t="s">
        <v>1878</v>
      </c>
      <c r="C964">
        <v>1.6</v>
      </c>
      <c r="D964">
        <v>0.9</v>
      </c>
      <c r="E964">
        <v>1.2E-2</v>
      </c>
      <c r="F964" t="s">
        <v>85</v>
      </c>
    </row>
    <row r="965" spans="1:6" x14ac:dyDescent="0.35">
      <c r="A965" t="s">
        <v>1879</v>
      </c>
      <c r="B965" t="s">
        <v>1880</v>
      </c>
      <c r="C965">
        <v>1.42</v>
      </c>
      <c r="D965">
        <v>6.5000000000000002E-2</v>
      </c>
      <c r="E965">
        <v>2.5000000000000001E-2</v>
      </c>
      <c r="F965" t="s">
        <v>8</v>
      </c>
    </row>
    <row r="966" spans="1:6" x14ac:dyDescent="0.35">
      <c r="A966" t="s">
        <v>1881</v>
      </c>
      <c r="B966" t="s">
        <v>1882</v>
      </c>
      <c r="C966">
        <v>0.86</v>
      </c>
      <c r="D966">
        <v>6.5000000000000002E-2</v>
      </c>
      <c r="E966">
        <v>2.5000000000000001E-2</v>
      </c>
      <c r="F966" t="s">
        <v>8</v>
      </c>
    </row>
    <row r="967" spans="1:6" x14ac:dyDescent="0.35">
      <c r="A967" t="s">
        <v>1883</v>
      </c>
      <c r="B967" t="s">
        <v>1884</v>
      </c>
      <c r="C967">
        <v>1.1399999999999999</v>
      </c>
      <c r="D967">
        <v>0.35</v>
      </c>
      <c r="E967">
        <v>1.2E-2</v>
      </c>
      <c r="F967" t="s">
        <v>8</v>
      </c>
    </row>
    <row r="968" spans="1:6" x14ac:dyDescent="0.35">
      <c r="A968" t="s">
        <v>1885</v>
      </c>
      <c r="B968" t="s">
        <v>1886</v>
      </c>
      <c r="C968">
        <v>0.59499999999999997</v>
      </c>
      <c r="D968">
        <v>0.35</v>
      </c>
      <c r="E968">
        <v>1.2E-2</v>
      </c>
      <c r="F968" t="s">
        <v>8</v>
      </c>
    </row>
    <row r="969" spans="1:6" x14ac:dyDescent="0.35">
      <c r="A969" t="s">
        <v>1887</v>
      </c>
      <c r="B969" t="s">
        <v>1888</v>
      </c>
      <c r="C969">
        <v>0.59499999999999997</v>
      </c>
      <c r="D969">
        <v>0.35</v>
      </c>
      <c r="E969">
        <v>1.2E-2</v>
      </c>
      <c r="F969" t="s">
        <v>8</v>
      </c>
    </row>
    <row r="970" spans="1:6" x14ac:dyDescent="0.35">
      <c r="A970" t="s">
        <v>1889</v>
      </c>
      <c r="B970" t="s">
        <v>1890</v>
      </c>
      <c r="C970">
        <v>0.6</v>
      </c>
      <c r="D970">
        <v>0.68</v>
      </c>
      <c r="E970">
        <v>1.2E-2</v>
      </c>
      <c r="F970" t="s">
        <v>8</v>
      </c>
    </row>
    <row r="971" spans="1:6" x14ac:dyDescent="0.35">
      <c r="A971" t="s">
        <v>1891</v>
      </c>
      <c r="B971" t="s">
        <v>1892</v>
      </c>
      <c r="C971">
        <v>0.6</v>
      </c>
      <c r="D971">
        <v>0.68</v>
      </c>
      <c r="E971">
        <v>1.2E-2</v>
      </c>
      <c r="F971" t="s">
        <v>8</v>
      </c>
    </row>
    <row r="972" spans="1:6" x14ac:dyDescent="0.35">
      <c r="A972" t="s">
        <v>1893</v>
      </c>
      <c r="B972" t="s">
        <v>1894</v>
      </c>
      <c r="C972">
        <v>1.8049999999999999</v>
      </c>
      <c r="D972">
        <v>0.90500000000000003</v>
      </c>
      <c r="E972">
        <v>2.5000000000000001E-2</v>
      </c>
      <c r="F972" t="s">
        <v>85</v>
      </c>
    </row>
    <row r="973" spans="1:6" x14ac:dyDescent="0.35">
      <c r="A973" t="s">
        <v>1895</v>
      </c>
      <c r="B973" t="s">
        <v>1896</v>
      </c>
      <c r="C973">
        <v>0.6</v>
      </c>
      <c r="D973">
        <v>0.68</v>
      </c>
      <c r="E973">
        <v>1.2E-2</v>
      </c>
      <c r="F973" t="s">
        <v>8</v>
      </c>
    </row>
    <row r="974" spans="1:6" x14ac:dyDescent="0.35">
      <c r="A974" t="s">
        <v>1897</v>
      </c>
      <c r="B974" t="s">
        <v>1898</v>
      </c>
      <c r="C974">
        <v>1.1399999999999999</v>
      </c>
      <c r="D974">
        <v>0.35</v>
      </c>
      <c r="E974">
        <v>1.4999999999999999E-2</v>
      </c>
      <c r="F974" t="s">
        <v>8</v>
      </c>
    </row>
    <row r="975" spans="1:6" x14ac:dyDescent="0.35">
      <c r="A975" t="s">
        <v>1899</v>
      </c>
      <c r="B975" t="s">
        <v>1900</v>
      </c>
      <c r="C975">
        <v>0.59499999999999997</v>
      </c>
      <c r="D975">
        <v>0.35</v>
      </c>
      <c r="E975">
        <v>1.4999999999999999E-2</v>
      </c>
      <c r="F975" t="s">
        <v>8</v>
      </c>
    </row>
    <row r="976" spans="1:6" x14ac:dyDescent="0.35">
      <c r="A976" t="s">
        <v>1901</v>
      </c>
      <c r="B976" t="s">
        <v>1902</v>
      </c>
      <c r="C976">
        <v>0.6</v>
      </c>
      <c r="D976">
        <v>0.68</v>
      </c>
      <c r="E976">
        <v>1.2E-2</v>
      </c>
      <c r="F976" t="s">
        <v>8</v>
      </c>
    </row>
    <row r="977" spans="1:6" x14ac:dyDescent="0.35">
      <c r="A977" t="s">
        <v>1903</v>
      </c>
      <c r="B977" t="s">
        <v>1904</v>
      </c>
      <c r="C977">
        <v>1.8</v>
      </c>
      <c r="D977">
        <v>0.9</v>
      </c>
      <c r="E977">
        <v>2.5000000000000001E-2</v>
      </c>
      <c r="F977" t="s">
        <v>85</v>
      </c>
    </row>
    <row r="978" spans="1:6" x14ac:dyDescent="0.35">
      <c r="A978" t="s">
        <v>1905</v>
      </c>
      <c r="B978" t="s">
        <v>1906</v>
      </c>
      <c r="C978">
        <v>0.91200000000000003</v>
      </c>
      <c r="D978">
        <v>0.39</v>
      </c>
      <c r="E978">
        <v>1.2E-2</v>
      </c>
      <c r="F978" t="s">
        <v>8</v>
      </c>
    </row>
    <row r="979" spans="1:6" x14ac:dyDescent="0.35">
      <c r="A979" t="s">
        <v>1907</v>
      </c>
      <c r="B979" t="s">
        <v>1908</v>
      </c>
      <c r="C979">
        <v>1.05</v>
      </c>
      <c r="D979">
        <v>0.35</v>
      </c>
      <c r="E979">
        <v>1.2E-2</v>
      </c>
      <c r="F979" t="s">
        <v>8</v>
      </c>
    </row>
    <row r="980" spans="1:6" x14ac:dyDescent="0.35">
      <c r="A980" t="s">
        <v>1909</v>
      </c>
      <c r="B980" t="s">
        <v>1910</v>
      </c>
      <c r="C980">
        <v>0.56499999999999995</v>
      </c>
      <c r="D980">
        <v>0.35</v>
      </c>
      <c r="E980">
        <v>1.2E-2</v>
      </c>
      <c r="F980" t="s">
        <v>8</v>
      </c>
    </row>
    <row r="981" spans="1:6" x14ac:dyDescent="0.35">
      <c r="A981" t="s">
        <v>1911</v>
      </c>
      <c r="B981" t="s">
        <v>1912</v>
      </c>
      <c r="C981">
        <v>0.56499999999999995</v>
      </c>
      <c r="D981">
        <v>0.35</v>
      </c>
      <c r="E981">
        <v>1.2E-2</v>
      </c>
      <c r="F981" t="s">
        <v>8</v>
      </c>
    </row>
    <row r="982" spans="1:6" x14ac:dyDescent="0.35">
      <c r="A982" t="s">
        <v>1913</v>
      </c>
      <c r="B982" t="s">
        <v>1914</v>
      </c>
      <c r="C982">
        <v>0.57999999999999996</v>
      </c>
      <c r="D982">
        <v>0.57999999999999996</v>
      </c>
      <c r="E982">
        <v>1.2E-2</v>
      </c>
      <c r="F982" t="s">
        <v>8</v>
      </c>
    </row>
    <row r="983" spans="1:6" x14ac:dyDescent="0.35">
      <c r="A983" t="s">
        <v>1915</v>
      </c>
      <c r="B983" t="s">
        <v>1916</v>
      </c>
      <c r="C983">
        <v>0.57999999999999996</v>
      </c>
      <c r="D983">
        <v>0.57999999999999996</v>
      </c>
      <c r="E983">
        <v>1.2E-2</v>
      </c>
      <c r="F983" t="s">
        <v>8</v>
      </c>
    </row>
    <row r="984" spans="1:6" x14ac:dyDescent="0.35">
      <c r="A984" t="s">
        <v>1917</v>
      </c>
      <c r="B984" t="s">
        <v>1918</v>
      </c>
      <c r="C984">
        <v>1.2050000000000001</v>
      </c>
      <c r="D984">
        <v>0.90500000000000003</v>
      </c>
      <c r="E984">
        <v>2.5000000000000001E-2</v>
      </c>
      <c r="F984" t="s">
        <v>85</v>
      </c>
    </row>
    <row r="985" spans="1:6" x14ac:dyDescent="0.35">
      <c r="A985" t="s">
        <v>1919</v>
      </c>
      <c r="B985" t="s">
        <v>1920</v>
      </c>
      <c r="C985">
        <v>0.57999999999999996</v>
      </c>
      <c r="D985">
        <v>0.57999999999999996</v>
      </c>
      <c r="E985">
        <v>1.2E-2</v>
      </c>
      <c r="F985" t="s">
        <v>8</v>
      </c>
    </row>
    <row r="986" spans="1:6" x14ac:dyDescent="0.35">
      <c r="A986" t="s">
        <v>1921</v>
      </c>
      <c r="B986" t="s">
        <v>1922</v>
      </c>
      <c r="C986">
        <v>1.05</v>
      </c>
      <c r="D986">
        <v>0.35</v>
      </c>
      <c r="E986">
        <v>1.4999999999999999E-2</v>
      </c>
      <c r="F986" t="s">
        <v>8</v>
      </c>
    </row>
    <row r="987" spans="1:6" x14ac:dyDescent="0.35">
      <c r="A987" t="s">
        <v>1923</v>
      </c>
      <c r="B987" t="s">
        <v>1924</v>
      </c>
      <c r="C987">
        <v>0.56499999999999995</v>
      </c>
      <c r="D987">
        <v>0.35</v>
      </c>
      <c r="E987">
        <v>1.4999999999999999E-2</v>
      </c>
      <c r="F987" t="s">
        <v>8</v>
      </c>
    </row>
    <row r="988" spans="1:6" x14ac:dyDescent="0.35">
      <c r="A988" t="s">
        <v>1925</v>
      </c>
      <c r="B988" t="s">
        <v>1926</v>
      </c>
      <c r="C988">
        <v>1.2</v>
      </c>
      <c r="D988">
        <v>0.9</v>
      </c>
      <c r="E988">
        <v>2.5000000000000001E-2</v>
      </c>
      <c r="F988" t="s">
        <v>85</v>
      </c>
    </row>
    <row r="989" spans="1:6" x14ac:dyDescent="0.35">
      <c r="A989" t="s">
        <v>1927</v>
      </c>
      <c r="B989" t="s">
        <v>1928</v>
      </c>
      <c r="C989">
        <v>1.35</v>
      </c>
      <c r="D989">
        <v>1.35</v>
      </c>
      <c r="E989">
        <v>2.5000000000000001E-2</v>
      </c>
      <c r="F989" t="s">
        <v>85</v>
      </c>
    </row>
    <row r="990" spans="1:6" x14ac:dyDescent="0.35">
      <c r="A990" t="s">
        <v>1929</v>
      </c>
      <c r="B990" t="s">
        <v>1930</v>
      </c>
      <c r="C990">
        <v>1.365</v>
      </c>
      <c r="D990">
        <v>0.90500000000000003</v>
      </c>
      <c r="E990">
        <v>2.5000000000000001E-2</v>
      </c>
      <c r="F990" t="s">
        <v>85</v>
      </c>
    </row>
    <row r="991" spans="1:6" x14ac:dyDescent="0.35">
      <c r="A991" t="s">
        <v>1931</v>
      </c>
      <c r="B991" t="s">
        <v>1932</v>
      </c>
      <c r="C991">
        <v>1.35</v>
      </c>
      <c r="D991">
        <v>0.9</v>
      </c>
      <c r="E991">
        <v>2.5000000000000001E-2</v>
      </c>
      <c r="F991" t="s">
        <v>85</v>
      </c>
    </row>
    <row r="992" spans="1:6" x14ac:dyDescent="0.35">
      <c r="A992" t="s">
        <v>1933</v>
      </c>
      <c r="B992" t="s">
        <v>1934</v>
      </c>
      <c r="C992">
        <v>1.6</v>
      </c>
      <c r="D992">
        <v>0.9</v>
      </c>
      <c r="E992">
        <v>2.5000000000000001E-2</v>
      </c>
      <c r="F992" t="s">
        <v>85</v>
      </c>
    </row>
    <row r="993" spans="1:6" x14ac:dyDescent="0.35">
      <c r="A993" t="s">
        <v>1935</v>
      </c>
      <c r="B993" t="s">
        <v>1936</v>
      </c>
      <c r="C993">
        <v>0.96</v>
      </c>
      <c r="D993">
        <v>0.4</v>
      </c>
      <c r="E993">
        <v>1.2E-2</v>
      </c>
      <c r="F993" t="s">
        <v>8</v>
      </c>
    </row>
    <row r="994" spans="1:6" x14ac:dyDescent="0.35">
      <c r="A994" t="s">
        <v>1937</v>
      </c>
      <c r="B994" t="s">
        <v>1938</v>
      </c>
      <c r="C994">
        <v>0.95499999999999996</v>
      </c>
      <c r="D994">
        <v>0.15</v>
      </c>
      <c r="E994">
        <v>3.0000000000000001E-3</v>
      </c>
      <c r="F994" t="s">
        <v>8</v>
      </c>
    </row>
    <row r="995" spans="1:6" x14ac:dyDescent="0.35">
      <c r="A995" t="s">
        <v>1939</v>
      </c>
      <c r="B995" t="s">
        <v>1940</v>
      </c>
      <c r="C995">
        <v>0.13500000000000001</v>
      </c>
      <c r="D995">
        <v>5.5E-2</v>
      </c>
      <c r="E995">
        <v>1.2E-2</v>
      </c>
      <c r="F995" t="s">
        <v>8</v>
      </c>
    </row>
    <row r="996" spans="1:6" x14ac:dyDescent="0.35">
      <c r="A996" t="s">
        <v>1941</v>
      </c>
      <c r="B996" t="s">
        <v>1942</v>
      </c>
      <c r="C996">
        <v>0.95499999999999996</v>
      </c>
      <c r="D996">
        <v>5.5E-2</v>
      </c>
      <c r="E996">
        <v>1.2E-2</v>
      </c>
      <c r="F996" t="s">
        <v>8</v>
      </c>
    </row>
    <row r="997" spans="1:6" x14ac:dyDescent="0.35">
      <c r="A997" t="s">
        <v>1943</v>
      </c>
      <c r="B997" t="s">
        <v>1944</v>
      </c>
      <c r="C997">
        <v>0.99</v>
      </c>
      <c r="D997">
        <v>0.15</v>
      </c>
      <c r="E997">
        <v>5.5E-2</v>
      </c>
      <c r="F997" t="s">
        <v>8</v>
      </c>
    </row>
    <row r="998" spans="1:6" x14ac:dyDescent="0.35">
      <c r="A998" t="s">
        <v>1945</v>
      </c>
      <c r="B998" t="s">
        <v>1946</v>
      </c>
      <c r="C998">
        <v>1.6</v>
      </c>
      <c r="D998">
        <v>0.9</v>
      </c>
      <c r="E998">
        <v>2.5000000000000001E-2</v>
      </c>
      <c r="F998" t="s">
        <v>85</v>
      </c>
    </row>
    <row r="999" spans="1:6" x14ac:dyDescent="0.35">
      <c r="A999" t="s">
        <v>1947</v>
      </c>
      <c r="B999" t="s">
        <v>1948</v>
      </c>
      <c r="C999">
        <v>0.9</v>
      </c>
      <c r="D999">
        <v>0.9</v>
      </c>
      <c r="E999">
        <v>2.5000000000000001E-2</v>
      </c>
      <c r="F999" t="s">
        <v>85</v>
      </c>
    </row>
    <row r="1000" spans="1:6" x14ac:dyDescent="0.35">
      <c r="A1000" t="s">
        <v>1949</v>
      </c>
      <c r="B1000" t="s">
        <v>1950</v>
      </c>
      <c r="C1000">
        <v>0.9</v>
      </c>
      <c r="D1000">
        <v>0.9</v>
      </c>
      <c r="E1000">
        <v>2.5000000000000001E-2</v>
      </c>
      <c r="F1000" t="s">
        <v>85</v>
      </c>
    </row>
    <row r="1001" spans="1:6" x14ac:dyDescent="0.35">
      <c r="A1001" t="s">
        <v>1951</v>
      </c>
      <c r="B1001" t="s">
        <v>1952</v>
      </c>
      <c r="C1001">
        <v>0.9</v>
      </c>
      <c r="D1001">
        <v>0.9</v>
      </c>
      <c r="E1001">
        <v>1.7999999999999999E-2</v>
      </c>
      <c r="F1001" t="s">
        <v>85</v>
      </c>
    </row>
    <row r="1002" spans="1:6" x14ac:dyDescent="0.35">
      <c r="A1002" t="s">
        <v>1953</v>
      </c>
      <c r="B1002" t="s">
        <v>1954</v>
      </c>
      <c r="C1002">
        <v>1.6</v>
      </c>
      <c r="D1002">
        <v>0.9</v>
      </c>
      <c r="E1002">
        <v>1.7999999999999999E-2</v>
      </c>
      <c r="F1002" t="s">
        <v>85</v>
      </c>
    </row>
    <row r="1003" spans="1:6" x14ac:dyDescent="0.35">
      <c r="A1003" t="s">
        <v>1955</v>
      </c>
      <c r="B1003" t="s">
        <v>1956</v>
      </c>
      <c r="C1003">
        <v>0.83</v>
      </c>
      <c r="D1003">
        <v>0.09</v>
      </c>
      <c r="E1003">
        <v>2.5000000000000001E-2</v>
      </c>
      <c r="F1003" t="s">
        <v>8</v>
      </c>
    </row>
    <row r="1004" spans="1:6" x14ac:dyDescent="0.35">
      <c r="A1004" t="s">
        <v>1957</v>
      </c>
      <c r="B1004" t="s">
        <v>1958</v>
      </c>
      <c r="C1004">
        <v>0.82</v>
      </c>
      <c r="D1004">
        <v>0.09</v>
      </c>
      <c r="E1004">
        <v>2.5000000000000001E-2</v>
      </c>
      <c r="F1004" t="s">
        <v>8</v>
      </c>
    </row>
    <row r="1005" spans="1:6" x14ac:dyDescent="0.35">
      <c r="A1005" t="s">
        <v>1959</v>
      </c>
      <c r="B1005" t="s">
        <v>1960</v>
      </c>
      <c r="C1005">
        <v>0.35</v>
      </c>
      <c r="D1005">
        <v>0.09</v>
      </c>
      <c r="E1005">
        <v>2.5000000000000001E-2</v>
      </c>
      <c r="F1005" t="s">
        <v>8</v>
      </c>
    </row>
    <row r="1006" spans="1:6" x14ac:dyDescent="0.35">
      <c r="A1006" t="s">
        <v>1961</v>
      </c>
      <c r="B1006" t="s">
        <v>1962</v>
      </c>
      <c r="C1006">
        <v>0.35</v>
      </c>
      <c r="D1006">
        <v>7.0000000000000007E-2</v>
      </c>
      <c r="E1006">
        <v>2.5000000000000001E-2</v>
      </c>
      <c r="F1006" t="s">
        <v>8</v>
      </c>
    </row>
    <row r="1007" spans="1:6" x14ac:dyDescent="0.35">
      <c r="A1007" t="s">
        <v>1963</v>
      </c>
      <c r="B1007" t="s">
        <v>1964</v>
      </c>
      <c r="C1007">
        <v>0.97499999999999998</v>
      </c>
      <c r="D1007">
        <v>7.0000000000000007E-2</v>
      </c>
      <c r="E1007">
        <v>2.5000000000000001E-2</v>
      </c>
      <c r="F1007" t="s">
        <v>8</v>
      </c>
    </row>
    <row r="1008" spans="1:6" x14ac:dyDescent="0.35">
      <c r="A1008" t="s">
        <v>1965</v>
      </c>
      <c r="B1008" t="s">
        <v>1966</v>
      </c>
      <c r="C1008">
        <v>1.8</v>
      </c>
      <c r="D1008">
        <v>0.9</v>
      </c>
      <c r="E1008">
        <v>2.5000000000000001E-2</v>
      </c>
      <c r="F1008" t="s">
        <v>85</v>
      </c>
    </row>
    <row r="1009" spans="1:6" x14ac:dyDescent="0.35">
      <c r="A1009" t="s">
        <v>1967</v>
      </c>
      <c r="B1009" t="s">
        <v>1968</v>
      </c>
      <c r="C1009">
        <v>1.2</v>
      </c>
      <c r="D1009">
        <v>0.9</v>
      </c>
      <c r="E1009">
        <v>2.5000000000000001E-2</v>
      </c>
      <c r="F1009" t="s">
        <v>85</v>
      </c>
    </row>
    <row r="1010" spans="1:6" x14ac:dyDescent="0.35">
      <c r="A1010" t="s">
        <v>1969</v>
      </c>
      <c r="B1010" t="s">
        <v>1970</v>
      </c>
      <c r="C1010">
        <v>0.35</v>
      </c>
      <c r="D1010">
        <v>0.09</v>
      </c>
      <c r="E1010">
        <v>2.5000000000000001E-2</v>
      </c>
      <c r="F1010" t="s">
        <v>8</v>
      </c>
    </row>
    <row r="1011" spans="1:6" x14ac:dyDescent="0.35">
      <c r="A1011" t="s">
        <v>1971</v>
      </c>
      <c r="B1011" t="s">
        <v>1972</v>
      </c>
      <c r="C1011">
        <v>0.5</v>
      </c>
      <c r="D1011">
        <v>7.0000000000000007E-2</v>
      </c>
      <c r="E1011">
        <v>2.5000000000000001E-2</v>
      </c>
      <c r="F1011" t="s">
        <v>8</v>
      </c>
    </row>
    <row r="1012" spans="1:6" x14ac:dyDescent="0.35">
      <c r="A1012" t="s">
        <v>1973</v>
      </c>
      <c r="B1012" t="s">
        <v>1974</v>
      </c>
      <c r="C1012">
        <v>1.36</v>
      </c>
      <c r="D1012">
        <v>0.9</v>
      </c>
      <c r="E1012">
        <v>2.5000000000000001E-2</v>
      </c>
      <c r="F1012" t="s">
        <v>85</v>
      </c>
    </row>
    <row r="1013" spans="1:6" x14ac:dyDescent="0.35">
      <c r="A1013" t="s">
        <v>1975</v>
      </c>
      <c r="B1013" t="s">
        <v>1976</v>
      </c>
      <c r="C1013">
        <v>1.6</v>
      </c>
      <c r="D1013">
        <v>0.9</v>
      </c>
      <c r="E1013">
        <v>2.5000000000000001E-2</v>
      </c>
      <c r="F1013" t="s">
        <v>85</v>
      </c>
    </row>
    <row r="1014" spans="1:6" x14ac:dyDescent="0.35">
      <c r="A1014" t="s">
        <v>1977</v>
      </c>
      <c r="B1014" t="s">
        <v>1978</v>
      </c>
      <c r="C1014">
        <v>0.4</v>
      </c>
      <c r="D1014">
        <v>0.4</v>
      </c>
      <c r="E1014">
        <v>1.2E-2</v>
      </c>
      <c r="F1014" t="s">
        <v>8</v>
      </c>
    </row>
    <row r="1015" spans="1:6" x14ac:dyDescent="0.35">
      <c r="A1015" t="s">
        <v>1979</v>
      </c>
      <c r="B1015" t="s">
        <v>1980</v>
      </c>
      <c r="C1015">
        <v>0.76</v>
      </c>
      <c r="D1015">
        <v>0.37</v>
      </c>
      <c r="E1015">
        <v>1.2E-2</v>
      </c>
      <c r="F1015" t="s">
        <v>8</v>
      </c>
    </row>
    <row r="1016" spans="1:6" x14ac:dyDescent="0.35">
      <c r="A1016" t="s">
        <v>1981</v>
      </c>
      <c r="B1016" t="s">
        <v>1982</v>
      </c>
      <c r="C1016">
        <v>0.76</v>
      </c>
      <c r="D1016">
        <v>0.34</v>
      </c>
      <c r="E1016">
        <v>1.2E-2</v>
      </c>
      <c r="F1016" t="s">
        <v>8</v>
      </c>
    </row>
    <row r="1017" spans="1:6" x14ac:dyDescent="0.35">
      <c r="A1017" t="s">
        <v>1983</v>
      </c>
      <c r="B1017" t="s">
        <v>1984</v>
      </c>
      <c r="C1017">
        <v>0.4</v>
      </c>
      <c r="D1017">
        <v>0.4</v>
      </c>
      <c r="E1017">
        <v>1.2E-2</v>
      </c>
      <c r="F1017" t="s">
        <v>8</v>
      </c>
    </row>
    <row r="1018" spans="1:6" x14ac:dyDescent="0.35">
      <c r="A1018" t="s">
        <v>1985</v>
      </c>
      <c r="B1018" t="s">
        <v>1986</v>
      </c>
      <c r="C1018">
        <v>0.6</v>
      </c>
      <c r="D1018">
        <v>0.6</v>
      </c>
      <c r="E1018">
        <v>1.2E-2</v>
      </c>
      <c r="F1018" t="s">
        <v>8</v>
      </c>
    </row>
    <row r="1019" spans="1:6" x14ac:dyDescent="0.35">
      <c r="A1019" t="s">
        <v>1987</v>
      </c>
      <c r="B1019" t="s">
        <v>1988</v>
      </c>
      <c r="C1019">
        <v>0.76</v>
      </c>
      <c r="D1019">
        <v>0.53</v>
      </c>
      <c r="E1019">
        <v>1.2E-2</v>
      </c>
      <c r="F1019" t="s">
        <v>8</v>
      </c>
    </row>
    <row r="1020" spans="1:6" x14ac:dyDescent="0.35">
      <c r="A1020" t="s">
        <v>1989</v>
      </c>
      <c r="B1020" t="s">
        <v>1990</v>
      </c>
      <c r="C1020">
        <v>0.6</v>
      </c>
      <c r="D1020">
        <v>0.6</v>
      </c>
      <c r="E1020">
        <v>1.2E-2</v>
      </c>
      <c r="F1020" t="s">
        <v>8</v>
      </c>
    </row>
    <row r="1021" spans="1:6" x14ac:dyDescent="0.35">
      <c r="A1021" t="s">
        <v>1991</v>
      </c>
      <c r="B1021" t="s">
        <v>1992</v>
      </c>
      <c r="C1021">
        <v>0.76</v>
      </c>
      <c r="D1021">
        <v>0.56000000000000005</v>
      </c>
      <c r="E1021">
        <v>1.2E-2</v>
      </c>
      <c r="F1021" t="s">
        <v>8</v>
      </c>
    </row>
    <row r="1022" spans="1:6" x14ac:dyDescent="0.35">
      <c r="A1022" t="s">
        <v>1993</v>
      </c>
      <c r="B1022" t="s">
        <v>1994</v>
      </c>
      <c r="C1022">
        <v>0.5</v>
      </c>
      <c r="D1022">
        <v>0.5</v>
      </c>
      <c r="E1022">
        <v>1.2E-2</v>
      </c>
      <c r="F1022" t="s">
        <v>8</v>
      </c>
    </row>
    <row r="1023" spans="1:6" x14ac:dyDescent="0.35">
      <c r="A1023" t="s">
        <v>1995</v>
      </c>
      <c r="B1023" t="s">
        <v>1996</v>
      </c>
      <c r="C1023">
        <v>0.75</v>
      </c>
      <c r="D1023">
        <v>0.42499999999999999</v>
      </c>
      <c r="E1023">
        <v>1.2E-2</v>
      </c>
      <c r="F1023" t="s">
        <v>8</v>
      </c>
    </row>
    <row r="1024" spans="1:6" x14ac:dyDescent="0.35">
      <c r="A1024" t="s">
        <v>1997</v>
      </c>
      <c r="B1024" t="s">
        <v>1998</v>
      </c>
      <c r="C1024">
        <v>0.39500000000000002</v>
      </c>
      <c r="D1024">
        <v>0.39500000000000002</v>
      </c>
      <c r="E1024">
        <v>1.4999999999999999E-2</v>
      </c>
      <c r="F1024" t="s">
        <v>8</v>
      </c>
    </row>
    <row r="1025" spans="1:6" x14ac:dyDescent="0.35">
      <c r="A1025" t="s">
        <v>1999</v>
      </c>
      <c r="B1025" t="s">
        <v>2000</v>
      </c>
      <c r="C1025">
        <v>1.1599999999999999</v>
      </c>
      <c r="D1025">
        <v>6.5000000000000002E-2</v>
      </c>
      <c r="E1025">
        <v>1.7999999999999999E-2</v>
      </c>
      <c r="F1025" t="s">
        <v>8</v>
      </c>
    </row>
    <row r="1026" spans="1:6" x14ac:dyDescent="0.35">
      <c r="A1026" t="s">
        <v>2001</v>
      </c>
      <c r="B1026" t="s">
        <v>2002</v>
      </c>
      <c r="C1026">
        <v>1.03</v>
      </c>
      <c r="D1026">
        <v>6.5000000000000002E-2</v>
      </c>
      <c r="E1026">
        <v>1.7999999999999999E-2</v>
      </c>
      <c r="F1026" t="s">
        <v>8</v>
      </c>
    </row>
    <row r="1027" spans="1:6" x14ac:dyDescent="0.35">
      <c r="A1027" t="s">
        <v>2003</v>
      </c>
      <c r="B1027" t="s">
        <v>2004</v>
      </c>
      <c r="C1027">
        <v>0.75</v>
      </c>
      <c r="D1027">
        <v>0.45</v>
      </c>
      <c r="E1027">
        <v>1.2E-2</v>
      </c>
      <c r="F1027" t="s">
        <v>8</v>
      </c>
    </row>
    <row r="1028" spans="1:6" x14ac:dyDescent="0.35">
      <c r="A1028" t="s">
        <v>2005</v>
      </c>
      <c r="B1028" t="s">
        <v>1858</v>
      </c>
      <c r="C1028">
        <v>0.83499999999999996</v>
      </c>
      <c r="D1028">
        <v>6.5000000000000002E-2</v>
      </c>
      <c r="E1028">
        <v>1.7999999999999999E-2</v>
      </c>
      <c r="F1028" t="s">
        <v>8</v>
      </c>
    </row>
    <row r="1029" spans="1:6" x14ac:dyDescent="0.35">
      <c r="A1029" t="s">
        <v>2006</v>
      </c>
      <c r="B1029" t="s">
        <v>1860</v>
      </c>
      <c r="C1029">
        <v>0.7</v>
      </c>
      <c r="D1029">
        <v>6.5000000000000002E-2</v>
      </c>
      <c r="E1029">
        <v>1.7999999999999999E-2</v>
      </c>
      <c r="F1029" t="s">
        <v>8</v>
      </c>
    </row>
    <row r="1030" spans="1:6" x14ac:dyDescent="0.35">
      <c r="A1030" t="s">
        <v>2007</v>
      </c>
      <c r="B1030" t="s">
        <v>2008</v>
      </c>
      <c r="C1030">
        <v>0.75</v>
      </c>
      <c r="D1030">
        <v>0.33500000000000002</v>
      </c>
      <c r="E1030">
        <v>1.2E-2</v>
      </c>
      <c r="F1030" t="s">
        <v>8</v>
      </c>
    </row>
    <row r="1031" spans="1:6" x14ac:dyDescent="0.35">
      <c r="A1031" t="s">
        <v>2009</v>
      </c>
      <c r="B1031" t="s">
        <v>2010</v>
      </c>
      <c r="C1031">
        <v>0.38</v>
      </c>
      <c r="D1031">
        <v>0.38</v>
      </c>
      <c r="E1031">
        <v>1.2E-2</v>
      </c>
      <c r="F1031" t="s">
        <v>8</v>
      </c>
    </row>
    <row r="1032" spans="1:6" x14ac:dyDescent="0.35">
      <c r="A1032" t="s">
        <v>2011</v>
      </c>
      <c r="B1032" t="s">
        <v>2012</v>
      </c>
      <c r="C1032">
        <v>0.75</v>
      </c>
      <c r="D1032">
        <v>0.31</v>
      </c>
      <c r="E1032">
        <v>1.2E-2</v>
      </c>
      <c r="F1032" t="s">
        <v>8</v>
      </c>
    </row>
    <row r="1033" spans="1:6" x14ac:dyDescent="0.35">
      <c r="A1033" t="s">
        <v>2013</v>
      </c>
      <c r="B1033" t="s">
        <v>2014</v>
      </c>
      <c r="C1033">
        <v>0.9</v>
      </c>
      <c r="D1033">
        <v>0.9</v>
      </c>
      <c r="E1033">
        <v>1.2E-2</v>
      </c>
      <c r="F1033" t="s">
        <v>85</v>
      </c>
    </row>
    <row r="1034" spans="1:6" x14ac:dyDescent="0.35">
      <c r="A1034" t="s">
        <v>2015</v>
      </c>
      <c r="B1034" t="s">
        <v>2016</v>
      </c>
      <c r="C1034">
        <v>0.9</v>
      </c>
      <c r="D1034">
        <v>0.9</v>
      </c>
      <c r="E1034">
        <v>1.4999999999999999E-2</v>
      </c>
      <c r="F1034" t="s">
        <v>85</v>
      </c>
    </row>
    <row r="1035" spans="1:6" x14ac:dyDescent="0.35">
      <c r="A1035" t="s">
        <v>2017</v>
      </c>
      <c r="B1035" t="s">
        <v>2018</v>
      </c>
      <c r="C1035">
        <v>0.38</v>
      </c>
      <c r="D1035">
        <v>0.38</v>
      </c>
      <c r="E1035">
        <v>1.2E-2</v>
      </c>
      <c r="F1035" t="s">
        <v>8</v>
      </c>
    </row>
    <row r="1036" spans="1:6" x14ac:dyDescent="0.35">
      <c r="A1036" t="s">
        <v>2019</v>
      </c>
      <c r="B1036" t="s">
        <v>1880</v>
      </c>
      <c r="C1036">
        <v>1.42</v>
      </c>
      <c r="D1036">
        <v>6.5000000000000002E-2</v>
      </c>
      <c r="E1036">
        <v>1.7999999999999999E-2</v>
      </c>
      <c r="F1036" t="s">
        <v>8</v>
      </c>
    </row>
    <row r="1037" spans="1:6" x14ac:dyDescent="0.35">
      <c r="A1037" t="s">
        <v>2020</v>
      </c>
      <c r="B1037" t="s">
        <v>2021</v>
      </c>
      <c r="C1037">
        <v>0.86</v>
      </c>
      <c r="D1037">
        <v>6.5000000000000002E-2</v>
      </c>
      <c r="E1037">
        <v>1.7999999999999999E-2</v>
      </c>
      <c r="F1037" t="s">
        <v>8</v>
      </c>
    </row>
    <row r="1038" spans="1:6" x14ac:dyDescent="0.35">
      <c r="A1038" t="s">
        <v>2022</v>
      </c>
      <c r="B1038" t="s">
        <v>2023</v>
      </c>
      <c r="C1038">
        <v>1.6</v>
      </c>
      <c r="D1038">
        <v>0.9</v>
      </c>
      <c r="E1038">
        <v>1.2E-2</v>
      </c>
      <c r="F1038" t="s">
        <v>85</v>
      </c>
    </row>
    <row r="1039" spans="1:6" x14ac:dyDescent="0.35">
      <c r="A1039" t="s">
        <v>2024</v>
      </c>
      <c r="B1039" t="s">
        <v>2025</v>
      </c>
      <c r="C1039">
        <v>1.6</v>
      </c>
      <c r="D1039">
        <v>0.9</v>
      </c>
      <c r="E1039">
        <v>1.4999999999999999E-2</v>
      </c>
      <c r="F1039" t="s">
        <v>85</v>
      </c>
    </row>
    <row r="1040" spans="1:6" x14ac:dyDescent="0.35">
      <c r="A1040" t="s">
        <v>2026</v>
      </c>
      <c r="B1040" t="s">
        <v>2027</v>
      </c>
      <c r="C1040">
        <v>0.62</v>
      </c>
      <c r="D1040">
        <v>0.62</v>
      </c>
      <c r="E1040">
        <v>1.2E-2</v>
      </c>
      <c r="F1040" t="s">
        <v>8</v>
      </c>
    </row>
    <row r="1041" spans="1:6" x14ac:dyDescent="0.35">
      <c r="A1041" t="s">
        <v>2028</v>
      </c>
      <c r="B1041" t="s">
        <v>2029</v>
      </c>
      <c r="C1041">
        <v>0.75</v>
      </c>
      <c r="D1041">
        <v>0.56499999999999995</v>
      </c>
      <c r="E1041">
        <v>1.2E-2</v>
      </c>
      <c r="F1041" t="s">
        <v>8</v>
      </c>
    </row>
    <row r="1042" spans="1:6" x14ac:dyDescent="0.35">
      <c r="A1042" t="s">
        <v>2030</v>
      </c>
      <c r="B1042" t="s">
        <v>2031</v>
      </c>
      <c r="C1042">
        <v>0.5</v>
      </c>
      <c r="D1042">
        <v>0.4</v>
      </c>
      <c r="E1042">
        <v>1.4999999999999999E-2</v>
      </c>
      <c r="F1042" t="s">
        <v>8</v>
      </c>
    </row>
    <row r="1043" spans="1:6" x14ac:dyDescent="0.35">
      <c r="A1043" t="s">
        <v>2032</v>
      </c>
      <c r="B1043" t="s">
        <v>2033</v>
      </c>
      <c r="C1043">
        <v>1.32</v>
      </c>
      <c r="D1043">
        <v>6.5000000000000002E-2</v>
      </c>
      <c r="E1043">
        <v>1.4999999999999999E-2</v>
      </c>
      <c r="F1043" t="s">
        <v>8</v>
      </c>
    </row>
    <row r="1044" spans="1:6" x14ac:dyDescent="0.35">
      <c r="A1044" t="s">
        <v>2034</v>
      </c>
      <c r="B1044" t="s">
        <v>2035</v>
      </c>
      <c r="C1044">
        <v>1.19</v>
      </c>
      <c r="D1044">
        <v>6.5000000000000002E-2</v>
      </c>
      <c r="E1044">
        <v>1.4999999999999999E-2</v>
      </c>
      <c r="F1044" t="s">
        <v>8</v>
      </c>
    </row>
    <row r="1045" spans="1:6" x14ac:dyDescent="0.35">
      <c r="A1045" t="s">
        <v>2036</v>
      </c>
      <c r="B1045" t="s">
        <v>2037</v>
      </c>
      <c r="C1045">
        <v>0.75</v>
      </c>
      <c r="D1045">
        <v>0.59</v>
      </c>
      <c r="E1045">
        <v>1.2E-2</v>
      </c>
      <c r="F1045" t="s">
        <v>8</v>
      </c>
    </row>
    <row r="1046" spans="1:6" x14ac:dyDescent="0.35">
      <c r="A1046" t="s">
        <v>2038</v>
      </c>
      <c r="B1046" t="s">
        <v>2039</v>
      </c>
      <c r="C1046">
        <v>1.36</v>
      </c>
      <c r="D1046">
        <v>0.68</v>
      </c>
      <c r="E1046">
        <v>1.4999999999999999E-2</v>
      </c>
      <c r="F1046" t="s">
        <v>85</v>
      </c>
    </row>
    <row r="1047" spans="1:6" x14ac:dyDescent="0.35">
      <c r="A1047" t="s">
        <v>2040</v>
      </c>
      <c r="B1047" t="s">
        <v>2041</v>
      </c>
      <c r="C1047">
        <v>1.36</v>
      </c>
      <c r="D1047">
        <v>0.68</v>
      </c>
      <c r="E1047">
        <v>1.2E-2</v>
      </c>
      <c r="F1047" t="s">
        <v>85</v>
      </c>
    </row>
    <row r="1048" spans="1:6" x14ac:dyDescent="0.35">
      <c r="A1048" t="s">
        <v>2042</v>
      </c>
      <c r="B1048" t="s">
        <v>2043</v>
      </c>
      <c r="C1048">
        <v>0</v>
      </c>
      <c r="D1048">
        <v>0</v>
      </c>
      <c r="E1048">
        <v>0</v>
      </c>
      <c r="F1048" t="s">
        <v>301</v>
      </c>
    </row>
    <row r="1049" spans="1:6" x14ac:dyDescent="0.35">
      <c r="A1049" t="s">
        <v>2044</v>
      </c>
      <c r="B1049" t="s">
        <v>2045</v>
      </c>
      <c r="C1049">
        <v>0.6</v>
      </c>
      <c r="D1049">
        <v>0.6</v>
      </c>
      <c r="E1049">
        <v>1.2E-2</v>
      </c>
      <c r="F1049" t="s">
        <v>85</v>
      </c>
    </row>
    <row r="1050" spans="1:6" x14ac:dyDescent="0.35">
      <c r="A1050" t="s">
        <v>2046</v>
      </c>
      <c r="B1050" t="s">
        <v>2047</v>
      </c>
      <c r="C1050">
        <v>0.68</v>
      </c>
      <c r="D1050">
        <v>0.68</v>
      </c>
      <c r="E1050">
        <v>1.2E-2</v>
      </c>
      <c r="F1050" t="s">
        <v>85</v>
      </c>
    </row>
    <row r="1051" spans="1:6" x14ac:dyDescent="0.35">
      <c r="A1051" t="s">
        <v>2048</v>
      </c>
      <c r="B1051" t="s">
        <v>2049</v>
      </c>
      <c r="C1051">
        <v>0.2</v>
      </c>
      <c r="D1051">
        <v>0.2</v>
      </c>
      <c r="E1051">
        <v>0.08</v>
      </c>
      <c r="F1051" t="s">
        <v>85</v>
      </c>
    </row>
    <row r="1052" spans="1:6" x14ac:dyDescent="0.35">
      <c r="A1052" t="s">
        <v>2050</v>
      </c>
      <c r="B1052" t="s">
        <v>2051</v>
      </c>
      <c r="C1052">
        <v>0</v>
      </c>
      <c r="D1052">
        <v>0</v>
      </c>
      <c r="E1052">
        <v>0</v>
      </c>
      <c r="F1052" t="s">
        <v>85</v>
      </c>
    </row>
    <row r="1053" spans="1:6" x14ac:dyDescent="0.35">
      <c r="A1053" t="s">
        <v>2052</v>
      </c>
      <c r="B1053" t="s">
        <v>2053</v>
      </c>
      <c r="C1053">
        <v>0</v>
      </c>
      <c r="D1053">
        <v>0</v>
      </c>
      <c r="E1053">
        <v>0</v>
      </c>
      <c r="F1053" t="s">
        <v>85</v>
      </c>
    </row>
    <row r="1054" spans="1:6" x14ac:dyDescent="0.35">
      <c r="A1054" t="s">
        <v>2054</v>
      </c>
      <c r="B1054" t="s">
        <v>2055</v>
      </c>
      <c r="C1054">
        <v>0</v>
      </c>
      <c r="D1054">
        <v>0</v>
      </c>
      <c r="E1054">
        <v>0</v>
      </c>
      <c r="F1054" t="s">
        <v>85</v>
      </c>
    </row>
    <row r="1055" spans="1:6" x14ac:dyDescent="0.35">
      <c r="A1055" t="s">
        <v>2056</v>
      </c>
      <c r="B1055" t="s">
        <v>2057</v>
      </c>
      <c r="C1055">
        <v>0</v>
      </c>
      <c r="D1055">
        <v>0</v>
      </c>
      <c r="E1055">
        <v>0</v>
      </c>
      <c r="F1055" t="s">
        <v>85</v>
      </c>
    </row>
    <row r="1056" spans="1:6" x14ac:dyDescent="0.35">
      <c r="A1056" t="s">
        <v>2058</v>
      </c>
      <c r="B1056" t="s">
        <v>2059</v>
      </c>
      <c r="C1056">
        <v>0.6</v>
      </c>
      <c r="D1056">
        <v>0.54</v>
      </c>
      <c r="E1056">
        <v>2.5000000000000001E-2</v>
      </c>
      <c r="F1056" t="s">
        <v>85</v>
      </c>
    </row>
    <row r="1057" spans="1:6" x14ac:dyDescent="0.35">
      <c r="A1057" t="s">
        <v>2060</v>
      </c>
      <c r="B1057" t="s">
        <v>2061</v>
      </c>
      <c r="C1057">
        <v>0</v>
      </c>
      <c r="D1057">
        <v>0</v>
      </c>
      <c r="E1057">
        <v>0</v>
      </c>
      <c r="F1057" t="s">
        <v>85</v>
      </c>
    </row>
    <row r="1058" spans="1:6" x14ac:dyDescent="0.35">
      <c r="A1058" t="s">
        <v>2062</v>
      </c>
      <c r="B1058" t="s">
        <v>2063</v>
      </c>
      <c r="C1058">
        <v>0.753</v>
      </c>
      <c r="D1058">
        <v>0.59</v>
      </c>
      <c r="E1058">
        <v>1.2E-2</v>
      </c>
      <c r="F1058" t="s">
        <v>8</v>
      </c>
    </row>
    <row r="1059" spans="1:6" x14ac:dyDescent="0.35">
      <c r="A1059" t="s">
        <v>2064</v>
      </c>
      <c r="B1059" t="s">
        <v>2065</v>
      </c>
      <c r="C1059">
        <v>0.753</v>
      </c>
      <c r="D1059">
        <v>0.56599999999999995</v>
      </c>
      <c r="E1059">
        <v>1.2E-2</v>
      </c>
      <c r="F1059" t="s">
        <v>8</v>
      </c>
    </row>
    <row r="1060" spans="1:6" x14ac:dyDescent="0.35">
      <c r="A1060" t="s">
        <v>2066</v>
      </c>
      <c r="B1060" t="s">
        <v>2067</v>
      </c>
      <c r="C1060">
        <v>0.622</v>
      </c>
      <c r="D1060">
        <v>0.622</v>
      </c>
      <c r="E1060">
        <v>1.2E-2</v>
      </c>
      <c r="F1060" t="s">
        <v>8</v>
      </c>
    </row>
    <row r="1061" spans="1:6" x14ac:dyDescent="0.35">
      <c r="A1061" t="s">
        <v>2068</v>
      </c>
      <c r="B1061" t="s">
        <v>2069</v>
      </c>
      <c r="C1061">
        <v>0.53</v>
      </c>
      <c r="D1061">
        <v>0.53</v>
      </c>
      <c r="E1061">
        <v>1.7999999999999999E-2</v>
      </c>
      <c r="F1061" t="s">
        <v>527</v>
      </c>
    </row>
    <row r="1062" spans="1:6" x14ac:dyDescent="0.35">
      <c r="A1062" t="s">
        <v>2070</v>
      </c>
      <c r="B1062" t="s">
        <v>2071</v>
      </c>
      <c r="C1062">
        <v>1.36</v>
      </c>
      <c r="D1062">
        <v>0.68</v>
      </c>
      <c r="E1062">
        <v>2.5000000000000001E-2</v>
      </c>
      <c r="F1062" t="s">
        <v>85</v>
      </c>
    </row>
    <row r="1063" spans="1:6" x14ac:dyDescent="0.35">
      <c r="A1063" t="s">
        <v>2072</v>
      </c>
      <c r="B1063" t="s">
        <v>2073</v>
      </c>
      <c r="C1063">
        <v>0.753</v>
      </c>
      <c r="D1063">
        <v>0.53</v>
      </c>
      <c r="E1063">
        <v>3.0000000000000001E-3</v>
      </c>
      <c r="F1063" t="s">
        <v>8</v>
      </c>
    </row>
    <row r="1064" spans="1:6" x14ac:dyDescent="0.35">
      <c r="A1064" t="s">
        <v>2074</v>
      </c>
      <c r="B1064" t="s">
        <v>2075</v>
      </c>
      <c r="C1064">
        <v>0.58199999999999996</v>
      </c>
      <c r="D1064">
        <v>0.58199999999999996</v>
      </c>
      <c r="E1064">
        <v>1.2E-2</v>
      </c>
      <c r="F1064" t="s">
        <v>85</v>
      </c>
    </row>
    <row r="1065" spans="1:6" x14ac:dyDescent="0.35">
      <c r="A1065" t="s">
        <v>2076</v>
      </c>
      <c r="B1065" t="s">
        <v>2077</v>
      </c>
      <c r="C1065">
        <v>0.66400000000000003</v>
      </c>
      <c r="D1065">
        <v>0.66400000000000003</v>
      </c>
      <c r="E1065">
        <v>1.2E-2</v>
      </c>
      <c r="F1065" t="s">
        <v>85</v>
      </c>
    </row>
    <row r="1066" spans="1:6" x14ac:dyDescent="0.35">
      <c r="A1066" t="s">
        <v>2078</v>
      </c>
      <c r="B1066" t="s">
        <v>2079</v>
      </c>
      <c r="C1066">
        <v>0.78</v>
      </c>
      <c r="D1066">
        <v>0.12</v>
      </c>
      <c r="E1066">
        <v>1.4999999999999999E-2</v>
      </c>
      <c r="F1066" t="s">
        <v>8</v>
      </c>
    </row>
    <row r="1067" spans="1:6" x14ac:dyDescent="0.35">
      <c r="A1067" t="s">
        <v>2080</v>
      </c>
      <c r="B1067" t="s">
        <v>2081</v>
      </c>
      <c r="C1067">
        <v>0.9</v>
      </c>
      <c r="D1067">
        <v>0.9</v>
      </c>
      <c r="E1067">
        <v>1.7999999999999999E-2</v>
      </c>
      <c r="F1067" t="s">
        <v>85</v>
      </c>
    </row>
    <row r="1068" spans="1:6" x14ac:dyDescent="0.35">
      <c r="A1068" t="s">
        <v>2082</v>
      </c>
      <c r="B1068" t="s">
        <v>2083</v>
      </c>
      <c r="C1068">
        <v>1.2</v>
      </c>
      <c r="D1068">
        <v>0.6</v>
      </c>
      <c r="E1068">
        <v>1.4999999999999999E-2</v>
      </c>
      <c r="F1068" t="s">
        <v>85</v>
      </c>
    </row>
    <row r="1069" spans="1:6" x14ac:dyDescent="0.35">
      <c r="A1069" t="s">
        <v>2084</v>
      </c>
      <c r="B1069" t="s">
        <v>2085</v>
      </c>
      <c r="C1069">
        <v>1.2</v>
      </c>
      <c r="D1069">
        <v>0.6</v>
      </c>
      <c r="E1069">
        <v>1.2E-2</v>
      </c>
      <c r="F1069" t="s">
        <v>85</v>
      </c>
    </row>
    <row r="1070" spans="1:6" x14ac:dyDescent="0.35">
      <c r="A1070" t="s">
        <v>2086</v>
      </c>
      <c r="B1070" t="s">
        <v>2087</v>
      </c>
      <c r="C1070">
        <v>1.08</v>
      </c>
      <c r="D1070">
        <v>0.12</v>
      </c>
      <c r="E1070">
        <v>1.4999999999999999E-2</v>
      </c>
      <c r="F1070" t="s">
        <v>8</v>
      </c>
    </row>
    <row r="1071" spans="1:6" x14ac:dyDescent="0.35">
      <c r="A1071" t="s">
        <v>2088</v>
      </c>
      <c r="B1071" t="s">
        <v>2089</v>
      </c>
      <c r="C1071">
        <v>1.2</v>
      </c>
      <c r="D1071">
        <v>0.9</v>
      </c>
      <c r="E1071">
        <v>1.7999999999999999E-2</v>
      </c>
      <c r="F1071" t="s">
        <v>85</v>
      </c>
    </row>
    <row r="1072" spans="1:6" x14ac:dyDescent="0.35">
      <c r="A1072" t="s">
        <v>2090</v>
      </c>
      <c r="B1072" t="s">
        <v>2091</v>
      </c>
      <c r="C1072">
        <v>1.35</v>
      </c>
      <c r="D1072">
        <v>0.9</v>
      </c>
      <c r="E1072">
        <v>1.7999999999999999E-2</v>
      </c>
      <c r="F1072" t="s">
        <v>85</v>
      </c>
    </row>
    <row r="1073" spans="1:6" x14ac:dyDescent="0.35">
      <c r="A1073" t="s">
        <v>2092</v>
      </c>
      <c r="B1073" t="s">
        <v>2093</v>
      </c>
      <c r="C1073">
        <v>1.35</v>
      </c>
      <c r="D1073">
        <v>0.9</v>
      </c>
      <c r="E1073">
        <v>1.7999999999999999E-2</v>
      </c>
      <c r="F1073" t="s">
        <v>85</v>
      </c>
    </row>
    <row r="1074" spans="1:6" x14ac:dyDescent="0.35">
      <c r="A1074" t="s">
        <v>2094</v>
      </c>
      <c r="B1074" t="s">
        <v>2095</v>
      </c>
      <c r="C1074">
        <v>0.74</v>
      </c>
      <c r="D1074">
        <v>0.12</v>
      </c>
      <c r="E1074">
        <v>1.7999999999999999E-2</v>
      </c>
      <c r="F1074" t="s">
        <v>8</v>
      </c>
    </row>
    <row r="1075" spans="1:6" x14ac:dyDescent="0.35">
      <c r="A1075" t="s">
        <v>2096</v>
      </c>
      <c r="B1075" t="s">
        <v>2097</v>
      </c>
      <c r="C1075">
        <v>0.74</v>
      </c>
      <c r="D1075">
        <v>0.1</v>
      </c>
      <c r="E1075">
        <v>1.7999999999999999E-2</v>
      </c>
      <c r="F1075" t="s">
        <v>8</v>
      </c>
    </row>
    <row r="1076" spans="1:6" x14ac:dyDescent="0.35">
      <c r="A1076" t="s">
        <v>2098</v>
      </c>
      <c r="B1076" t="s">
        <v>2099</v>
      </c>
      <c r="C1076">
        <v>1.48</v>
      </c>
      <c r="D1076">
        <v>0.12</v>
      </c>
      <c r="E1076">
        <v>1.4999999999999999E-2</v>
      </c>
      <c r="F1076" t="s">
        <v>8</v>
      </c>
    </row>
    <row r="1077" spans="1:6" x14ac:dyDescent="0.35">
      <c r="A1077" t="s">
        <v>2100</v>
      </c>
      <c r="B1077" t="s">
        <v>2101</v>
      </c>
      <c r="C1077">
        <v>0.81</v>
      </c>
      <c r="D1077">
        <v>0.12</v>
      </c>
      <c r="E1077">
        <v>1.4999999999999999E-2</v>
      </c>
      <c r="F1077" t="s">
        <v>8</v>
      </c>
    </row>
    <row r="1078" spans="1:6" x14ac:dyDescent="0.35">
      <c r="A1078" t="s">
        <v>2102</v>
      </c>
      <c r="B1078" t="s">
        <v>2103</v>
      </c>
      <c r="C1078">
        <v>1.6</v>
      </c>
      <c r="D1078">
        <v>0.9</v>
      </c>
      <c r="E1078">
        <v>1.7999999999999999E-2</v>
      </c>
      <c r="F1078" t="s">
        <v>85</v>
      </c>
    </row>
    <row r="1079" spans="1:6" x14ac:dyDescent="0.35">
      <c r="A1079" t="s">
        <v>2104</v>
      </c>
      <c r="B1079" t="s">
        <v>2105</v>
      </c>
      <c r="C1079">
        <v>1.23</v>
      </c>
      <c r="D1079">
        <v>0.12</v>
      </c>
      <c r="E1079">
        <v>1.4999999999999999E-2</v>
      </c>
      <c r="F1079" t="s">
        <v>8</v>
      </c>
    </row>
    <row r="1080" spans="1:6" x14ac:dyDescent="0.35">
      <c r="A1080" t="s">
        <v>2106</v>
      </c>
      <c r="B1080" t="s">
        <v>2107</v>
      </c>
      <c r="C1080">
        <v>0.78</v>
      </c>
      <c r="D1080">
        <v>0.45500000000000002</v>
      </c>
      <c r="E1080">
        <v>1.4999999999999999E-2</v>
      </c>
      <c r="F1080" t="s">
        <v>8</v>
      </c>
    </row>
    <row r="1081" spans="1:6" x14ac:dyDescent="0.35">
      <c r="A1081" t="s">
        <v>2108</v>
      </c>
      <c r="B1081" t="s">
        <v>2109</v>
      </c>
      <c r="C1081">
        <v>0.9</v>
      </c>
      <c r="D1081">
        <v>0.9</v>
      </c>
      <c r="E1081">
        <v>1.7999999999999999E-2</v>
      </c>
      <c r="F1081" t="s">
        <v>85</v>
      </c>
    </row>
    <row r="1082" spans="1:6" x14ac:dyDescent="0.35">
      <c r="A1082" t="s">
        <v>2110</v>
      </c>
      <c r="B1082" t="s">
        <v>2111</v>
      </c>
      <c r="C1082">
        <v>0.78</v>
      </c>
      <c r="D1082">
        <v>0.5</v>
      </c>
      <c r="E1082">
        <v>1.2E-2</v>
      </c>
      <c r="F1082" t="s">
        <v>301</v>
      </c>
    </row>
    <row r="1083" spans="1:6" x14ac:dyDescent="0.35">
      <c r="A1083" t="s">
        <v>2112</v>
      </c>
      <c r="B1083" t="s">
        <v>2089</v>
      </c>
      <c r="C1083">
        <v>1.2</v>
      </c>
      <c r="D1083">
        <v>0.9</v>
      </c>
      <c r="E1083">
        <v>1.7999999999999999E-2</v>
      </c>
      <c r="F1083" t="s">
        <v>85</v>
      </c>
    </row>
    <row r="1084" spans="1:6" x14ac:dyDescent="0.35">
      <c r="A1084" t="s">
        <v>2113</v>
      </c>
      <c r="B1084" t="s">
        <v>2114</v>
      </c>
      <c r="C1084">
        <v>1.2</v>
      </c>
      <c r="D1084">
        <v>0.9</v>
      </c>
      <c r="E1084">
        <v>1.7999999999999999E-2</v>
      </c>
      <c r="F1084" t="s">
        <v>85</v>
      </c>
    </row>
    <row r="1085" spans="1:6" x14ac:dyDescent="0.35">
      <c r="A1085" t="s">
        <v>2115</v>
      </c>
      <c r="B1085" t="s">
        <v>2116</v>
      </c>
      <c r="C1085">
        <v>0.78</v>
      </c>
      <c r="D1085">
        <v>0.91</v>
      </c>
      <c r="E1085">
        <v>1.4999999999999999E-2</v>
      </c>
      <c r="F1085" t="s">
        <v>8</v>
      </c>
    </row>
    <row r="1086" spans="1:6" x14ac:dyDescent="0.35">
      <c r="A1086" t="s">
        <v>2117</v>
      </c>
      <c r="B1086" t="s">
        <v>2118</v>
      </c>
      <c r="C1086">
        <v>0.78</v>
      </c>
      <c r="D1086">
        <v>0.45500000000000002</v>
      </c>
      <c r="E1086">
        <v>1.2E-2</v>
      </c>
      <c r="F1086" t="s">
        <v>8</v>
      </c>
    </row>
    <row r="1087" spans="1:6" x14ac:dyDescent="0.35">
      <c r="A1087" t="s">
        <v>2119</v>
      </c>
      <c r="B1087" t="s">
        <v>2120</v>
      </c>
      <c r="C1087">
        <v>1.6</v>
      </c>
      <c r="D1087">
        <v>0.9</v>
      </c>
      <c r="E1087">
        <v>1.7999999999999999E-2</v>
      </c>
      <c r="F1087" t="s">
        <v>85</v>
      </c>
    </row>
    <row r="1088" spans="1:6" x14ac:dyDescent="0.35">
      <c r="A1088" t="s">
        <v>2121</v>
      </c>
      <c r="B1088" t="s">
        <v>2122</v>
      </c>
      <c r="C1088">
        <v>0.73</v>
      </c>
      <c r="D1088">
        <v>0.114</v>
      </c>
      <c r="E1088">
        <v>1.4999999999999999E-2</v>
      </c>
      <c r="F1088" t="s">
        <v>8</v>
      </c>
    </row>
    <row r="1089" spans="1:6" x14ac:dyDescent="0.35">
      <c r="A1089" t="s">
        <v>2123</v>
      </c>
      <c r="B1089" t="s">
        <v>2124</v>
      </c>
      <c r="C1089">
        <v>0.73</v>
      </c>
      <c r="D1089">
        <v>9.5000000000000001E-2</v>
      </c>
      <c r="E1089">
        <v>1.4999999999999999E-2</v>
      </c>
      <c r="F1089" t="s">
        <v>8</v>
      </c>
    </row>
    <row r="1090" spans="1:6" x14ac:dyDescent="0.35">
      <c r="A1090" t="s">
        <v>2125</v>
      </c>
      <c r="B1090" t="s">
        <v>2126</v>
      </c>
      <c r="C1090">
        <v>1.446</v>
      </c>
      <c r="D1090">
        <v>0.121</v>
      </c>
      <c r="E1090">
        <v>1.4999999999999999E-2</v>
      </c>
      <c r="F1090" t="s">
        <v>8</v>
      </c>
    </row>
    <row r="1091" spans="1:6" x14ac:dyDescent="0.35">
      <c r="A1091" t="s">
        <v>2127</v>
      </c>
      <c r="B1091" t="s">
        <v>2128</v>
      </c>
      <c r="C1091">
        <v>0.77600000000000002</v>
      </c>
      <c r="D1091">
        <v>0.121</v>
      </c>
      <c r="E1091">
        <v>1.4999999999999999E-2</v>
      </c>
      <c r="F1091" t="s">
        <v>8</v>
      </c>
    </row>
    <row r="1092" spans="1:6" x14ac:dyDescent="0.35">
      <c r="A1092" t="s">
        <v>2129</v>
      </c>
      <c r="B1092" t="s">
        <v>2130</v>
      </c>
      <c r="C1092">
        <v>1.6020000000000001</v>
      </c>
      <c r="D1092">
        <v>0.90200000000000002</v>
      </c>
      <c r="E1092">
        <v>1.4999999999999999E-2</v>
      </c>
      <c r="F1092" t="s">
        <v>8</v>
      </c>
    </row>
    <row r="1093" spans="1:6" x14ac:dyDescent="0.35">
      <c r="A1093" t="s">
        <v>2131</v>
      </c>
      <c r="B1093" t="s">
        <v>2132</v>
      </c>
      <c r="C1093">
        <v>1.478</v>
      </c>
      <c r="D1093">
        <v>0.06</v>
      </c>
      <c r="E1093">
        <v>1.4999999999999999E-2</v>
      </c>
      <c r="F1093" t="s">
        <v>8</v>
      </c>
    </row>
    <row r="1094" spans="1:6" x14ac:dyDescent="0.35">
      <c r="A1094" t="s">
        <v>2133</v>
      </c>
      <c r="B1094" t="s">
        <v>2134</v>
      </c>
      <c r="C1094">
        <v>0.90200000000000002</v>
      </c>
      <c r="D1094">
        <v>0.06</v>
      </c>
      <c r="E1094">
        <v>1.4999999999999999E-2</v>
      </c>
      <c r="F1094" t="s">
        <v>8</v>
      </c>
    </row>
    <row r="1095" spans="1:6" x14ac:dyDescent="0.35">
      <c r="A1095" t="s">
        <v>2135</v>
      </c>
      <c r="B1095" t="s">
        <v>2136</v>
      </c>
      <c r="C1095">
        <v>1.206</v>
      </c>
      <c r="D1095">
        <v>0.12</v>
      </c>
      <c r="E1095">
        <v>1.4999999999999999E-2</v>
      </c>
      <c r="F1095" t="s">
        <v>8</v>
      </c>
    </row>
    <row r="1096" spans="1:6" x14ac:dyDescent="0.35">
      <c r="A1096" t="s">
        <v>2137</v>
      </c>
      <c r="B1096" t="s">
        <v>2138</v>
      </c>
      <c r="C1096">
        <v>1.3620000000000001</v>
      </c>
      <c r="D1096">
        <v>0.90200000000000002</v>
      </c>
      <c r="E1096">
        <v>1.4999999999999999E-2</v>
      </c>
      <c r="F1096" t="s">
        <v>8</v>
      </c>
    </row>
    <row r="1097" spans="1:6" x14ac:dyDescent="0.35">
      <c r="A1097" t="s">
        <v>2139</v>
      </c>
      <c r="B1097" t="s">
        <v>2140</v>
      </c>
      <c r="C1097">
        <v>1.24</v>
      </c>
      <c r="D1097">
        <v>0.06</v>
      </c>
      <c r="E1097">
        <v>1.4999999999999999E-2</v>
      </c>
      <c r="F1097" t="s">
        <v>8</v>
      </c>
    </row>
    <row r="1098" spans="1:6" x14ac:dyDescent="0.35">
      <c r="A1098" t="s">
        <v>2141</v>
      </c>
      <c r="B1098" t="s">
        <v>2142</v>
      </c>
      <c r="C1098">
        <v>1.046</v>
      </c>
      <c r="D1098">
        <v>0.121</v>
      </c>
      <c r="E1098">
        <v>1.4999999999999999E-2</v>
      </c>
      <c r="F1098" t="s">
        <v>8</v>
      </c>
    </row>
    <row r="1099" spans="1:6" x14ac:dyDescent="0.35">
      <c r="A1099" t="s">
        <v>2143</v>
      </c>
      <c r="B1099" t="s">
        <v>2144</v>
      </c>
      <c r="C1099">
        <v>1.202</v>
      </c>
      <c r="D1099">
        <v>0.90200000000000002</v>
      </c>
      <c r="E1099">
        <v>1.4999999999999999E-2</v>
      </c>
      <c r="F1099" t="s">
        <v>8</v>
      </c>
    </row>
    <row r="1100" spans="1:6" x14ac:dyDescent="0.35">
      <c r="A1100" t="s">
        <v>2145</v>
      </c>
      <c r="B1100" t="s">
        <v>2146</v>
      </c>
      <c r="C1100">
        <v>1.08</v>
      </c>
      <c r="D1100">
        <v>0.06</v>
      </c>
      <c r="E1100">
        <v>1.4999999999999999E-2</v>
      </c>
      <c r="F1100" t="s">
        <v>8</v>
      </c>
    </row>
    <row r="1101" spans="1:6" x14ac:dyDescent="0.35">
      <c r="A1101" t="s">
        <v>2147</v>
      </c>
      <c r="B1101" t="s">
        <v>2148</v>
      </c>
      <c r="C1101">
        <v>0.746</v>
      </c>
      <c r="D1101">
        <v>0.121</v>
      </c>
      <c r="E1101">
        <v>1.4999999999999999E-2</v>
      </c>
      <c r="F1101" t="s">
        <v>8</v>
      </c>
    </row>
    <row r="1102" spans="1:6" x14ac:dyDescent="0.35">
      <c r="A1102" t="s">
        <v>2149</v>
      </c>
      <c r="B1102" t="s">
        <v>2150</v>
      </c>
      <c r="C1102">
        <v>0.90200000000000002</v>
      </c>
      <c r="D1102">
        <v>0.90200000000000002</v>
      </c>
      <c r="E1102">
        <v>1.4999999999999999E-2</v>
      </c>
      <c r="F1102" t="s">
        <v>8</v>
      </c>
    </row>
    <row r="1103" spans="1:6" x14ac:dyDescent="0.35">
      <c r="A1103" t="s">
        <v>2151</v>
      </c>
      <c r="B1103" t="s">
        <v>2152</v>
      </c>
      <c r="C1103">
        <v>0.78</v>
      </c>
      <c r="D1103">
        <v>0.06</v>
      </c>
      <c r="E1103">
        <v>1.4999999999999999E-2</v>
      </c>
      <c r="F1103" t="s">
        <v>8</v>
      </c>
    </row>
    <row r="1104" spans="1:6" x14ac:dyDescent="0.35">
      <c r="A1104" t="s">
        <v>2153</v>
      </c>
      <c r="B1104" t="s">
        <v>2154</v>
      </c>
      <c r="C1104">
        <v>1.08</v>
      </c>
      <c r="D1104">
        <v>0.38</v>
      </c>
      <c r="E1104">
        <v>1.2E-2</v>
      </c>
      <c r="F1104" t="s">
        <v>8</v>
      </c>
    </row>
    <row r="1105" spans="1:6" x14ac:dyDescent="0.35">
      <c r="A1105" t="s">
        <v>2155</v>
      </c>
      <c r="B1105" t="s">
        <v>2156</v>
      </c>
      <c r="C1105">
        <v>0.75</v>
      </c>
      <c r="D1105">
        <v>0.31</v>
      </c>
      <c r="E1105">
        <v>1.2E-2</v>
      </c>
      <c r="F1105" t="s">
        <v>301</v>
      </c>
    </row>
    <row r="1106" spans="1:6" x14ac:dyDescent="0.35">
      <c r="A1106" t="s">
        <v>2157</v>
      </c>
      <c r="B1106" t="s">
        <v>2154</v>
      </c>
      <c r="C1106">
        <v>1.08</v>
      </c>
      <c r="D1106">
        <v>0.38</v>
      </c>
      <c r="E1106">
        <v>1.2E-2</v>
      </c>
      <c r="F1106" t="s">
        <v>8</v>
      </c>
    </row>
    <row r="1107" spans="1:6" x14ac:dyDescent="0.35">
      <c r="A1107" t="s">
        <v>2158</v>
      </c>
      <c r="B1107" t="s">
        <v>2159</v>
      </c>
      <c r="C1107">
        <v>1.08</v>
      </c>
      <c r="D1107">
        <v>0.1</v>
      </c>
      <c r="E1107">
        <v>1.2E-2</v>
      </c>
      <c r="F1107" t="s">
        <v>301</v>
      </c>
    </row>
    <row r="1108" spans="1:6" x14ac:dyDescent="0.35">
      <c r="A1108" t="s">
        <v>2160</v>
      </c>
      <c r="B1108" t="s">
        <v>2161</v>
      </c>
      <c r="C1108">
        <v>0.17499999999999999</v>
      </c>
      <c r="D1108">
        <v>7.0000000000000007E-2</v>
      </c>
      <c r="E1108">
        <v>1.2E-2</v>
      </c>
      <c r="F1108" t="s">
        <v>301</v>
      </c>
    </row>
    <row r="1109" spans="1:6" x14ac:dyDescent="0.35">
      <c r="A1109" t="s">
        <v>2162</v>
      </c>
      <c r="B1109" t="s">
        <v>2163</v>
      </c>
      <c r="C1109">
        <v>0.75</v>
      </c>
      <c r="D1109">
        <v>0.33500000000000002</v>
      </c>
      <c r="E1109">
        <v>1.2E-2</v>
      </c>
      <c r="F1109" t="s">
        <v>8</v>
      </c>
    </row>
    <row r="1110" spans="1:6" x14ac:dyDescent="0.35">
      <c r="A1110" t="s">
        <v>2164</v>
      </c>
      <c r="B1110" t="s">
        <v>2165</v>
      </c>
      <c r="C1110">
        <v>0.78</v>
      </c>
      <c r="D1110">
        <v>0.45500000000000002</v>
      </c>
      <c r="E1110">
        <v>1.4999999999999999E-2</v>
      </c>
      <c r="F1110" t="s">
        <v>8</v>
      </c>
    </row>
    <row r="1111" spans="1:6" x14ac:dyDescent="0.35">
      <c r="A1111" t="s">
        <v>2166</v>
      </c>
      <c r="B1111" t="s">
        <v>2167</v>
      </c>
      <c r="C1111">
        <v>1.6020000000000001</v>
      </c>
      <c r="D1111">
        <v>0.90200000000000002</v>
      </c>
      <c r="E1111">
        <v>1.4999999999999999E-2</v>
      </c>
      <c r="F1111" t="s">
        <v>8</v>
      </c>
    </row>
    <row r="1112" spans="1:6" x14ac:dyDescent="0.35">
      <c r="A1112" t="s">
        <v>2168</v>
      </c>
      <c r="B1112" t="s">
        <v>2169</v>
      </c>
      <c r="C1112">
        <v>0.90200000000000002</v>
      </c>
      <c r="D1112">
        <v>0.90200000000000002</v>
      </c>
      <c r="E1112">
        <v>1.4999999999999999E-2</v>
      </c>
      <c r="F1112" t="s">
        <v>8</v>
      </c>
    </row>
    <row r="1113" spans="1:6" x14ac:dyDescent="0.35">
      <c r="A1113" t="s">
        <v>2170</v>
      </c>
      <c r="B1113" t="s">
        <v>2171</v>
      </c>
      <c r="C1113">
        <v>0.91</v>
      </c>
      <c r="D1113">
        <v>0.77</v>
      </c>
      <c r="E1113">
        <v>1.4999999999999999E-2</v>
      </c>
      <c r="F1113" t="s">
        <v>8</v>
      </c>
    </row>
    <row r="1114" spans="1:6" x14ac:dyDescent="0.35">
      <c r="A1114" t="s">
        <v>2172</v>
      </c>
      <c r="B1114" t="s">
        <v>2173</v>
      </c>
      <c r="C1114">
        <v>0.78</v>
      </c>
      <c r="D1114">
        <v>0.45500000000000002</v>
      </c>
      <c r="E1114">
        <v>1.2E-2</v>
      </c>
      <c r="F1114" t="s">
        <v>8</v>
      </c>
    </row>
    <row r="1115" spans="1:6" x14ac:dyDescent="0.35">
      <c r="A1115" t="s">
        <v>2174</v>
      </c>
      <c r="B1115" t="s">
        <v>2175</v>
      </c>
      <c r="C1115">
        <v>1.476</v>
      </c>
      <c r="D1115">
        <v>0.06</v>
      </c>
      <c r="E1115">
        <v>1.2E-2</v>
      </c>
      <c r="F1115" t="s">
        <v>8</v>
      </c>
    </row>
    <row r="1116" spans="1:6" x14ac:dyDescent="0.35">
      <c r="A1116" t="s">
        <v>2176</v>
      </c>
      <c r="B1116" t="s">
        <v>2177</v>
      </c>
      <c r="C1116">
        <v>0.90200000000000002</v>
      </c>
      <c r="D1116">
        <v>0.06</v>
      </c>
      <c r="E1116">
        <v>1.4999999999999999E-2</v>
      </c>
      <c r="F1116" t="s">
        <v>8</v>
      </c>
    </row>
    <row r="1117" spans="1:6" x14ac:dyDescent="0.35">
      <c r="A1117" t="s">
        <v>2178</v>
      </c>
      <c r="B1117" t="s">
        <v>2179</v>
      </c>
      <c r="C1117">
        <v>0.75700000000000001</v>
      </c>
      <c r="D1117">
        <v>0.114</v>
      </c>
      <c r="E1117">
        <v>1.4999999999999999E-2</v>
      </c>
      <c r="F1117" t="s">
        <v>8</v>
      </c>
    </row>
    <row r="1118" spans="1:6" x14ac:dyDescent="0.35">
      <c r="A1118" t="s">
        <v>2180</v>
      </c>
      <c r="B1118" t="s">
        <v>2181</v>
      </c>
      <c r="C1118">
        <v>0.75700000000000001</v>
      </c>
      <c r="D1118">
        <v>9.5000000000000001E-2</v>
      </c>
      <c r="E1118">
        <v>1.4999999999999999E-2</v>
      </c>
      <c r="F1118" t="s">
        <v>8</v>
      </c>
    </row>
    <row r="1119" spans="1:6" x14ac:dyDescent="0.35">
      <c r="A1119" t="s">
        <v>2182</v>
      </c>
      <c r="B1119" t="s">
        <v>2183</v>
      </c>
      <c r="C1119">
        <v>1.518</v>
      </c>
      <c r="D1119">
        <v>0.105</v>
      </c>
      <c r="E1119">
        <v>1.4999999999999999E-2</v>
      </c>
      <c r="F1119" t="s">
        <v>8</v>
      </c>
    </row>
    <row r="1120" spans="1:6" x14ac:dyDescent="0.35">
      <c r="A1120" t="s">
        <v>2184</v>
      </c>
      <c r="B1120" t="s">
        <v>2185</v>
      </c>
      <c r="C1120">
        <v>0.84799999999999998</v>
      </c>
      <c r="D1120">
        <v>0.105</v>
      </c>
      <c r="E1120">
        <v>1.4999999999999999E-2</v>
      </c>
      <c r="F1120" t="s">
        <v>8</v>
      </c>
    </row>
    <row r="1121" spans="1:6" x14ac:dyDescent="0.35">
      <c r="A1121" t="s">
        <v>2186</v>
      </c>
      <c r="B1121" t="s">
        <v>2187</v>
      </c>
      <c r="C1121">
        <v>1.59</v>
      </c>
      <c r="D1121">
        <v>6.0999999999999999E-2</v>
      </c>
      <c r="E1121">
        <v>1.4999999999999999E-2</v>
      </c>
      <c r="F1121" t="s">
        <v>8</v>
      </c>
    </row>
    <row r="1122" spans="1:6" x14ac:dyDescent="0.35">
      <c r="A1122" t="s">
        <v>2188</v>
      </c>
      <c r="B1122" t="s">
        <v>2189</v>
      </c>
      <c r="C1122">
        <v>0.89</v>
      </c>
      <c r="D1122">
        <v>6.0999999999999999E-2</v>
      </c>
      <c r="E1122">
        <v>1.4999999999999999E-2</v>
      </c>
      <c r="F1122" t="s">
        <v>8</v>
      </c>
    </row>
    <row r="1123" spans="1:6" x14ac:dyDescent="0.35">
      <c r="A1123" t="s">
        <v>2190</v>
      </c>
      <c r="B1123" t="s">
        <v>2191</v>
      </c>
      <c r="C1123">
        <v>1.6020000000000001</v>
      </c>
      <c r="D1123">
        <v>0.90200000000000002</v>
      </c>
      <c r="E1123">
        <v>1.2E-2</v>
      </c>
      <c r="F1123" t="s">
        <v>8</v>
      </c>
    </row>
    <row r="1124" spans="1:6" x14ac:dyDescent="0.35">
      <c r="A1124" t="s">
        <v>2192</v>
      </c>
      <c r="B1124" t="s">
        <v>2193</v>
      </c>
      <c r="C1124">
        <v>1.48</v>
      </c>
      <c r="D1124">
        <v>0.06</v>
      </c>
      <c r="E1124">
        <v>1.2E-2</v>
      </c>
      <c r="F1124" t="s">
        <v>8</v>
      </c>
    </row>
    <row r="1125" spans="1:6" x14ac:dyDescent="0.35">
      <c r="A1125" t="s">
        <v>2194</v>
      </c>
      <c r="B1125" t="s">
        <v>2195</v>
      </c>
      <c r="C1125">
        <v>0.90200000000000002</v>
      </c>
      <c r="D1125">
        <v>0.06</v>
      </c>
      <c r="E1125">
        <v>1.2E-2</v>
      </c>
      <c r="F1125" t="s">
        <v>8</v>
      </c>
    </row>
    <row r="1126" spans="1:6" x14ac:dyDescent="0.35">
      <c r="A1126" t="s">
        <v>2196</v>
      </c>
      <c r="B1126" t="s">
        <v>2197</v>
      </c>
      <c r="C1126">
        <v>1.278</v>
      </c>
      <c r="D1126">
        <v>0.105</v>
      </c>
      <c r="E1126">
        <v>1.4999999999999999E-2</v>
      </c>
      <c r="F1126" t="s">
        <v>8</v>
      </c>
    </row>
    <row r="1127" spans="1:6" x14ac:dyDescent="0.35">
      <c r="A1127" t="s">
        <v>2198</v>
      </c>
      <c r="B1127" t="s">
        <v>2199</v>
      </c>
      <c r="C1127">
        <v>1.35</v>
      </c>
      <c r="D1127">
        <v>6.0999999999999999E-2</v>
      </c>
      <c r="E1127">
        <v>1.4999999999999999E-2</v>
      </c>
      <c r="F1127" t="s">
        <v>8</v>
      </c>
    </row>
    <row r="1128" spans="1:6" x14ac:dyDescent="0.35">
      <c r="A1128" t="s">
        <v>2200</v>
      </c>
      <c r="B1128" t="s">
        <v>2201</v>
      </c>
      <c r="C1128">
        <v>1.3620000000000001</v>
      </c>
      <c r="D1128">
        <v>0.90200000000000002</v>
      </c>
      <c r="E1128">
        <v>1.2E-2</v>
      </c>
      <c r="F1128" t="s">
        <v>8</v>
      </c>
    </row>
    <row r="1129" spans="1:6" x14ac:dyDescent="0.35">
      <c r="A1129" t="s">
        <v>2202</v>
      </c>
      <c r="B1129" t="s">
        <v>2203</v>
      </c>
      <c r="C1129">
        <v>1.24</v>
      </c>
      <c r="D1129">
        <v>0.06</v>
      </c>
      <c r="E1129">
        <v>1.2E-2</v>
      </c>
      <c r="F1129" t="s">
        <v>8</v>
      </c>
    </row>
    <row r="1130" spans="1:6" x14ac:dyDescent="0.35">
      <c r="A1130" t="s">
        <v>2204</v>
      </c>
      <c r="B1130" t="s">
        <v>2205</v>
      </c>
      <c r="C1130">
        <v>1.2</v>
      </c>
      <c r="D1130">
        <v>0.9</v>
      </c>
      <c r="E1130">
        <v>1.7999999999999999E-2</v>
      </c>
      <c r="F1130" t="s">
        <v>85</v>
      </c>
    </row>
    <row r="1131" spans="1:6" x14ac:dyDescent="0.35">
      <c r="A1131" t="s">
        <v>2206</v>
      </c>
      <c r="B1131" t="s">
        <v>2207</v>
      </c>
      <c r="C1131">
        <v>0.77</v>
      </c>
      <c r="D1131">
        <v>0.09</v>
      </c>
      <c r="E1131">
        <v>2.5000000000000001E-2</v>
      </c>
      <c r="F1131" t="s">
        <v>8</v>
      </c>
    </row>
    <row r="1132" spans="1:6" x14ac:dyDescent="0.35">
      <c r="A1132" t="s">
        <v>2208</v>
      </c>
      <c r="B1132" t="s">
        <v>2209</v>
      </c>
      <c r="C1132">
        <v>0.35</v>
      </c>
      <c r="D1132">
        <v>0.09</v>
      </c>
      <c r="E1132">
        <v>2.5000000000000001E-2</v>
      </c>
      <c r="F1132" t="s">
        <v>8</v>
      </c>
    </row>
    <row r="1133" spans="1:6" x14ac:dyDescent="0.35">
      <c r="A1133" t="s">
        <v>2210</v>
      </c>
      <c r="B1133" t="s">
        <v>2211</v>
      </c>
      <c r="C1133">
        <v>0.22</v>
      </c>
      <c r="D1133">
        <v>0.09</v>
      </c>
      <c r="E1133">
        <v>2.5000000000000001E-2</v>
      </c>
      <c r="F1133" t="s">
        <v>8</v>
      </c>
    </row>
    <row r="1134" spans="1:6" x14ac:dyDescent="0.35">
      <c r="A1134" t="s">
        <v>2212</v>
      </c>
      <c r="B1134" t="s">
        <v>2213</v>
      </c>
      <c r="C1134">
        <v>0.35</v>
      </c>
      <c r="D1134">
        <v>0.09</v>
      </c>
      <c r="E1134">
        <v>2.5000000000000001E-2</v>
      </c>
      <c r="F1134" t="s">
        <v>8</v>
      </c>
    </row>
    <row r="1135" spans="1:6" x14ac:dyDescent="0.35">
      <c r="A1135" t="s">
        <v>2214</v>
      </c>
      <c r="B1135" t="s">
        <v>2215</v>
      </c>
      <c r="C1135">
        <v>1.01</v>
      </c>
      <c r="D1135">
        <v>0.09</v>
      </c>
      <c r="E1135">
        <v>2.5000000000000001E-2</v>
      </c>
      <c r="F1135" t="s">
        <v>8</v>
      </c>
    </row>
    <row r="1136" spans="1:6" x14ac:dyDescent="0.35">
      <c r="A1136" t="s">
        <v>2216</v>
      </c>
      <c r="B1136" t="s">
        <v>2217</v>
      </c>
      <c r="C1136">
        <v>0.88</v>
      </c>
      <c r="D1136">
        <v>0.09</v>
      </c>
      <c r="E1136">
        <v>2.5000000000000001E-2</v>
      </c>
      <c r="F1136" t="s">
        <v>8</v>
      </c>
    </row>
    <row r="1137" spans="1:6" x14ac:dyDescent="0.35">
      <c r="A1137" t="s">
        <v>2218</v>
      </c>
      <c r="B1137" t="s">
        <v>2219</v>
      </c>
      <c r="C1137">
        <v>0.86199999999999999</v>
      </c>
      <c r="D1137">
        <v>0.755</v>
      </c>
      <c r="E1137">
        <v>1.4999999999999999E-2</v>
      </c>
      <c r="F1137" t="s">
        <v>8</v>
      </c>
    </row>
    <row r="1138" spans="1:6" x14ac:dyDescent="0.35">
      <c r="A1138" t="s">
        <v>2220</v>
      </c>
      <c r="B1138" t="s">
        <v>2221</v>
      </c>
      <c r="C1138">
        <v>0.33600000000000002</v>
      </c>
      <c r="D1138">
        <v>0.3</v>
      </c>
      <c r="E1138">
        <v>1.2E-2</v>
      </c>
      <c r="F1138" t="s">
        <v>8</v>
      </c>
    </row>
    <row r="1139" spans="1:6" x14ac:dyDescent="0.35">
      <c r="A1139" t="s">
        <v>2222</v>
      </c>
      <c r="B1139" t="s">
        <v>2223</v>
      </c>
      <c r="C1139">
        <v>1.365</v>
      </c>
      <c r="D1139">
        <v>0.90500000000000003</v>
      </c>
      <c r="E1139">
        <v>2.5000000000000001E-2</v>
      </c>
      <c r="F1139" t="s">
        <v>85</v>
      </c>
    </row>
    <row r="1140" spans="1:6" x14ac:dyDescent="0.35">
      <c r="A1140" t="s">
        <v>2224</v>
      </c>
      <c r="B1140" t="s">
        <v>2225</v>
      </c>
      <c r="C1140">
        <v>0</v>
      </c>
      <c r="D1140">
        <v>0</v>
      </c>
      <c r="E1140">
        <v>0</v>
      </c>
      <c r="F1140" t="s">
        <v>301</v>
      </c>
    </row>
    <row r="1141" spans="1:6" x14ac:dyDescent="0.35">
      <c r="A1141" t="s">
        <v>2226</v>
      </c>
      <c r="B1141" t="s">
        <v>2227</v>
      </c>
      <c r="C1141">
        <v>1.365</v>
      </c>
      <c r="D1141">
        <v>0.90500000000000003</v>
      </c>
      <c r="E1141">
        <v>2.5000000000000001E-2</v>
      </c>
      <c r="F1141" t="s">
        <v>85</v>
      </c>
    </row>
    <row r="1142" spans="1:6" x14ac:dyDescent="0.35">
      <c r="A1142" t="s">
        <v>2228</v>
      </c>
      <c r="B1142" t="s">
        <v>2229</v>
      </c>
      <c r="C1142">
        <v>0.96199999999999997</v>
      </c>
      <c r="D1142">
        <v>0.755</v>
      </c>
      <c r="E1142">
        <v>1.4999999999999999E-2</v>
      </c>
      <c r="F1142" t="s">
        <v>8</v>
      </c>
    </row>
    <row r="1143" spans="1:6" x14ac:dyDescent="0.35">
      <c r="A1143" t="s">
        <v>2230</v>
      </c>
      <c r="B1143" t="s">
        <v>2231</v>
      </c>
      <c r="C1143">
        <v>0.77800000000000002</v>
      </c>
      <c r="D1143">
        <v>0.33600000000000002</v>
      </c>
      <c r="E1143">
        <v>1.2E-2</v>
      </c>
      <c r="F1143" t="s">
        <v>8</v>
      </c>
    </row>
    <row r="1144" spans="1:6" x14ac:dyDescent="0.35">
      <c r="A1144" t="s">
        <v>2232</v>
      </c>
      <c r="B1144" t="s">
        <v>2233</v>
      </c>
      <c r="C1144">
        <v>0.38600000000000001</v>
      </c>
      <c r="D1144">
        <v>0.33600000000000002</v>
      </c>
      <c r="E1144">
        <v>1.2E-2</v>
      </c>
      <c r="F1144" t="s">
        <v>8</v>
      </c>
    </row>
    <row r="1145" spans="1:6" x14ac:dyDescent="0.35">
      <c r="A1145" t="s">
        <v>2234</v>
      </c>
      <c r="B1145" t="s">
        <v>2235</v>
      </c>
      <c r="C1145">
        <v>0.33600000000000002</v>
      </c>
      <c r="D1145">
        <v>0.115</v>
      </c>
      <c r="E1145">
        <v>1.2E-2</v>
      </c>
      <c r="F1145" t="s">
        <v>8</v>
      </c>
    </row>
    <row r="1146" spans="1:6" x14ac:dyDescent="0.35">
      <c r="A1146" t="s">
        <v>2236</v>
      </c>
      <c r="B1146" t="s">
        <v>2237</v>
      </c>
      <c r="C1146">
        <v>0.64</v>
      </c>
      <c r="D1146">
        <v>0.34799999999999998</v>
      </c>
      <c r="E1146">
        <v>3.0000000000000001E-3</v>
      </c>
      <c r="F1146" t="s">
        <v>8</v>
      </c>
    </row>
    <row r="1147" spans="1:6" x14ac:dyDescent="0.35">
      <c r="A1147" t="s">
        <v>2238</v>
      </c>
      <c r="B1147" t="s">
        <v>2239</v>
      </c>
      <c r="C1147">
        <v>1.6</v>
      </c>
      <c r="D1147">
        <v>0.9</v>
      </c>
      <c r="E1147">
        <v>2.5000000000000001E-2</v>
      </c>
      <c r="F1147" t="s">
        <v>85</v>
      </c>
    </row>
    <row r="1148" spans="1:6" x14ac:dyDescent="0.35">
      <c r="A1148" t="s">
        <v>2240</v>
      </c>
      <c r="B1148" t="s">
        <v>2241</v>
      </c>
      <c r="C1148">
        <v>0</v>
      </c>
      <c r="D1148">
        <v>0</v>
      </c>
      <c r="E1148">
        <v>0</v>
      </c>
      <c r="F1148" t="s">
        <v>301</v>
      </c>
    </row>
    <row r="1149" spans="1:6" x14ac:dyDescent="0.35">
      <c r="A1149" t="s">
        <v>2242</v>
      </c>
      <c r="B1149" t="s">
        <v>2243</v>
      </c>
      <c r="C1149">
        <v>1.6</v>
      </c>
      <c r="D1149">
        <v>0.9</v>
      </c>
      <c r="E1149">
        <v>2.5000000000000001E-2</v>
      </c>
      <c r="F1149" t="s">
        <v>85</v>
      </c>
    </row>
    <row r="1150" spans="1:6" x14ac:dyDescent="0.35">
      <c r="A1150" t="s">
        <v>2244</v>
      </c>
      <c r="B1150" t="s">
        <v>2245</v>
      </c>
      <c r="C1150">
        <v>1.8</v>
      </c>
      <c r="D1150">
        <v>0.9</v>
      </c>
      <c r="E1150">
        <v>2.5000000000000001E-2</v>
      </c>
      <c r="F1150" t="s">
        <v>85</v>
      </c>
    </row>
    <row r="1151" spans="1:6" x14ac:dyDescent="0.35">
      <c r="A1151" t="s">
        <v>2246</v>
      </c>
      <c r="B1151" t="s">
        <v>2247</v>
      </c>
      <c r="C1151">
        <v>1.8049999999999999</v>
      </c>
      <c r="D1151">
        <v>0.90500000000000003</v>
      </c>
      <c r="E1151">
        <v>2.5000000000000001E-2</v>
      </c>
      <c r="F1151" t="s">
        <v>85</v>
      </c>
    </row>
    <row r="1152" spans="1:6" x14ac:dyDescent="0.35">
      <c r="A1152" t="s">
        <v>2248</v>
      </c>
      <c r="B1152" t="s">
        <v>2249</v>
      </c>
      <c r="C1152">
        <v>0.61</v>
      </c>
      <c r="D1152">
        <v>0.34799999999999998</v>
      </c>
      <c r="E1152">
        <v>1.4999999999999999E-2</v>
      </c>
      <c r="F1152" t="s">
        <v>8</v>
      </c>
    </row>
    <row r="1153" spans="1:6" x14ac:dyDescent="0.35">
      <c r="A1153" t="s">
        <v>2250</v>
      </c>
      <c r="B1153" t="s">
        <v>2251</v>
      </c>
      <c r="C1153">
        <v>0.42199999999999999</v>
      </c>
      <c r="D1153">
        <v>0.26400000000000001</v>
      </c>
      <c r="E1153">
        <v>1.2E-2</v>
      </c>
      <c r="F1153" t="s">
        <v>8</v>
      </c>
    </row>
    <row r="1154" spans="1:6" x14ac:dyDescent="0.35">
      <c r="A1154" t="s">
        <v>2252</v>
      </c>
      <c r="B1154" t="s">
        <v>2253</v>
      </c>
      <c r="C1154">
        <v>0.41199999999999998</v>
      </c>
      <c r="D1154">
        <v>0.13600000000000001</v>
      </c>
      <c r="E1154">
        <v>1.4999999999999999E-2</v>
      </c>
      <c r="F1154" t="s">
        <v>8</v>
      </c>
    </row>
    <row r="1155" spans="1:6" x14ac:dyDescent="0.35">
      <c r="A1155" t="s">
        <v>2254</v>
      </c>
      <c r="B1155" t="s">
        <v>2255</v>
      </c>
      <c r="C1155">
        <v>0.85099999999999998</v>
      </c>
      <c r="D1155">
        <v>0.34799999999999998</v>
      </c>
      <c r="E1155">
        <v>1.4999999999999999E-2</v>
      </c>
      <c r="F1155" t="s">
        <v>8</v>
      </c>
    </row>
    <row r="1156" spans="1:6" x14ac:dyDescent="0.35">
      <c r="A1156" t="s">
        <v>2256</v>
      </c>
      <c r="B1156" t="s">
        <v>2257</v>
      </c>
      <c r="C1156">
        <v>0.46400000000000002</v>
      </c>
      <c r="D1156">
        <v>0.35099999999999998</v>
      </c>
      <c r="E1156">
        <v>1.4999999999999999E-2</v>
      </c>
      <c r="F1156" t="s">
        <v>8</v>
      </c>
    </row>
    <row r="1157" spans="1:6" x14ac:dyDescent="0.35">
      <c r="A1157" t="s">
        <v>2258</v>
      </c>
      <c r="B1157" t="s">
        <v>2259</v>
      </c>
      <c r="C1157">
        <v>0.66400000000000003</v>
      </c>
      <c r="D1157">
        <v>0.26400000000000001</v>
      </c>
      <c r="E1157">
        <v>1.2E-2</v>
      </c>
      <c r="F1157" t="s">
        <v>8</v>
      </c>
    </row>
    <row r="1158" spans="1:6" x14ac:dyDescent="0.35">
      <c r="A1158" t="s">
        <v>2260</v>
      </c>
      <c r="B1158" t="s">
        <v>2261</v>
      </c>
      <c r="C1158">
        <v>0.65600000000000003</v>
      </c>
      <c r="D1158">
        <v>0.13600000000000001</v>
      </c>
      <c r="E1158">
        <v>1.4999999999999999E-2</v>
      </c>
      <c r="F1158" t="s">
        <v>8</v>
      </c>
    </row>
    <row r="1159" spans="1:6" x14ac:dyDescent="0.35">
      <c r="A1159" t="s">
        <v>2262</v>
      </c>
      <c r="B1159" t="s">
        <v>2263</v>
      </c>
      <c r="C1159">
        <v>0.20799999999999999</v>
      </c>
      <c r="D1159">
        <v>0.13600000000000001</v>
      </c>
      <c r="E1159">
        <v>1.4999999999999999E-2</v>
      </c>
      <c r="F1159" t="s">
        <v>8</v>
      </c>
    </row>
    <row r="1160" spans="1:6" x14ac:dyDescent="0.35">
      <c r="A1160" t="s">
        <v>2264</v>
      </c>
      <c r="B1160" t="s">
        <v>2265</v>
      </c>
      <c r="C1160">
        <v>0.83</v>
      </c>
      <c r="D1160">
        <v>0.75</v>
      </c>
      <c r="E1160">
        <v>2.5000000000000001E-2</v>
      </c>
      <c r="F1160" t="s">
        <v>8</v>
      </c>
    </row>
    <row r="1161" spans="1:6" x14ac:dyDescent="0.35">
      <c r="A1161" t="s">
        <v>2266</v>
      </c>
      <c r="B1161" t="s">
        <v>2267</v>
      </c>
      <c r="C1161">
        <v>0.75</v>
      </c>
      <c r="D1161">
        <v>0.68</v>
      </c>
      <c r="E1161">
        <v>2.5000000000000001E-2</v>
      </c>
      <c r="F1161" t="s">
        <v>8</v>
      </c>
    </row>
    <row r="1162" spans="1:6" x14ac:dyDescent="0.35">
      <c r="A1162" t="s">
        <v>2268</v>
      </c>
      <c r="B1162" t="s">
        <v>2269</v>
      </c>
      <c r="C1162">
        <v>0.68</v>
      </c>
      <c r="D1162">
        <v>0.45200000000000001</v>
      </c>
      <c r="E1162">
        <v>1.2E-2</v>
      </c>
      <c r="F1162" t="s">
        <v>8</v>
      </c>
    </row>
    <row r="1163" spans="1:6" x14ac:dyDescent="0.35">
      <c r="A1163" t="s">
        <v>2270</v>
      </c>
      <c r="B1163" t="s">
        <v>2271</v>
      </c>
      <c r="C1163">
        <v>0</v>
      </c>
      <c r="D1163">
        <v>0</v>
      </c>
      <c r="E1163">
        <v>0</v>
      </c>
      <c r="F1163" t="s">
        <v>301</v>
      </c>
    </row>
    <row r="1164" spans="1:6" x14ac:dyDescent="0.35">
      <c r="A1164" t="s">
        <v>2272</v>
      </c>
      <c r="B1164" t="s">
        <v>2273</v>
      </c>
      <c r="C1164">
        <v>1.365</v>
      </c>
      <c r="D1164">
        <v>0.90500000000000003</v>
      </c>
      <c r="E1164">
        <v>1.7999999999999999E-2</v>
      </c>
      <c r="F1164" t="s">
        <v>85</v>
      </c>
    </row>
    <row r="1165" spans="1:6" x14ac:dyDescent="0.35">
      <c r="A1165" t="s">
        <v>2274</v>
      </c>
      <c r="B1165" t="s">
        <v>2275</v>
      </c>
      <c r="C1165">
        <v>0</v>
      </c>
      <c r="D1165">
        <v>0</v>
      </c>
      <c r="E1165">
        <v>0</v>
      </c>
      <c r="F1165" t="s">
        <v>301</v>
      </c>
    </row>
    <row r="1166" spans="1:6" x14ac:dyDescent="0.35">
      <c r="A1166" t="s">
        <v>2276</v>
      </c>
      <c r="B1166" t="s">
        <v>2277</v>
      </c>
      <c r="C1166">
        <v>0.75</v>
      </c>
      <c r="D1166">
        <v>0.68</v>
      </c>
      <c r="E1166">
        <v>2.5000000000000001E-2</v>
      </c>
      <c r="F1166" t="s">
        <v>8</v>
      </c>
    </row>
    <row r="1167" spans="1:6" x14ac:dyDescent="0.35">
      <c r="A1167" t="s">
        <v>2278</v>
      </c>
      <c r="B1167" t="s">
        <v>2279</v>
      </c>
      <c r="C1167">
        <v>0.75</v>
      </c>
      <c r="D1167">
        <v>0.68</v>
      </c>
      <c r="E1167">
        <v>2.5000000000000001E-2</v>
      </c>
      <c r="F1167" t="s">
        <v>8</v>
      </c>
    </row>
    <row r="1168" spans="1:6" x14ac:dyDescent="0.35">
      <c r="A1168" t="s">
        <v>2280</v>
      </c>
      <c r="B1168" t="s">
        <v>2281</v>
      </c>
      <c r="C1168">
        <v>0</v>
      </c>
      <c r="D1168">
        <v>0</v>
      </c>
      <c r="E1168">
        <v>0</v>
      </c>
      <c r="F1168" t="s">
        <v>301</v>
      </c>
    </row>
    <row r="1169" spans="1:6" x14ac:dyDescent="0.35">
      <c r="A1169" t="s">
        <v>2282</v>
      </c>
      <c r="B1169" t="s">
        <v>2283</v>
      </c>
      <c r="C1169">
        <v>0.75</v>
      </c>
      <c r="D1169">
        <v>0.68</v>
      </c>
      <c r="E1169">
        <v>1.7999999999999999E-2</v>
      </c>
      <c r="F1169" t="s">
        <v>8</v>
      </c>
    </row>
    <row r="1170" spans="1:6" x14ac:dyDescent="0.35">
      <c r="A1170" t="s">
        <v>2284</v>
      </c>
      <c r="B1170" t="s">
        <v>2285</v>
      </c>
      <c r="C1170">
        <v>0.75</v>
      </c>
      <c r="D1170">
        <v>0.68</v>
      </c>
      <c r="E1170">
        <v>1.7999999999999999E-2</v>
      </c>
      <c r="F1170" t="s">
        <v>8</v>
      </c>
    </row>
    <row r="1171" spans="1:6" x14ac:dyDescent="0.35">
      <c r="A1171" t="s">
        <v>2286</v>
      </c>
      <c r="B1171" t="s">
        <v>2287</v>
      </c>
      <c r="C1171">
        <v>0</v>
      </c>
      <c r="D1171">
        <v>0</v>
      </c>
      <c r="E1171">
        <v>0</v>
      </c>
      <c r="F1171" t="s">
        <v>301</v>
      </c>
    </row>
    <row r="1172" spans="1:6" x14ac:dyDescent="0.35">
      <c r="A1172" t="s">
        <v>2288</v>
      </c>
      <c r="B1172" t="s">
        <v>2289</v>
      </c>
      <c r="C1172">
        <v>0.75</v>
      </c>
      <c r="D1172">
        <v>0.68</v>
      </c>
      <c r="E1172">
        <v>1.7999999999999999E-2</v>
      </c>
      <c r="F1172" t="s">
        <v>8</v>
      </c>
    </row>
    <row r="1173" spans="1:6" x14ac:dyDescent="0.35">
      <c r="A1173" t="s">
        <v>2290</v>
      </c>
      <c r="B1173" t="s">
        <v>2291</v>
      </c>
      <c r="C1173">
        <v>0.75</v>
      </c>
      <c r="D1173">
        <v>0.68</v>
      </c>
      <c r="E1173">
        <v>1.7999999999999999E-2</v>
      </c>
      <c r="F1173" t="s">
        <v>8</v>
      </c>
    </row>
    <row r="1174" spans="1:6" x14ac:dyDescent="0.35">
      <c r="A1174" t="s">
        <v>2292</v>
      </c>
      <c r="B1174" t="s">
        <v>2293</v>
      </c>
      <c r="C1174">
        <v>1</v>
      </c>
      <c r="D1174">
        <v>0.75</v>
      </c>
      <c r="E1174">
        <v>2.5000000000000001E-2</v>
      </c>
      <c r="F1174" t="s">
        <v>8</v>
      </c>
    </row>
    <row r="1175" spans="1:6" x14ac:dyDescent="0.35">
      <c r="A1175" t="s">
        <v>2294</v>
      </c>
      <c r="B1175" t="s">
        <v>2295</v>
      </c>
      <c r="C1175">
        <v>0.90500000000000003</v>
      </c>
      <c r="D1175">
        <v>0.45200000000000001</v>
      </c>
      <c r="E1175">
        <v>1.2E-2</v>
      </c>
      <c r="F1175" t="s">
        <v>8</v>
      </c>
    </row>
    <row r="1176" spans="1:6" x14ac:dyDescent="0.35">
      <c r="A1176" t="s">
        <v>2296</v>
      </c>
      <c r="B1176" t="s">
        <v>2297</v>
      </c>
      <c r="C1176">
        <v>0</v>
      </c>
      <c r="D1176">
        <v>0</v>
      </c>
      <c r="E1176">
        <v>0</v>
      </c>
      <c r="F1176" t="s">
        <v>301</v>
      </c>
    </row>
    <row r="1177" spans="1:6" x14ac:dyDescent="0.35">
      <c r="A1177" t="s">
        <v>2298</v>
      </c>
      <c r="B1177" t="s">
        <v>2299</v>
      </c>
      <c r="C1177">
        <v>0.77</v>
      </c>
      <c r="D1177">
        <v>0.56000000000000005</v>
      </c>
      <c r="E1177">
        <v>1.4999999999999999E-2</v>
      </c>
      <c r="F1177" t="s">
        <v>8</v>
      </c>
    </row>
    <row r="1178" spans="1:6" x14ac:dyDescent="0.35">
      <c r="A1178" t="s">
        <v>2300</v>
      </c>
      <c r="B1178" t="s">
        <v>2301</v>
      </c>
      <c r="C1178">
        <v>0.77</v>
      </c>
      <c r="D1178">
        <v>0.56000000000000005</v>
      </c>
      <c r="E1178">
        <v>1.4999999999999999E-2</v>
      </c>
      <c r="F1178" t="s">
        <v>8</v>
      </c>
    </row>
    <row r="1179" spans="1:6" x14ac:dyDescent="0.35">
      <c r="A1179" t="s">
        <v>2302</v>
      </c>
      <c r="B1179" t="s">
        <v>2303</v>
      </c>
      <c r="C1179">
        <v>0.76800000000000002</v>
      </c>
      <c r="D1179">
        <v>0.18</v>
      </c>
      <c r="E1179">
        <v>1.2E-2</v>
      </c>
      <c r="F1179" t="s">
        <v>8</v>
      </c>
    </row>
    <row r="1180" spans="1:6" x14ac:dyDescent="0.35">
      <c r="A1180" t="s">
        <v>2304</v>
      </c>
      <c r="B1180" t="s">
        <v>2305</v>
      </c>
      <c r="C1180">
        <v>0.33600000000000002</v>
      </c>
      <c r="D1180">
        <v>0.15</v>
      </c>
      <c r="E1180">
        <v>1.4999999999999999E-2</v>
      </c>
      <c r="F1180" t="s">
        <v>8</v>
      </c>
    </row>
    <row r="1181" spans="1:6" x14ac:dyDescent="0.35">
      <c r="A1181" t="s">
        <v>2306</v>
      </c>
      <c r="B1181" t="s">
        <v>2307</v>
      </c>
      <c r="C1181">
        <v>0.33600000000000002</v>
      </c>
      <c r="D1181">
        <v>0.15</v>
      </c>
      <c r="E1181">
        <v>1.2E-2</v>
      </c>
      <c r="F1181" t="s">
        <v>8</v>
      </c>
    </row>
    <row r="1182" spans="1:6" x14ac:dyDescent="0.35">
      <c r="A1182" t="s">
        <v>2308</v>
      </c>
      <c r="B1182" t="s">
        <v>2309</v>
      </c>
      <c r="C1182">
        <v>0.82499999999999996</v>
      </c>
      <c r="D1182">
        <v>0.34799999999999998</v>
      </c>
      <c r="E1182">
        <v>3.0000000000000001E-3</v>
      </c>
      <c r="F1182" t="s">
        <v>8</v>
      </c>
    </row>
    <row r="1183" spans="1:6" x14ac:dyDescent="0.35">
      <c r="A1183" t="s">
        <v>2310</v>
      </c>
      <c r="B1183" t="s">
        <v>2311</v>
      </c>
      <c r="C1183">
        <v>0.312</v>
      </c>
      <c r="D1183">
        <v>0.15</v>
      </c>
      <c r="E1183">
        <v>1.4999999999999999E-2</v>
      </c>
      <c r="F1183" t="s">
        <v>8</v>
      </c>
    </row>
    <row r="1184" spans="1:6" x14ac:dyDescent="0.35">
      <c r="A1184" t="s">
        <v>2312</v>
      </c>
      <c r="B1184" t="s">
        <v>2313</v>
      </c>
      <c r="C1184">
        <v>0.54</v>
      </c>
      <c r="D1184">
        <v>0.34899999999999998</v>
      </c>
      <c r="E1184">
        <v>1.4999999999999999E-2</v>
      </c>
      <c r="F1184" t="s">
        <v>8</v>
      </c>
    </row>
    <row r="1185" spans="1:6" x14ac:dyDescent="0.35">
      <c r="A1185" t="s">
        <v>2314</v>
      </c>
      <c r="B1185" t="s">
        <v>2315</v>
      </c>
      <c r="C1185">
        <v>0.54</v>
      </c>
      <c r="D1185">
        <v>0.34899999999999998</v>
      </c>
      <c r="E1185">
        <v>1.4999999999999999E-2</v>
      </c>
      <c r="F1185" t="s">
        <v>8</v>
      </c>
    </row>
    <row r="1186" spans="1:6" x14ac:dyDescent="0.35">
      <c r="A1186" t="s">
        <v>2316</v>
      </c>
      <c r="B1186" t="s">
        <v>2317</v>
      </c>
      <c r="C1186">
        <v>0.33800000000000002</v>
      </c>
      <c r="D1186">
        <v>0.31</v>
      </c>
      <c r="E1186">
        <v>1.2E-2</v>
      </c>
      <c r="F1186" t="s">
        <v>8</v>
      </c>
    </row>
    <row r="1187" spans="1:6" x14ac:dyDescent="0.35">
      <c r="A1187" t="s">
        <v>2318</v>
      </c>
      <c r="B1187" t="s">
        <v>2319</v>
      </c>
      <c r="C1187">
        <v>0.308</v>
      </c>
      <c r="D1187">
        <v>0.09</v>
      </c>
      <c r="E1187">
        <v>1.4999999999999999E-2</v>
      </c>
      <c r="F1187" t="s">
        <v>8</v>
      </c>
    </row>
    <row r="1188" spans="1:6" x14ac:dyDescent="0.35">
      <c r="A1188" t="s">
        <v>2320</v>
      </c>
      <c r="B1188" t="s">
        <v>2321</v>
      </c>
      <c r="C1188">
        <v>0.248</v>
      </c>
      <c r="D1188">
        <v>0.09</v>
      </c>
      <c r="E1188">
        <v>1.4999999999999999E-2</v>
      </c>
      <c r="F1188" t="s">
        <v>8</v>
      </c>
    </row>
    <row r="1189" spans="1:6" x14ac:dyDescent="0.35">
      <c r="A1189" t="s">
        <v>2322</v>
      </c>
      <c r="B1189" t="s">
        <v>2323</v>
      </c>
      <c r="C1189">
        <v>0.49</v>
      </c>
      <c r="D1189">
        <v>0.47</v>
      </c>
      <c r="E1189">
        <v>1.7999999999999999E-2</v>
      </c>
      <c r="F1189" t="s">
        <v>527</v>
      </c>
    </row>
    <row r="1190" spans="1:6" x14ac:dyDescent="0.35">
      <c r="A1190" t="s">
        <v>2324</v>
      </c>
      <c r="B1190" t="s">
        <v>2325</v>
      </c>
      <c r="C1190">
        <v>0.85099999999999998</v>
      </c>
      <c r="D1190">
        <v>0.34</v>
      </c>
      <c r="E1190">
        <v>1.4999999999999999E-2</v>
      </c>
      <c r="F1190" t="s">
        <v>8</v>
      </c>
    </row>
    <row r="1191" spans="1:6" x14ac:dyDescent="0.35">
      <c r="A1191" t="s">
        <v>2326</v>
      </c>
      <c r="B1191" t="s">
        <v>2327</v>
      </c>
      <c r="C1191">
        <v>0.46600000000000003</v>
      </c>
      <c r="D1191">
        <v>0.34</v>
      </c>
      <c r="E1191">
        <v>1.4999999999999999E-2</v>
      </c>
      <c r="F1191" t="s">
        <v>8</v>
      </c>
    </row>
    <row r="1192" spans="1:6" x14ac:dyDescent="0.35">
      <c r="A1192" t="s">
        <v>2328</v>
      </c>
      <c r="B1192" t="s">
        <v>2329</v>
      </c>
      <c r="C1192">
        <v>0.71199999999999997</v>
      </c>
      <c r="D1192">
        <v>0.29199999999999998</v>
      </c>
      <c r="E1192">
        <v>1.2E-2</v>
      </c>
      <c r="F1192" t="s">
        <v>8</v>
      </c>
    </row>
    <row r="1193" spans="1:6" x14ac:dyDescent="0.35">
      <c r="A1193" t="s">
        <v>2330</v>
      </c>
      <c r="B1193" t="s">
        <v>2331</v>
      </c>
      <c r="C1193">
        <v>0.68200000000000005</v>
      </c>
      <c r="D1193">
        <v>0.09</v>
      </c>
      <c r="E1193">
        <v>1.4999999999999999E-2</v>
      </c>
      <c r="F1193" t="s">
        <v>8</v>
      </c>
    </row>
    <row r="1194" spans="1:6" x14ac:dyDescent="0.35">
      <c r="A1194" t="s">
        <v>2332</v>
      </c>
      <c r="B1194" t="s">
        <v>2333</v>
      </c>
      <c r="C1194">
        <v>0.23</v>
      </c>
      <c r="D1194">
        <v>0.09</v>
      </c>
      <c r="E1194">
        <v>1.4999999999999999E-2</v>
      </c>
      <c r="F1194" t="s">
        <v>8</v>
      </c>
    </row>
    <row r="1195" spans="1:6" x14ac:dyDescent="0.35">
      <c r="A1195" t="s">
        <v>2334</v>
      </c>
      <c r="B1195" t="s">
        <v>2335</v>
      </c>
      <c r="C1195">
        <v>2.1</v>
      </c>
      <c r="D1195">
        <v>1</v>
      </c>
      <c r="E1195">
        <v>2.5000000000000001E-2</v>
      </c>
      <c r="F1195" t="s">
        <v>85</v>
      </c>
    </row>
    <row r="1196" spans="1:6" x14ac:dyDescent="0.35">
      <c r="A1196" t="s">
        <v>2336</v>
      </c>
      <c r="B1196" t="s">
        <v>2337</v>
      </c>
      <c r="C1196">
        <v>1.0549999999999999</v>
      </c>
      <c r="D1196">
        <v>0.15</v>
      </c>
      <c r="E1196">
        <v>3.0000000000000001E-3</v>
      </c>
      <c r="F1196" t="s">
        <v>8</v>
      </c>
    </row>
    <row r="1197" spans="1:6" x14ac:dyDescent="0.35">
      <c r="A1197" t="s">
        <v>2338</v>
      </c>
      <c r="B1197" t="s">
        <v>2339</v>
      </c>
      <c r="C1197">
        <v>1.0549999999999999</v>
      </c>
      <c r="D1197">
        <v>5.5E-2</v>
      </c>
      <c r="E1197">
        <v>1.2E-2</v>
      </c>
      <c r="F1197" t="s">
        <v>8</v>
      </c>
    </row>
    <row r="1198" spans="1:6" x14ac:dyDescent="0.35">
      <c r="A1198" t="s">
        <v>2340</v>
      </c>
      <c r="B1198" t="s">
        <v>2341</v>
      </c>
      <c r="C1198">
        <v>1.0900000000000001</v>
      </c>
      <c r="D1198">
        <v>0.15</v>
      </c>
      <c r="E1198">
        <v>5.5E-2</v>
      </c>
      <c r="F1198" t="s">
        <v>8</v>
      </c>
    </row>
    <row r="1199" spans="1:6" x14ac:dyDescent="0.35">
      <c r="A1199" t="s">
        <v>2342</v>
      </c>
      <c r="B1199" t="s">
        <v>2343</v>
      </c>
      <c r="C1199">
        <v>0.58199999999999996</v>
      </c>
      <c r="D1199">
        <v>0.58199999999999996</v>
      </c>
      <c r="E1199">
        <v>1.7999999999999999E-2</v>
      </c>
      <c r="F1199" t="s">
        <v>85</v>
      </c>
    </row>
    <row r="1200" spans="1:6" x14ac:dyDescent="0.35">
      <c r="A1200" t="s">
        <v>2344</v>
      </c>
      <c r="B1200" t="s">
        <v>2345</v>
      </c>
      <c r="C1200">
        <v>0.70199999999999996</v>
      </c>
      <c r="D1200">
        <v>0.70199999999999996</v>
      </c>
      <c r="E1200">
        <v>1.4999999999999999E-2</v>
      </c>
      <c r="F1200" t="s">
        <v>85</v>
      </c>
    </row>
    <row r="1201" spans="1:6" x14ac:dyDescent="0.35">
      <c r="A1201" t="s">
        <v>2346</v>
      </c>
      <c r="B1201" t="s">
        <v>2347</v>
      </c>
      <c r="C1201">
        <v>0.70199999999999996</v>
      </c>
      <c r="D1201">
        <v>0.70199999999999996</v>
      </c>
      <c r="E1201">
        <v>1.2E-2</v>
      </c>
      <c r="F1201" t="s">
        <v>85</v>
      </c>
    </row>
    <row r="1202" spans="1:6" x14ac:dyDescent="0.35">
      <c r="A1202" t="s">
        <v>2348</v>
      </c>
      <c r="B1202" t="s">
        <v>2349</v>
      </c>
      <c r="C1202">
        <v>0.70199999999999996</v>
      </c>
      <c r="D1202">
        <v>0.06</v>
      </c>
      <c r="E1202">
        <v>1.4999999999999999E-2</v>
      </c>
      <c r="F1202" t="s">
        <v>8</v>
      </c>
    </row>
    <row r="1203" spans="1:6" x14ac:dyDescent="0.35">
      <c r="A1203" t="s">
        <v>2350</v>
      </c>
      <c r="B1203" t="s">
        <v>2351</v>
      </c>
      <c r="C1203">
        <v>0.57999999999999996</v>
      </c>
      <c r="D1203">
        <v>0.06</v>
      </c>
      <c r="E1203">
        <v>1.4999999999999999E-2</v>
      </c>
      <c r="F1203" t="s">
        <v>8</v>
      </c>
    </row>
    <row r="1204" spans="1:6" x14ac:dyDescent="0.35">
      <c r="A1204" t="s">
        <v>2352</v>
      </c>
      <c r="B1204" t="s">
        <v>2353</v>
      </c>
      <c r="C1204">
        <v>1.002</v>
      </c>
      <c r="D1204">
        <v>0.60199999999999998</v>
      </c>
      <c r="E1204">
        <v>1.4999999999999999E-2</v>
      </c>
      <c r="F1204" t="s">
        <v>85</v>
      </c>
    </row>
    <row r="1205" spans="1:6" x14ac:dyDescent="0.35">
      <c r="A1205" t="s">
        <v>2354</v>
      </c>
      <c r="B1205" t="s">
        <v>2355</v>
      </c>
      <c r="C1205">
        <v>1.002</v>
      </c>
      <c r="D1205">
        <v>0.60199999999999998</v>
      </c>
      <c r="E1205">
        <v>1.2E-2</v>
      </c>
      <c r="F1205" t="s">
        <v>85</v>
      </c>
    </row>
    <row r="1206" spans="1:6" x14ac:dyDescent="0.35">
      <c r="A1206" t="s">
        <v>2356</v>
      </c>
      <c r="B1206" t="s">
        <v>2357</v>
      </c>
      <c r="C1206">
        <v>0.60199999999999998</v>
      </c>
      <c r="D1206">
        <v>0.06</v>
      </c>
      <c r="E1206">
        <v>1.4999999999999999E-2</v>
      </c>
      <c r="F1206" t="s">
        <v>8</v>
      </c>
    </row>
    <row r="1207" spans="1:6" x14ac:dyDescent="0.35">
      <c r="A1207" t="s">
        <v>2358</v>
      </c>
      <c r="B1207" t="s">
        <v>2359</v>
      </c>
      <c r="C1207">
        <v>0.88</v>
      </c>
      <c r="D1207">
        <v>0.06</v>
      </c>
      <c r="E1207">
        <v>1.4999999999999999E-2</v>
      </c>
      <c r="F1207" t="s">
        <v>8</v>
      </c>
    </row>
    <row r="1208" spans="1:6" x14ac:dyDescent="0.35">
      <c r="A1208" t="s">
        <v>2360</v>
      </c>
      <c r="B1208" t="s">
        <v>2361</v>
      </c>
      <c r="C1208">
        <v>1.202</v>
      </c>
      <c r="D1208">
        <v>0.752</v>
      </c>
      <c r="E1208">
        <v>1.4999999999999999E-2</v>
      </c>
      <c r="F1208" t="s">
        <v>85</v>
      </c>
    </row>
    <row r="1209" spans="1:6" x14ac:dyDescent="0.35">
      <c r="A1209" t="s">
        <v>2362</v>
      </c>
      <c r="B1209" t="s">
        <v>2363</v>
      </c>
      <c r="C1209">
        <v>1.202</v>
      </c>
      <c r="D1209">
        <v>0.752</v>
      </c>
      <c r="E1209">
        <v>1.2E-2</v>
      </c>
      <c r="F1209" t="s">
        <v>85</v>
      </c>
    </row>
    <row r="1210" spans="1:6" x14ac:dyDescent="0.35">
      <c r="A1210" t="s">
        <v>2364</v>
      </c>
      <c r="B1210" t="s">
        <v>2365</v>
      </c>
      <c r="C1210">
        <v>1.08</v>
      </c>
      <c r="D1210">
        <v>0.06</v>
      </c>
      <c r="E1210">
        <v>1.4999999999999999E-2</v>
      </c>
      <c r="F1210" t="s">
        <v>8</v>
      </c>
    </row>
    <row r="1211" spans="1:6" x14ac:dyDescent="0.35">
      <c r="A1211" t="s">
        <v>2366</v>
      </c>
      <c r="B1211" t="s">
        <v>2367</v>
      </c>
      <c r="C1211">
        <v>0.752</v>
      </c>
      <c r="D1211">
        <v>0.06</v>
      </c>
      <c r="E1211">
        <v>1.4999999999999999E-2</v>
      </c>
      <c r="F1211" t="s">
        <v>8</v>
      </c>
    </row>
    <row r="1212" spans="1:6" x14ac:dyDescent="0.35">
      <c r="A1212" t="s">
        <v>2368</v>
      </c>
      <c r="B1212" t="s">
        <v>2369</v>
      </c>
      <c r="C1212">
        <v>1.4019999999999999</v>
      </c>
      <c r="D1212">
        <v>0.752</v>
      </c>
      <c r="E1212">
        <v>1.4999999999999999E-2</v>
      </c>
      <c r="F1212" t="s">
        <v>85</v>
      </c>
    </row>
    <row r="1213" spans="1:6" x14ac:dyDescent="0.35">
      <c r="A1213" t="s">
        <v>2370</v>
      </c>
      <c r="B1213" t="s">
        <v>2371</v>
      </c>
      <c r="C1213">
        <v>1.4019999999999999</v>
      </c>
      <c r="D1213">
        <v>0.752</v>
      </c>
      <c r="E1213">
        <v>1.2E-2</v>
      </c>
      <c r="F1213" t="s">
        <v>85</v>
      </c>
    </row>
    <row r="1214" spans="1:6" x14ac:dyDescent="0.35">
      <c r="A1214" t="s">
        <v>2372</v>
      </c>
      <c r="B1214" t="s">
        <v>2373</v>
      </c>
      <c r="C1214">
        <v>1.28</v>
      </c>
      <c r="D1214">
        <v>0.06</v>
      </c>
      <c r="E1214">
        <v>1.4999999999999999E-2</v>
      </c>
      <c r="F1214" t="s">
        <v>8</v>
      </c>
    </row>
    <row r="1215" spans="1:6" x14ac:dyDescent="0.35">
      <c r="A1215" t="s">
        <v>2374</v>
      </c>
      <c r="B1215" t="s">
        <v>2375</v>
      </c>
      <c r="C1215">
        <v>0</v>
      </c>
      <c r="D1215">
        <v>0</v>
      </c>
      <c r="E1215">
        <v>0</v>
      </c>
      <c r="F1215" t="s">
        <v>794</v>
      </c>
    </row>
    <row r="1216" spans="1:6" x14ac:dyDescent="0.35">
      <c r="A1216" t="s">
        <v>2376</v>
      </c>
      <c r="B1216" t="s">
        <v>2377</v>
      </c>
      <c r="C1216">
        <v>0</v>
      </c>
      <c r="D1216">
        <v>0</v>
      </c>
      <c r="E1216">
        <v>0</v>
      </c>
      <c r="F1216" t="s">
        <v>794</v>
      </c>
    </row>
    <row r="1217" spans="1:6" x14ac:dyDescent="0.35">
      <c r="A1217" t="s">
        <v>2378</v>
      </c>
      <c r="B1217" t="s">
        <v>2379</v>
      </c>
      <c r="C1217">
        <v>0</v>
      </c>
      <c r="D1217">
        <v>0</v>
      </c>
      <c r="E1217">
        <v>0</v>
      </c>
      <c r="F1217" t="s">
        <v>794</v>
      </c>
    </row>
    <row r="1218" spans="1:6" x14ac:dyDescent="0.35">
      <c r="A1218" t="s">
        <v>2380</v>
      </c>
      <c r="B1218" t="s">
        <v>2381</v>
      </c>
      <c r="C1218">
        <v>0</v>
      </c>
      <c r="D1218">
        <v>0</v>
      </c>
      <c r="E1218">
        <v>0</v>
      </c>
      <c r="F1218" t="s">
        <v>794</v>
      </c>
    </row>
    <row r="1219" spans="1:6" x14ac:dyDescent="0.35">
      <c r="A1219" t="s">
        <v>2382</v>
      </c>
      <c r="B1219" t="s">
        <v>2383</v>
      </c>
      <c r="C1219">
        <v>0</v>
      </c>
      <c r="D1219">
        <v>0</v>
      </c>
      <c r="E1219">
        <v>0</v>
      </c>
      <c r="F1219" t="s">
        <v>794</v>
      </c>
    </row>
    <row r="1220" spans="1:6" x14ac:dyDescent="0.35">
      <c r="A1220" t="s">
        <v>2384</v>
      </c>
      <c r="B1220" t="s">
        <v>2385</v>
      </c>
      <c r="C1220">
        <v>0</v>
      </c>
      <c r="D1220">
        <v>0</v>
      </c>
      <c r="E1220">
        <v>0</v>
      </c>
      <c r="F1220" t="s">
        <v>794</v>
      </c>
    </row>
    <row r="1221" spans="1:6" x14ac:dyDescent="0.35">
      <c r="A1221" t="s">
        <v>2386</v>
      </c>
      <c r="B1221" t="s">
        <v>2387</v>
      </c>
      <c r="C1221">
        <v>0</v>
      </c>
      <c r="D1221">
        <v>0</v>
      </c>
      <c r="E1221">
        <v>0</v>
      </c>
      <c r="F1221" t="s">
        <v>794</v>
      </c>
    </row>
    <row r="1222" spans="1:6" x14ac:dyDescent="0.35">
      <c r="A1222" t="s">
        <v>2388</v>
      </c>
      <c r="B1222" t="s">
        <v>2389</v>
      </c>
      <c r="C1222">
        <v>0</v>
      </c>
      <c r="D1222">
        <v>0</v>
      </c>
      <c r="E1222">
        <v>0</v>
      </c>
      <c r="F1222" t="s">
        <v>794</v>
      </c>
    </row>
    <row r="1223" spans="1:6" x14ac:dyDescent="0.35">
      <c r="A1223" t="s">
        <v>2390</v>
      </c>
      <c r="B1223" t="s">
        <v>2391</v>
      </c>
      <c r="C1223">
        <v>0</v>
      </c>
      <c r="D1223">
        <v>0</v>
      </c>
      <c r="E1223">
        <v>0</v>
      </c>
      <c r="F1223" t="s">
        <v>794</v>
      </c>
    </row>
    <row r="1224" spans="1:6" x14ac:dyDescent="0.35">
      <c r="A1224" t="s">
        <v>2392</v>
      </c>
      <c r="B1224" t="s">
        <v>2393</v>
      </c>
      <c r="C1224">
        <v>0</v>
      </c>
      <c r="D1224">
        <v>0</v>
      </c>
      <c r="E1224">
        <v>0</v>
      </c>
      <c r="F1224" t="s">
        <v>794</v>
      </c>
    </row>
    <row r="1225" spans="1:6" x14ac:dyDescent="0.35">
      <c r="A1225" t="s">
        <v>2394</v>
      </c>
      <c r="B1225" t="s">
        <v>2395</v>
      </c>
      <c r="C1225">
        <v>0</v>
      </c>
      <c r="D1225">
        <v>0</v>
      </c>
      <c r="E1225">
        <v>0</v>
      </c>
      <c r="F1225" t="s">
        <v>794</v>
      </c>
    </row>
    <row r="1226" spans="1:6" x14ac:dyDescent="0.35">
      <c r="A1226" t="s">
        <v>2396</v>
      </c>
      <c r="B1226" t="s">
        <v>2397</v>
      </c>
      <c r="C1226">
        <v>0</v>
      </c>
      <c r="D1226">
        <v>0</v>
      </c>
      <c r="E1226">
        <v>0</v>
      </c>
      <c r="F1226" t="s">
        <v>794</v>
      </c>
    </row>
    <row r="1227" spans="1:6" x14ac:dyDescent="0.35">
      <c r="A1227" t="s">
        <v>2398</v>
      </c>
      <c r="B1227" t="s">
        <v>2399</v>
      </c>
      <c r="C1227">
        <v>0</v>
      </c>
      <c r="D1227">
        <v>0</v>
      </c>
      <c r="E1227">
        <v>0</v>
      </c>
      <c r="F1227" t="s">
        <v>794</v>
      </c>
    </row>
    <row r="1228" spans="1:6" x14ac:dyDescent="0.35">
      <c r="A1228" t="s">
        <v>2400</v>
      </c>
      <c r="B1228" t="s">
        <v>2401</v>
      </c>
      <c r="C1228">
        <v>0</v>
      </c>
      <c r="D1228">
        <v>0</v>
      </c>
      <c r="E1228">
        <v>0</v>
      </c>
      <c r="F1228" t="s">
        <v>794</v>
      </c>
    </row>
    <row r="1229" spans="1:6" x14ac:dyDescent="0.35">
      <c r="A1229" t="s">
        <v>2402</v>
      </c>
      <c r="B1229" t="s">
        <v>2403</v>
      </c>
      <c r="C1229">
        <v>0</v>
      </c>
      <c r="D1229">
        <v>0</v>
      </c>
      <c r="E1229">
        <v>0</v>
      </c>
      <c r="F1229" t="s">
        <v>794</v>
      </c>
    </row>
    <row r="1230" spans="1:6" x14ac:dyDescent="0.35">
      <c r="A1230" t="s">
        <v>2404</v>
      </c>
      <c r="B1230" t="s">
        <v>2405</v>
      </c>
      <c r="C1230">
        <v>0</v>
      </c>
      <c r="D1230">
        <v>0</v>
      </c>
      <c r="E1230">
        <v>0</v>
      </c>
      <c r="F1230" t="s">
        <v>794</v>
      </c>
    </row>
    <row r="1231" spans="1:6" x14ac:dyDescent="0.35">
      <c r="A1231" t="s">
        <v>2406</v>
      </c>
      <c r="B1231" t="s">
        <v>2407</v>
      </c>
      <c r="C1231">
        <v>0</v>
      </c>
      <c r="D1231">
        <v>0</v>
      </c>
      <c r="E1231">
        <v>0</v>
      </c>
      <c r="F1231" t="s">
        <v>794</v>
      </c>
    </row>
    <row r="1232" spans="1:6" x14ac:dyDescent="0.35">
      <c r="A1232" t="s">
        <v>2408</v>
      </c>
      <c r="B1232" t="s">
        <v>2409</v>
      </c>
      <c r="C1232">
        <v>0</v>
      </c>
      <c r="D1232">
        <v>0</v>
      </c>
      <c r="E1232">
        <v>0</v>
      </c>
      <c r="F1232" t="s">
        <v>794</v>
      </c>
    </row>
    <row r="1233" spans="1:6" x14ac:dyDescent="0.35">
      <c r="A1233" t="s">
        <v>2410</v>
      </c>
      <c r="B1233" t="s">
        <v>2411</v>
      </c>
      <c r="C1233">
        <v>0</v>
      </c>
      <c r="D1233">
        <v>0</v>
      </c>
      <c r="E1233">
        <v>0</v>
      </c>
      <c r="F1233" t="s">
        <v>794</v>
      </c>
    </row>
    <row r="1234" spans="1:6" x14ac:dyDescent="0.35">
      <c r="A1234" t="s">
        <v>2412</v>
      </c>
      <c r="B1234" t="s">
        <v>2413</v>
      </c>
      <c r="C1234">
        <v>0</v>
      </c>
      <c r="D1234">
        <v>0</v>
      </c>
      <c r="E1234">
        <v>0</v>
      </c>
      <c r="F1234" t="s">
        <v>794</v>
      </c>
    </row>
    <row r="1235" spans="1:6" x14ac:dyDescent="0.35">
      <c r="A1235" t="s">
        <v>2414</v>
      </c>
      <c r="B1235" t="s">
        <v>2415</v>
      </c>
      <c r="C1235">
        <v>0</v>
      </c>
      <c r="D1235">
        <v>0</v>
      </c>
      <c r="E1235">
        <v>0</v>
      </c>
      <c r="F1235" t="s">
        <v>794</v>
      </c>
    </row>
    <row r="1236" spans="1:6" x14ac:dyDescent="0.35">
      <c r="A1236" t="s">
        <v>2416</v>
      </c>
      <c r="B1236" t="s">
        <v>2417</v>
      </c>
      <c r="C1236">
        <v>0</v>
      </c>
      <c r="D1236">
        <v>0</v>
      </c>
      <c r="E1236">
        <v>0</v>
      </c>
      <c r="F1236" t="s">
        <v>794</v>
      </c>
    </row>
    <row r="1237" spans="1:6" x14ac:dyDescent="0.35">
      <c r="A1237" t="s">
        <v>2418</v>
      </c>
      <c r="B1237" t="s">
        <v>2419</v>
      </c>
      <c r="C1237">
        <v>0</v>
      </c>
      <c r="D1237">
        <v>0</v>
      </c>
      <c r="E1237">
        <v>0</v>
      </c>
      <c r="F1237" t="s">
        <v>794</v>
      </c>
    </row>
    <row r="1238" spans="1:6" x14ac:dyDescent="0.35">
      <c r="A1238" t="s">
        <v>2420</v>
      </c>
      <c r="B1238" t="s">
        <v>2421</v>
      </c>
      <c r="C1238">
        <v>0</v>
      </c>
      <c r="D1238">
        <v>0</v>
      </c>
      <c r="E1238">
        <v>0</v>
      </c>
      <c r="F1238" t="s">
        <v>794</v>
      </c>
    </row>
    <row r="1239" spans="1:6" x14ac:dyDescent="0.35">
      <c r="A1239" t="s">
        <v>2422</v>
      </c>
      <c r="B1239" t="s">
        <v>2423</v>
      </c>
      <c r="C1239">
        <v>0</v>
      </c>
      <c r="D1239">
        <v>0</v>
      </c>
      <c r="E1239">
        <v>0</v>
      </c>
      <c r="F1239" t="s">
        <v>794</v>
      </c>
    </row>
    <row r="1240" spans="1:6" x14ac:dyDescent="0.35">
      <c r="A1240" t="s">
        <v>2424</v>
      </c>
      <c r="B1240" t="s">
        <v>2425</v>
      </c>
      <c r="C1240">
        <v>0</v>
      </c>
      <c r="D1240">
        <v>0</v>
      </c>
      <c r="E1240">
        <v>0</v>
      </c>
      <c r="F1240" t="s">
        <v>794</v>
      </c>
    </row>
    <row r="1241" spans="1:6" x14ac:dyDescent="0.35">
      <c r="A1241" t="s">
        <v>2426</v>
      </c>
      <c r="B1241" t="s">
        <v>2427</v>
      </c>
      <c r="C1241">
        <v>0</v>
      </c>
      <c r="D1241">
        <v>0</v>
      </c>
      <c r="E1241">
        <v>0</v>
      </c>
      <c r="F1241" t="s">
        <v>794</v>
      </c>
    </row>
    <row r="1242" spans="1:6" x14ac:dyDescent="0.35">
      <c r="A1242" t="s">
        <v>2428</v>
      </c>
      <c r="B1242" t="s">
        <v>2429</v>
      </c>
      <c r="C1242">
        <v>0</v>
      </c>
      <c r="D1242">
        <v>0</v>
      </c>
      <c r="E1242">
        <v>0</v>
      </c>
      <c r="F1242" t="s">
        <v>794</v>
      </c>
    </row>
    <row r="1243" spans="1:6" x14ac:dyDescent="0.35">
      <c r="A1243" t="s">
        <v>2430</v>
      </c>
      <c r="B1243" t="s">
        <v>2431</v>
      </c>
      <c r="C1243">
        <v>0</v>
      </c>
      <c r="D1243">
        <v>0</v>
      </c>
      <c r="E1243">
        <v>0</v>
      </c>
      <c r="F1243" t="s">
        <v>794</v>
      </c>
    </row>
    <row r="1244" spans="1:6" x14ac:dyDescent="0.35">
      <c r="A1244" t="s">
        <v>2432</v>
      </c>
      <c r="B1244" t="s">
        <v>2433</v>
      </c>
      <c r="C1244">
        <v>0</v>
      </c>
      <c r="D1244">
        <v>0</v>
      </c>
      <c r="E1244">
        <v>0</v>
      </c>
      <c r="F1244" t="s">
        <v>794</v>
      </c>
    </row>
    <row r="1245" spans="1:6" x14ac:dyDescent="0.35">
      <c r="A1245" t="s">
        <v>2434</v>
      </c>
      <c r="B1245" t="s">
        <v>2435</v>
      </c>
      <c r="C1245">
        <v>0</v>
      </c>
      <c r="D1245">
        <v>0</v>
      </c>
      <c r="E1245">
        <v>0</v>
      </c>
      <c r="F1245" t="s">
        <v>794</v>
      </c>
    </row>
    <row r="1246" spans="1:6" x14ac:dyDescent="0.35">
      <c r="A1246" t="s">
        <v>2436</v>
      </c>
      <c r="B1246" t="s">
        <v>2437</v>
      </c>
      <c r="C1246">
        <v>0</v>
      </c>
      <c r="D1246">
        <v>0</v>
      </c>
      <c r="E1246">
        <v>0</v>
      </c>
      <c r="F1246" t="s">
        <v>794</v>
      </c>
    </row>
    <row r="1247" spans="1:6" x14ac:dyDescent="0.35">
      <c r="A1247" t="s">
        <v>2438</v>
      </c>
      <c r="B1247" t="s">
        <v>2439</v>
      </c>
      <c r="C1247">
        <v>0</v>
      </c>
      <c r="D1247">
        <v>0</v>
      </c>
      <c r="E1247">
        <v>0</v>
      </c>
      <c r="F1247" t="s">
        <v>794</v>
      </c>
    </row>
    <row r="1248" spans="1:6" x14ac:dyDescent="0.35">
      <c r="A1248" t="s">
        <v>2440</v>
      </c>
      <c r="B1248" t="s">
        <v>2441</v>
      </c>
      <c r="C1248">
        <v>0</v>
      </c>
      <c r="D1248">
        <v>0</v>
      </c>
      <c r="E1248">
        <v>0</v>
      </c>
      <c r="F1248" t="s">
        <v>794</v>
      </c>
    </row>
    <row r="1249" spans="1:6" x14ac:dyDescent="0.35">
      <c r="A1249" t="s">
        <v>2442</v>
      </c>
      <c r="B1249" t="s">
        <v>2443</v>
      </c>
      <c r="C1249">
        <v>0</v>
      </c>
      <c r="D1249">
        <v>0</v>
      </c>
      <c r="E1249">
        <v>0</v>
      </c>
      <c r="F1249" t="s">
        <v>794</v>
      </c>
    </row>
    <row r="1250" spans="1:6" x14ac:dyDescent="0.35">
      <c r="A1250" t="s">
        <v>2444</v>
      </c>
      <c r="B1250" t="s">
        <v>2445</v>
      </c>
      <c r="C1250">
        <v>0</v>
      </c>
      <c r="D1250">
        <v>0</v>
      </c>
      <c r="E1250">
        <v>0</v>
      </c>
      <c r="F1250" t="s">
        <v>794</v>
      </c>
    </row>
    <row r="1251" spans="1:6" x14ac:dyDescent="0.35">
      <c r="A1251" t="s">
        <v>2446</v>
      </c>
      <c r="B1251" t="s">
        <v>2447</v>
      </c>
      <c r="C1251">
        <v>0</v>
      </c>
      <c r="D1251">
        <v>0</v>
      </c>
      <c r="E1251">
        <v>0</v>
      </c>
      <c r="F1251" t="s">
        <v>794</v>
      </c>
    </row>
    <row r="1252" spans="1:6" x14ac:dyDescent="0.35">
      <c r="A1252" t="s">
        <v>2448</v>
      </c>
      <c r="B1252" t="s">
        <v>2449</v>
      </c>
      <c r="C1252">
        <v>0</v>
      </c>
      <c r="D1252">
        <v>0</v>
      </c>
      <c r="E1252">
        <v>0</v>
      </c>
      <c r="F1252" t="s">
        <v>794</v>
      </c>
    </row>
    <row r="1253" spans="1:6" x14ac:dyDescent="0.35">
      <c r="A1253" t="s">
        <v>2450</v>
      </c>
      <c r="B1253" t="s">
        <v>2451</v>
      </c>
      <c r="C1253">
        <v>0</v>
      </c>
      <c r="D1253">
        <v>0</v>
      </c>
      <c r="E1253">
        <v>0</v>
      </c>
      <c r="F1253" t="s">
        <v>794</v>
      </c>
    </row>
    <row r="1254" spans="1:6" x14ac:dyDescent="0.35">
      <c r="A1254" t="s">
        <v>2452</v>
      </c>
      <c r="B1254" t="s">
        <v>2453</v>
      </c>
      <c r="C1254">
        <v>0</v>
      </c>
      <c r="D1254">
        <v>0</v>
      </c>
      <c r="E1254">
        <v>0</v>
      </c>
      <c r="F1254" t="s">
        <v>794</v>
      </c>
    </row>
    <row r="1255" spans="1:6" x14ac:dyDescent="0.35">
      <c r="A1255" t="s">
        <v>2454</v>
      </c>
      <c r="B1255" t="s">
        <v>2455</v>
      </c>
      <c r="C1255">
        <v>0</v>
      </c>
      <c r="D1255">
        <v>0</v>
      </c>
      <c r="E1255">
        <v>0</v>
      </c>
      <c r="F1255" t="s">
        <v>794</v>
      </c>
    </row>
    <row r="1256" spans="1:6" x14ac:dyDescent="0.35">
      <c r="A1256" t="s">
        <v>2456</v>
      </c>
      <c r="B1256" t="s">
        <v>2457</v>
      </c>
      <c r="C1256">
        <v>0</v>
      </c>
      <c r="D1256">
        <v>0</v>
      </c>
      <c r="E1256">
        <v>0</v>
      </c>
      <c r="F1256" t="s">
        <v>794</v>
      </c>
    </row>
    <row r="1257" spans="1:6" x14ac:dyDescent="0.35">
      <c r="A1257" t="s">
        <v>2458</v>
      </c>
      <c r="B1257" t="s">
        <v>2459</v>
      </c>
      <c r="C1257">
        <v>0</v>
      </c>
      <c r="D1257">
        <v>0</v>
      </c>
      <c r="E1257">
        <v>0</v>
      </c>
      <c r="F1257" t="s">
        <v>794</v>
      </c>
    </row>
    <row r="1258" spans="1:6" x14ac:dyDescent="0.35">
      <c r="A1258" t="s">
        <v>2460</v>
      </c>
      <c r="B1258" t="s">
        <v>2461</v>
      </c>
      <c r="C1258">
        <v>0</v>
      </c>
      <c r="D1258">
        <v>0</v>
      </c>
      <c r="E1258">
        <v>0</v>
      </c>
      <c r="F1258" t="s">
        <v>794</v>
      </c>
    </row>
    <row r="1259" spans="1:6" x14ac:dyDescent="0.35">
      <c r="A1259" t="s">
        <v>2462</v>
      </c>
      <c r="B1259" t="s">
        <v>2463</v>
      </c>
      <c r="C1259">
        <v>0</v>
      </c>
      <c r="D1259">
        <v>0</v>
      </c>
      <c r="E1259">
        <v>0</v>
      </c>
      <c r="F1259" t="s">
        <v>794</v>
      </c>
    </row>
    <row r="1260" spans="1:6" x14ac:dyDescent="0.35">
      <c r="A1260" t="s">
        <v>2464</v>
      </c>
      <c r="B1260" t="s">
        <v>2465</v>
      </c>
      <c r="C1260">
        <v>0</v>
      </c>
      <c r="D1260">
        <v>0</v>
      </c>
      <c r="E1260">
        <v>0</v>
      </c>
      <c r="F1260" t="s">
        <v>794</v>
      </c>
    </row>
    <row r="1261" spans="1:6" x14ac:dyDescent="0.35">
      <c r="A1261" t="s">
        <v>2466</v>
      </c>
      <c r="B1261" t="s">
        <v>2467</v>
      </c>
      <c r="C1261">
        <v>0</v>
      </c>
      <c r="D1261">
        <v>0</v>
      </c>
      <c r="E1261">
        <v>0</v>
      </c>
      <c r="F1261" t="s">
        <v>794</v>
      </c>
    </row>
    <row r="1262" spans="1:6" x14ac:dyDescent="0.35">
      <c r="A1262" t="s">
        <v>2468</v>
      </c>
      <c r="B1262" t="s">
        <v>2469</v>
      </c>
      <c r="C1262">
        <v>0</v>
      </c>
      <c r="D1262">
        <v>0</v>
      </c>
      <c r="E1262">
        <v>0</v>
      </c>
      <c r="F1262" t="s">
        <v>794</v>
      </c>
    </row>
    <row r="1263" spans="1:6" x14ac:dyDescent="0.35">
      <c r="A1263" t="s">
        <v>2470</v>
      </c>
      <c r="B1263" t="s">
        <v>2471</v>
      </c>
      <c r="C1263">
        <v>0</v>
      </c>
      <c r="D1263">
        <v>0</v>
      </c>
      <c r="E1263">
        <v>0</v>
      </c>
      <c r="F1263" t="s">
        <v>794</v>
      </c>
    </row>
    <row r="1264" spans="1:6" x14ac:dyDescent="0.35">
      <c r="A1264" t="s">
        <v>2472</v>
      </c>
      <c r="B1264" t="s">
        <v>2473</v>
      </c>
      <c r="C1264">
        <v>0</v>
      </c>
      <c r="D1264">
        <v>0</v>
      </c>
      <c r="E1264">
        <v>0</v>
      </c>
      <c r="F1264" t="s">
        <v>794</v>
      </c>
    </row>
    <row r="1265" spans="1:6" x14ac:dyDescent="0.35">
      <c r="A1265" t="s">
        <v>2474</v>
      </c>
      <c r="B1265" t="s">
        <v>2475</v>
      </c>
      <c r="C1265">
        <v>0</v>
      </c>
      <c r="D1265">
        <v>0</v>
      </c>
      <c r="E1265">
        <v>0</v>
      </c>
      <c r="F1265" t="s">
        <v>794</v>
      </c>
    </row>
    <row r="1266" spans="1:6" x14ac:dyDescent="0.35">
      <c r="A1266" t="s">
        <v>2476</v>
      </c>
      <c r="B1266" t="s">
        <v>2477</v>
      </c>
      <c r="C1266">
        <v>0</v>
      </c>
      <c r="D1266">
        <v>0</v>
      </c>
      <c r="E1266">
        <v>0</v>
      </c>
      <c r="F1266" t="s">
        <v>794</v>
      </c>
    </row>
    <row r="1267" spans="1:6" x14ac:dyDescent="0.35">
      <c r="A1267" t="s">
        <v>2478</v>
      </c>
      <c r="B1267" t="s">
        <v>2479</v>
      </c>
      <c r="C1267">
        <v>0</v>
      </c>
      <c r="D1267">
        <v>0</v>
      </c>
      <c r="E1267">
        <v>0</v>
      </c>
      <c r="F1267" t="s">
        <v>794</v>
      </c>
    </row>
    <row r="1268" spans="1:6" x14ac:dyDescent="0.35">
      <c r="A1268" t="s">
        <v>2480</v>
      </c>
      <c r="B1268" t="s">
        <v>2481</v>
      </c>
      <c r="C1268">
        <v>0</v>
      </c>
      <c r="D1268">
        <v>0</v>
      </c>
      <c r="E1268">
        <v>0</v>
      </c>
      <c r="F1268" t="s">
        <v>794</v>
      </c>
    </row>
    <row r="1269" spans="1:6" x14ac:dyDescent="0.35">
      <c r="A1269" t="s">
        <v>2482</v>
      </c>
      <c r="B1269" t="s">
        <v>2483</v>
      </c>
      <c r="C1269">
        <v>0</v>
      </c>
      <c r="D1269">
        <v>0</v>
      </c>
      <c r="E1269">
        <v>0</v>
      </c>
      <c r="F1269" t="s">
        <v>794</v>
      </c>
    </row>
    <row r="1270" spans="1:6" x14ac:dyDescent="0.35">
      <c r="A1270" t="s">
        <v>2484</v>
      </c>
      <c r="B1270" t="s">
        <v>2485</v>
      </c>
      <c r="C1270">
        <v>0.91</v>
      </c>
      <c r="D1270">
        <v>0.55000000000000004</v>
      </c>
      <c r="E1270">
        <v>0.03</v>
      </c>
      <c r="F1270" t="s">
        <v>8</v>
      </c>
    </row>
    <row r="1271" spans="1:6" x14ac:dyDescent="0.35">
      <c r="A1271" t="s">
        <v>2486</v>
      </c>
      <c r="B1271" t="s">
        <v>2487</v>
      </c>
      <c r="C1271">
        <v>1.1000000000000001</v>
      </c>
      <c r="D1271">
        <v>0.8</v>
      </c>
      <c r="E1271">
        <v>3.5000000000000003E-2</v>
      </c>
      <c r="F1271" t="s">
        <v>8</v>
      </c>
    </row>
    <row r="1272" spans="1:6" x14ac:dyDescent="0.35">
      <c r="A1272" t="s">
        <v>2488</v>
      </c>
      <c r="B1272" t="s">
        <v>2489</v>
      </c>
      <c r="C1272">
        <v>0.46</v>
      </c>
      <c r="D1272">
        <v>0.09</v>
      </c>
      <c r="E1272">
        <v>2.5000000000000001E-2</v>
      </c>
      <c r="F1272" t="s">
        <v>8</v>
      </c>
    </row>
    <row r="1273" spans="1:6" x14ac:dyDescent="0.35">
      <c r="A1273" t="s">
        <v>2490</v>
      </c>
      <c r="B1273" t="s">
        <v>2491</v>
      </c>
      <c r="C1273">
        <v>1.1000000000000001</v>
      </c>
      <c r="D1273">
        <v>0.23</v>
      </c>
      <c r="E1273">
        <v>0.01</v>
      </c>
      <c r="F1273" t="s">
        <v>8</v>
      </c>
    </row>
    <row r="1274" spans="1:6" x14ac:dyDescent="0.35">
      <c r="A1274" t="s">
        <v>2492</v>
      </c>
      <c r="B1274" t="s">
        <v>2493</v>
      </c>
      <c r="C1274">
        <v>1.31</v>
      </c>
      <c r="D1274">
        <v>0.55000000000000004</v>
      </c>
      <c r="E1274">
        <v>0.03</v>
      </c>
      <c r="F1274" t="s">
        <v>8</v>
      </c>
    </row>
    <row r="1275" spans="1:6" x14ac:dyDescent="0.35">
      <c r="A1275" t="s">
        <v>2494</v>
      </c>
      <c r="B1275" t="s">
        <v>2495</v>
      </c>
      <c r="C1275">
        <v>1.5</v>
      </c>
      <c r="D1275">
        <v>0.8</v>
      </c>
      <c r="E1275">
        <v>3.5000000000000003E-2</v>
      </c>
      <c r="F1275" t="s">
        <v>8</v>
      </c>
    </row>
    <row r="1276" spans="1:6" x14ac:dyDescent="0.35">
      <c r="A1276" t="s">
        <v>2496</v>
      </c>
      <c r="B1276" t="s">
        <v>2497</v>
      </c>
      <c r="C1276">
        <v>1.71</v>
      </c>
      <c r="D1276">
        <v>0.8</v>
      </c>
      <c r="E1276">
        <v>3.5000000000000003E-2</v>
      </c>
      <c r="F1276" t="s">
        <v>8</v>
      </c>
    </row>
    <row r="1277" spans="1:6" x14ac:dyDescent="0.35">
      <c r="A1277" t="s">
        <v>2498</v>
      </c>
      <c r="B1277" t="s">
        <v>2499</v>
      </c>
      <c r="C1277">
        <v>2.0699999999999998</v>
      </c>
      <c r="D1277">
        <v>0.8</v>
      </c>
      <c r="E1277">
        <v>3.5000000000000003E-2</v>
      </c>
      <c r="F1277" t="s">
        <v>8</v>
      </c>
    </row>
    <row r="1278" spans="1:6" x14ac:dyDescent="0.35">
      <c r="A1278" t="s">
        <v>2500</v>
      </c>
      <c r="B1278" t="s">
        <v>2501</v>
      </c>
      <c r="C1278">
        <v>0.86</v>
      </c>
      <c r="D1278">
        <v>0.06</v>
      </c>
      <c r="E1278">
        <v>2.5000000000000001E-2</v>
      </c>
      <c r="F1278" t="s">
        <v>8</v>
      </c>
    </row>
    <row r="1279" spans="1:6" x14ac:dyDescent="0.35">
      <c r="A1279" t="s">
        <v>2502</v>
      </c>
      <c r="B1279" t="s">
        <v>2503</v>
      </c>
      <c r="C1279">
        <v>1.01</v>
      </c>
      <c r="D1279">
        <v>0.64</v>
      </c>
      <c r="E1279">
        <v>0.03</v>
      </c>
      <c r="F1279" t="s">
        <v>8</v>
      </c>
    </row>
    <row r="1280" spans="1:6" x14ac:dyDescent="0.35">
      <c r="A1280" t="s">
        <v>2504</v>
      </c>
      <c r="B1280" t="s">
        <v>2505</v>
      </c>
      <c r="C1280">
        <v>0.51</v>
      </c>
      <c r="D1280">
        <v>0.06</v>
      </c>
      <c r="E1280">
        <v>2.5000000000000001E-2</v>
      </c>
      <c r="F1280" t="s">
        <v>8</v>
      </c>
    </row>
    <row r="1281" spans="1:6" x14ac:dyDescent="0.35">
      <c r="A1281" t="s">
        <v>2506</v>
      </c>
      <c r="B1281" t="s">
        <v>2507</v>
      </c>
      <c r="C1281">
        <v>1.41</v>
      </c>
      <c r="D1281">
        <v>0.64</v>
      </c>
      <c r="E1281">
        <v>0.03</v>
      </c>
      <c r="F1281" t="s">
        <v>8</v>
      </c>
    </row>
    <row r="1282" spans="1:6" x14ac:dyDescent="0.35">
      <c r="A1282" t="s">
        <v>2508</v>
      </c>
      <c r="B1282" t="s">
        <v>2509</v>
      </c>
      <c r="C1282">
        <v>1.61</v>
      </c>
      <c r="D1282">
        <v>0.64</v>
      </c>
      <c r="E1282">
        <v>0.03</v>
      </c>
      <c r="F1282" t="s">
        <v>8</v>
      </c>
    </row>
    <row r="1283" spans="1:6" x14ac:dyDescent="0.35">
      <c r="A1283" t="s">
        <v>2510</v>
      </c>
      <c r="B1283" t="s">
        <v>2511</v>
      </c>
      <c r="C1283">
        <v>0.96499999999999997</v>
      </c>
      <c r="D1283">
        <v>7.0000000000000007E-2</v>
      </c>
      <c r="E1283">
        <v>1.4999999999999999E-2</v>
      </c>
      <c r="F1283" t="s">
        <v>8</v>
      </c>
    </row>
    <row r="1284" spans="1:6" x14ac:dyDescent="0.35">
      <c r="A1284" t="s">
        <v>2512</v>
      </c>
      <c r="B1284" t="s">
        <v>2513</v>
      </c>
      <c r="C1284">
        <v>0.60499999999999998</v>
      </c>
      <c r="D1284">
        <v>7.0000000000000007E-2</v>
      </c>
      <c r="E1284">
        <v>1.4999999999999999E-2</v>
      </c>
      <c r="F1284" t="s">
        <v>8</v>
      </c>
    </row>
    <row r="1285" spans="1:6" x14ac:dyDescent="0.35">
      <c r="A1285" t="s">
        <v>2514</v>
      </c>
      <c r="B1285" t="s">
        <v>2515</v>
      </c>
      <c r="C1285">
        <v>1.365</v>
      </c>
      <c r="D1285">
        <v>7.0000000000000007E-2</v>
      </c>
      <c r="E1285">
        <v>1.4999999999999999E-2</v>
      </c>
      <c r="F1285" t="s">
        <v>8</v>
      </c>
    </row>
    <row r="1286" spans="1:6" x14ac:dyDescent="0.35">
      <c r="A1286" t="s">
        <v>2516</v>
      </c>
      <c r="B1286" t="s">
        <v>2517</v>
      </c>
      <c r="C1286">
        <v>1.5649999999999999</v>
      </c>
      <c r="D1286">
        <v>7.0000000000000007E-2</v>
      </c>
      <c r="E1286">
        <v>1.4999999999999999E-2</v>
      </c>
      <c r="F1286" t="s">
        <v>8</v>
      </c>
    </row>
    <row r="1287" spans="1:6" x14ac:dyDescent="0.35">
      <c r="A1287" t="s">
        <v>2518</v>
      </c>
      <c r="B1287" t="s">
        <v>2519</v>
      </c>
      <c r="C1287">
        <v>1.36</v>
      </c>
      <c r="D1287">
        <v>0.56000000000000005</v>
      </c>
      <c r="E1287">
        <v>0.03</v>
      </c>
      <c r="F1287" t="s">
        <v>8</v>
      </c>
    </row>
    <row r="1288" spans="1:6" x14ac:dyDescent="0.35">
      <c r="A1288" t="s">
        <v>2520</v>
      </c>
      <c r="B1288" t="s">
        <v>2521</v>
      </c>
      <c r="C1288">
        <v>1.7</v>
      </c>
      <c r="D1288">
        <v>6.5000000000000002E-2</v>
      </c>
      <c r="E1288">
        <v>2.5000000000000001E-2</v>
      </c>
      <c r="F1288" t="s">
        <v>8</v>
      </c>
    </row>
    <row r="1289" spans="1:6" x14ac:dyDescent="0.35">
      <c r="A1289" t="s">
        <v>2522</v>
      </c>
      <c r="B1289" t="s">
        <v>2523</v>
      </c>
      <c r="C1289">
        <v>1.3</v>
      </c>
      <c r="D1289">
        <v>6.5000000000000002E-2</v>
      </c>
      <c r="E1289">
        <v>2.5000000000000001E-2</v>
      </c>
      <c r="F1289" t="s">
        <v>8</v>
      </c>
    </row>
    <row r="1290" spans="1:6" x14ac:dyDescent="0.35">
      <c r="A1290" t="s">
        <v>2524</v>
      </c>
      <c r="B1290" t="s">
        <v>2525</v>
      </c>
      <c r="C1290">
        <v>1.7</v>
      </c>
      <c r="D1290">
        <v>0.14000000000000001</v>
      </c>
      <c r="E1290">
        <v>0.01</v>
      </c>
      <c r="F1290" t="s">
        <v>8</v>
      </c>
    </row>
    <row r="1291" spans="1:6" x14ac:dyDescent="0.35">
      <c r="A1291" t="s">
        <v>2526</v>
      </c>
      <c r="B1291" t="s">
        <v>2527</v>
      </c>
      <c r="C1291">
        <v>1.56</v>
      </c>
      <c r="D1291">
        <v>0.56000000000000005</v>
      </c>
      <c r="E1291">
        <v>0.03</v>
      </c>
      <c r="F1291" t="s">
        <v>8</v>
      </c>
    </row>
    <row r="1292" spans="1:6" x14ac:dyDescent="0.35">
      <c r="A1292" t="s">
        <v>2528</v>
      </c>
      <c r="B1292" t="s">
        <v>2529</v>
      </c>
      <c r="C1292">
        <v>1.8</v>
      </c>
      <c r="D1292">
        <v>6.5000000000000002E-2</v>
      </c>
      <c r="E1292">
        <v>2.5000000000000001E-2</v>
      </c>
      <c r="F1292" t="s">
        <v>8</v>
      </c>
    </row>
    <row r="1293" spans="1:6" x14ac:dyDescent="0.35">
      <c r="A1293" t="s">
        <v>2530</v>
      </c>
      <c r="B1293" t="s">
        <v>2531</v>
      </c>
      <c r="C1293">
        <v>1.5</v>
      </c>
      <c r="D1293">
        <v>6.5000000000000002E-2</v>
      </c>
      <c r="E1293">
        <v>2.5000000000000001E-2</v>
      </c>
      <c r="F1293" t="s">
        <v>8</v>
      </c>
    </row>
    <row r="1294" spans="1:6" x14ac:dyDescent="0.35">
      <c r="A1294" t="s">
        <v>2532</v>
      </c>
      <c r="B1294" t="s">
        <v>2533</v>
      </c>
      <c r="C1294">
        <v>1.5</v>
      </c>
      <c r="D1294">
        <v>6.5000000000000002E-2</v>
      </c>
      <c r="E1294">
        <v>2.5000000000000001E-2</v>
      </c>
      <c r="F1294" t="s">
        <v>8</v>
      </c>
    </row>
    <row r="1295" spans="1:6" x14ac:dyDescent="0.35">
      <c r="A1295" t="s">
        <v>2534</v>
      </c>
      <c r="B1295" t="s">
        <v>2535</v>
      </c>
      <c r="C1295">
        <v>1.4</v>
      </c>
      <c r="D1295">
        <v>0.56000000000000005</v>
      </c>
      <c r="E1295">
        <v>0.03</v>
      </c>
      <c r="F1295" t="s">
        <v>8</v>
      </c>
    </row>
    <row r="1296" spans="1:6" x14ac:dyDescent="0.35">
      <c r="A1296" t="s">
        <v>2536</v>
      </c>
      <c r="B1296" t="s">
        <v>2537</v>
      </c>
      <c r="C1296">
        <v>1.47</v>
      </c>
      <c r="D1296">
        <v>6.5000000000000002E-2</v>
      </c>
      <c r="E1296">
        <v>2.5000000000000001E-2</v>
      </c>
      <c r="F1296" t="s">
        <v>8</v>
      </c>
    </row>
    <row r="1297" spans="1:6" x14ac:dyDescent="0.35">
      <c r="A1297" t="s">
        <v>2538</v>
      </c>
      <c r="B1297" t="s">
        <v>2539</v>
      </c>
      <c r="C1297">
        <v>0.86</v>
      </c>
      <c r="D1297">
        <v>0.06</v>
      </c>
      <c r="E1297">
        <v>2.5000000000000001E-2</v>
      </c>
      <c r="F1297" t="s">
        <v>8</v>
      </c>
    </row>
    <row r="1298" spans="1:6" x14ac:dyDescent="0.35">
      <c r="A1298" t="s">
        <v>2540</v>
      </c>
      <c r="B1298" t="s">
        <v>2541</v>
      </c>
      <c r="C1298">
        <v>1.48</v>
      </c>
      <c r="D1298">
        <v>0.13</v>
      </c>
      <c r="E1298">
        <v>0.01</v>
      </c>
      <c r="F1298" t="s">
        <v>8</v>
      </c>
    </row>
    <row r="1299" spans="1:6" x14ac:dyDescent="0.35">
      <c r="A1299" t="s">
        <v>2542</v>
      </c>
      <c r="B1299" t="s">
        <v>2543</v>
      </c>
      <c r="C1299">
        <v>1.4</v>
      </c>
      <c r="D1299">
        <v>0.14000000000000001</v>
      </c>
      <c r="E1299">
        <v>0.01</v>
      </c>
      <c r="F1299" t="s">
        <v>8</v>
      </c>
    </row>
    <row r="1300" spans="1:6" x14ac:dyDescent="0.35">
      <c r="A1300" t="s">
        <v>2544</v>
      </c>
      <c r="B1300" t="s">
        <v>2545</v>
      </c>
      <c r="C1300">
        <v>3.5</v>
      </c>
      <c r="D1300">
        <v>0.14000000000000001</v>
      </c>
      <c r="E1300">
        <v>0.01</v>
      </c>
      <c r="F1300" t="s">
        <v>8</v>
      </c>
    </row>
    <row r="1301" spans="1:6" x14ac:dyDescent="0.35">
      <c r="A1301" t="s">
        <v>2546</v>
      </c>
      <c r="B1301" t="s">
        <v>2547</v>
      </c>
      <c r="C1301">
        <v>1.6</v>
      </c>
      <c r="D1301">
        <v>0.14000000000000001</v>
      </c>
      <c r="E1301">
        <v>0.01</v>
      </c>
      <c r="F1301" t="s">
        <v>8</v>
      </c>
    </row>
    <row r="1302" spans="1:6" x14ac:dyDescent="0.35">
      <c r="A1302" t="s">
        <v>2548</v>
      </c>
      <c r="B1302" t="s">
        <v>2549</v>
      </c>
      <c r="C1302">
        <v>3.7</v>
      </c>
      <c r="D1302">
        <v>0.14000000000000001</v>
      </c>
      <c r="E1302">
        <v>0.01</v>
      </c>
      <c r="F1302" t="s">
        <v>8</v>
      </c>
    </row>
    <row r="1303" spans="1:6" x14ac:dyDescent="0.35">
      <c r="A1303" t="s">
        <v>2550</v>
      </c>
      <c r="B1303" t="s">
        <v>2551</v>
      </c>
      <c r="C1303">
        <v>2.0499999999999998</v>
      </c>
      <c r="D1303">
        <v>0.8</v>
      </c>
      <c r="E1303">
        <v>2.5000000000000001E-2</v>
      </c>
      <c r="F1303" t="s">
        <v>8</v>
      </c>
    </row>
    <row r="1304" spans="1:6" x14ac:dyDescent="0.35">
      <c r="A1304" t="s">
        <v>2552</v>
      </c>
      <c r="B1304" t="s">
        <v>2553</v>
      </c>
      <c r="C1304">
        <v>1.51</v>
      </c>
      <c r="D1304">
        <v>0.44</v>
      </c>
      <c r="E1304">
        <v>3.5000000000000003E-2</v>
      </c>
      <c r="F1304" t="s">
        <v>8</v>
      </c>
    </row>
    <row r="1305" spans="1:6" x14ac:dyDescent="0.35">
      <c r="A1305" t="s">
        <v>2554</v>
      </c>
      <c r="B1305" t="s">
        <v>2555</v>
      </c>
      <c r="C1305">
        <v>1.51</v>
      </c>
      <c r="D1305">
        <v>0.48</v>
      </c>
      <c r="E1305">
        <v>3.5000000000000003E-2</v>
      </c>
      <c r="F1305" t="s">
        <v>8</v>
      </c>
    </row>
    <row r="1306" spans="1:6" x14ac:dyDescent="0.35">
      <c r="A1306" t="s">
        <v>2556</v>
      </c>
      <c r="B1306" t="s">
        <v>2557</v>
      </c>
      <c r="C1306">
        <v>1.71</v>
      </c>
      <c r="D1306">
        <v>0.44</v>
      </c>
      <c r="E1306">
        <v>3.5000000000000003E-2</v>
      </c>
      <c r="F1306" t="s">
        <v>8</v>
      </c>
    </row>
    <row r="1307" spans="1:6" x14ac:dyDescent="0.35">
      <c r="A1307" t="s">
        <v>2558</v>
      </c>
      <c r="B1307" t="s">
        <v>2559</v>
      </c>
      <c r="C1307">
        <v>1.71</v>
      </c>
      <c r="D1307">
        <v>0.48</v>
      </c>
      <c r="E1307">
        <v>3.5000000000000003E-2</v>
      </c>
      <c r="F1307" t="s">
        <v>8</v>
      </c>
    </row>
    <row r="1308" spans="1:6" x14ac:dyDescent="0.35">
      <c r="A1308" t="s">
        <v>2560</v>
      </c>
      <c r="B1308" t="s">
        <v>2561</v>
      </c>
      <c r="C1308">
        <v>2.0699999999999998</v>
      </c>
      <c r="D1308">
        <v>0.44</v>
      </c>
      <c r="E1308">
        <v>3.5000000000000003E-2</v>
      </c>
      <c r="F1308" t="s">
        <v>8</v>
      </c>
    </row>
    <row r="1309" spans="1:6" x14ac:dyDescent="0.35">
      <c r="A1309" t="s">
        <v>2562</v>
      </c>
      <c r="B1309" t="s">
        <v>2563</v>
      </c>
      <c r="C1309">
        <v>2.0699999999999998</v>
      </c>
      <c r="D1309">
        <v>0.48</v>
      </c>
      <c r="E1309">
        <v>3.5000000000000003E-2</v>
      </c>
      <c r="F1309" t="s">
        <v>8</v>
      </c>
    </row>
    <row r="1310" spans="1:6" x14ac:dyDescent="0.35">
      <c r="A1310" t="s">
        <v>2564</v>
      </c>
      <c r="B1310" t="s">
        <v>2565</v>
      </c>
      <c r="C1310">
        <v>0.87</v>
      </c>
      <c r="D1310">
        <v>0.49</v>
      </c>
      <c r="E1310">
        <v>0.02</v>
      </c>
      <c r="F1310" t="s">
        <v>8</v>
      </c>
    </row>
    <row r="1311" spans="1:6" x14ac:dyDescent="0.35">
      <c r="A1311" t="s">
        <v>2566</v>
      </c>
      <c r="B1311" t="s">
        <v>2567</v>
      </c>
      <c r="C1311">
        <v>0.76</v>
      </c>
      <c r="D1311">
        <v>0.48</v>
      </c>
      <c r="E1311">
        <v>8.9999999999999993E-3</v>
      </c>
      <c r="F1311" t="s">
        <v>1021</v>
      </c>
    </row>
    <row r="1312" spans="1:6" x14ac:dyDescent="0.35">
      <c r="A1312" t="s">
        <v>2568</v>
      </c>
      <c r="B1312" t="s">
        <v>2569</v>
      </c>
      <c r="C1312">
        <v>0.99</v>
      </c>
      <c r="D1312">
        <v>0.06</v>
      </c>
      <c r="E1312">
        <v>2.5000000000000001E-2</v>
      </c>
      <c r="F1312" t="s">
        <v>8</v>
      </c>
    </row>
    <row r="1313" spans="1:6" x14ac:dyDescent="0.35">
      <c r="A1313" t="s">
        <v>2570</v>
      </c>
      <c r="B1313" t="s">
        <v>2571</v>
      </c>
      <c r="C1313">
        <v>0.77</v>
      </c>
      <c r="D1313">
        <v>0.06</v>
      </c>
      <c r="E1313">
        <v>2.5000000000000001E-2</v>
      </c>
      <c r="F1313" t="s">
        <v>8</v>
      </c>
    </row>
    <row r="1314" spans="1:6" x14ac:dyDescent="0.35">
      <c r="A1314" t="s">
        <v>2572</v>
      </c>
      <c r="B1314" t="s">
        <v>2573</v>
      </c>
      <c r="C1314">
        <v>0.77</v>
      </c>
      <c r="D1314">
        <v>0.49</v>
      </c>
      <c r="E1314">
        <v>0.02</v>
      </c>
      <c r="F1314" t="s">
        <v>8</v>
      </c>
    </row>
    <row r="1315" spans="1:6" x14ac:dyDescent="0.35">
      <c r="A1315" t="s">
        <v>2574</v>
      </c>
      <c r="B1315" t="s">
        <v>2575</v>
      </c>
      <c r="C1315">
        <v>1.0900000000000001</v>
      </c>
      <c r="D1315">
        <v>0.06</v>
      </c>
      <c r="E1315">
        <v>2.5000000000000001E-2</v>
      </c>
      <c r="F1315" t="s">
        <v>8</v>
      </c>
    </row>
    <row r="1316" spans="1:6" x14ac:dyDescent="0.35">
      <c r="A1316" t="s">
        <v>2576</v>
      </c>
      <c r="B1316" t="s">
        <v>2577</v>
      </c>
      <c r="C1316">
        <v>1.26</v>
      </c>
      <c r="D1316">
        <v>0.06</v>
      </c>
      <c r="E1316">
        <v>2.5000000000000001E-2</v>
      </c>
      <c r="F1316" t="s">
        <v>8</v>
      </c>
    </row>
    <row r="1317" spans="1:6" x14ac:dyDescent="0.35">
      <c r="A1317" t="s">
        <v>2578</v>
      </c>
      <c r="B1317" t="s">
        <v>2579</v>
      </c>
      <c r="C1317">
        <v>1.26</v>
      </c>
      <c r="D1317">
        <v>0.49</v>
      </c>
      <c r="E1317">
        <v>0.02</v>
      </c>
      <c r="F1317" t="s">
        <v>8</v>
      </c>
    </row>
    <row r="1318" spans="1:6" x14ac:dyDescent="0.35">
      <c r="A1318" t="s">
        <v>2580</v>
      </c>
      <c r="B1318" t="s">
        <v>2581</v>
      </c>
      <c r="C1318">
        <v>1.46</v>
      </c>
      <c r="D1318">
        <v>0.06</v>
      </c>
      <c r="E1318">
        <v>2.5000000000000001E-2</v>
      </c>
      <c r="F1318" t="s">
        <v>8</v>
      </c>
    </row>
    <row r="1319" spans="1:6" x14ac:dyDescent="0.35">
      <c r="A1319" t="s">
        <v>2582</v>
      </c>
      <c r="B1319" t="s">
        <v>2583</v>
      </c>
      <c r="C1319">
        <v>1.46</v>
      </c>
      <c r="D1319">
        <v>0.49</v>
      </c>
      <c r="E1319">
        <v>0.02</v>
      </c>
      <c r="F1319" t="s">
        <v>8</v>
      </c>
    </row>
    <row r="1320" spans="1:6" x14ac:dyDescent="0.35">
      <c r="A1320" t="s">
        <v>2584</v>
      </c>
      <c r="B1320" t="s">
        <v>2585</v>
      </c>
      <c r="C1320">
        <v>0.86</v>
      </c>
      <c r="D1320">
        <v>0.48</v>
      </c>
      <c r="E1320">
        <v>8.9999999999999993E-3</v>
      </c>
      <c r="F1320" t="s">
        <v>1021</v>
      </c>
    </row>
    <row r="1321" spans="1:6" x14ac:dyDescent="0.35">
      <c r="A1321" t="s">
        <v>2586</v>
      </c>
      <c r="B1321" t="s">
        <v>2587</v>
      </c>
      <c r="C1321">
        <v>0.87</v>
      </c>
      <c r="D1321">
        <v>0.06</v>
      </c>
      <c r="E1321">
        <v>2.5000000000000001E-2</v>
      </c>
      <c r="F1321" t="s">
        <v>8</v>
      </c>
    </row>
    <row r="1322" spans="1:6" x14ac:dyDescent="0.35">
      <c r="A1322" t="s">
        <v>2588</v>
      </c>
      <c r="B1322" t="s">
        <v>2589</v>
      </c>
      <c r="C1322">
        <v>0.87</v>
      </c>
      <c r="D1322">
        <v>0.49</v>
      </c>
      <c r="E1322">
        <v>0.03</v>
      </c>
      <c r="F1322" t="s">
        <v>8</v>
      </c>
    </row>
    <row r="1323" spans="1:6" x14ac:dyDescent="0.35">
      <c r="A1323" t="s">
        <v>2590</v>
      </c>
      <c r="B1323" t="s">
        <v>2591</v>
      </c>
      <c r="C1323">
        <v>1.26</v>
      </c>
      <c r="D1323">
        <v>0.49</v>
      </c>
      <c r="E1323">
        <v>0.03</v>
      </c>
      <c r="F1323" t="s">
        <v>8</v>
      </c>
    </row>
    <row r="1324" spans="1:6" x14ac:dyDescent="0.35">
      <c r="A1324" t="s">
        <v>2592</v>
      </c>
      <c r="B1324" t="s">
        <v>2593</v>
      </c>
      <c r="C1324">
        <v>1.6</v>
      </c>
      <c r="D1324">
        <v>0.14000000000000001</v>
      </c>
      <c r="E1324">
        <v>0.01</v>
      </c>
      <c r="F1324" t="s">
        <v>8</v>
      </c>
    </row>
    <row r="1325" spans="1:6" x14ac:dyDescent="0.35">
      <c r="A1325" t="s">
        <v>2594</v>
      </c>
      <c r="B1325" t="s">
        <v>2595</v>
      </c>
      <c r="C1325">
        <v>1.1599999999999999</v>
      </c>
      <c r="D1325">
        <v>0.06</v>
      </c>
      <c r="E1325">
        <v>2.5000000000000001E-2</v>
      </c>
      <c r="F1325" t="s">
        <v>8</v>
      </c>
    </row>
    <row r="1326" spans="1:6" x14ac:dyDescent="0.35">
      <c r="A1326" t="s">
        <v>2596</v>
      </c>
      <c r="B1326" t="s">
        <v>2597</v>
      </c>
      <c r="C1326">
        <v>1.46</v>
      </c>
      <c r="D1326">
        <v>0.49</v>
      </c>
      <c r="E1326">
        <v>0.03</v>
      </c>
      <c r="F1326" t="s">
        <v>8</v>
      </c>
    </row>
    <row r="1327" spans="1:6" x14ac:dyDescent="0.35">
      <c r="A1327" t="s">
        <v>2598</v>
      </c>
      <c r="B1327" t="s">
        <v>2599</v>
      </c>
      <c r="C1327">
        <v>1.6</v>
      </c>
      <c r="D1327">
        <v>0.37</v>
      </c>
      <c r="E1327">
        <v>2.5000000000000001E-2</v>
      </c>
      <c r="F1327" t="s">
        <v>8</v>
      </c>
    </row>
    <row r="1328" spans="1:6" x14ac:dyDescent="0.35">
      <c r="A1328" t="s">
        <v>2600</v>
      </c>
      <c r="B1328" t="s">
        <v>2601</v>
      </c>
      <c r="C1328">
        <v>1.56</v>
      </c>
      <c r="D1328">
        <v>0.72</v>
      </c>
      <c r="E1328">
        <v>0.03</v>
      </c>
      <c r="F1328" t="s">
        <v>8</v>
      </c>
    </row>
    <row r="1329" spans="1:6" x14ac:dyDescent="0.35">
      <c r="A1329" t="s">
        <v>2602</v>
      </c>
      <c r="B1329" t="s">
        <v>2603</v>
      </c>
      <c r="C1329">
        <v>1.3</v>
      </c>
      <c r="D1329">
        <v>0.56999999999999995</v>
      </c>
      <c r="E1329">
        <v>0.03</v>
      </c>
      <c r="F1329" t="s">
        <v>8</v>
      </c>
    </row>
    <row r="1330" spans="1:6" x14ac:dyDescent="0.35">
      <c r="A1330" t="s">
        <v>2604</v>
      </c>
      <c r="B1330" t="s">
        <v>2605</v>
      </c>
      <c r="C1330">
        <v>1.46</v>
      </c>
      <c r="D1330">
        <v>0.68</v>
      </c>
      <c r="E1330">
        <v>0.02</v>
      </c>
      <c r="F1330" t="s">
        <v>8</v>
      </c>
    </row>
    <row r="1331" spans="1:6" x14ac:dyDescent="0.35">
      <c r="A1331" t="s">
        <v>2606</v>
      </c>
      <c r="B1331" t="s">
        <v>2607</v>
      </c>
      <c r="C1331">
        <v>0.64</v>
      </c>
      <c r="D1331">
        <v>0.13</v>
      </c>
      <c r="E1331">
        <v>0.03</v>
      </c>
      <c r="F1331" t="s">
        <v>8</v>
      </c>
    </row>
    <row r="1332" spans="1:6" x14ac:dyDescent="0.35">
      <c r="A1332" t="s">
        <v>2608</v>
      </c>
      <c r="B1332" t="s">
        <v>2609</v>
      </c>
      <c r="C1332">
        <v>1.46</v>
      </c>
      <c r="D1332">
        <v>0.08</v>
      </c>
      <c r="E1332">
        <v>2.5000000000000001E-2</v>
      </c>
      <c r="F1332" t="s">
        <v>8</v>
      </c>
    </row>
    <row r="1333" spans="1:6" x14ac:dyDescent="0.35">
      <c r="A1333" t="s">
        <v>2610</v>
      </c>
      <c r="B1333" t="s">
        <v>2611</v>
      </c>
      <c r="C1333">
        <v>1.76</v>
      </c>
      <c r="D1333">
        <v>0.72</v>
      </c>
      <c r="E1333">
        <v>0.03</v>
      </c>
      <c r="F1333" t="s">
        <v>8</v>
      </c>
    </row>
    <row r="1334" spans="1:6" x14ac:dyDescent="0.35">
      <c r="A1334" t="s">
        <v>2612</v>
      </c>
      <c r="B1334" t="s">
        <v>2613</v>
      </c>
      <c r="C1334">
        <v>1.5</v>
      </c>
      <c r="D1334">
        <v>0.56999999999999995</v>
      </c>
      <c r="E1334">
        <v>0.03</v>
      </c>
      <c r="F1334" t="s">
        <v>8</v>
      </c>
    </row>
    <row r="1335" spans="1:6" x14ac:dyDescent="0.35">
      <c r="A1335" t="s">
        <v>2614</v>
      </c>
      <c r="B1335" t="s">
        <v>2615</v>
      </c>
      <c r="C1335">
        <v>1.66</v>
      </c>
      <c r="D1335">
        <v>0.68</v>
      </c>
      <c r="E1335">
        <v>0.02</v>
      </c>
      <c r="F1335" t="s">
        <v>8</v>
      </c>
    </row>
    <row r="1336" spans="1:6" x14ac:dyDescent="0.35">
      <c r="A1336" t="s">
        <v>2616</v>
      </c>
      <c r="B1336" t="s">
        <v>2617</v>
      </c>
      <c r="C1336">
        <v>2.11</v>
      </c>
      <c r="D1336">
        <v>0.72</v>
      </c>
      <c r="E1336">
        <v>0.03</v>
      </c>
      <c r="F1336" t="s">
        <v>8</v>
      </c>
    </row>
    <row r="1337" spans="1:6" x14ac:dyDescent="0.35">
      <c r="A1337" t="s">
        <v>2618</v>
      </c>
      <c r="B1337" t="s">
        <v>2619</v>
      </c>
      <c r="C1337">
        <v>1.85</v>
      </c>
      <c r="D1337">
        <v>0.56999999999999995</v>
      </c>
      <c r="E1337">
        <v>0.03</v>
      </c>
      <c r="F1337" t="s">
        <v>8</v>
      </c>
    </row>
    <row r="1338" spans="1:6" x14ac:dyDescent="0.35">
      <c r="A1338" t="s">
        <v>2620</v>
      </c>
      <c r="B1338" t="s">
        <v>2621</v>
      </c>
      <c r="C1338">
        <v>2.0099999999999998</v>
      </c>
      <c r="D1338">
        <v>0.68</v>
      </c>
      <c r="E1338">
        <v>0.02</v>
      </c>
      <c r="F1338" t="s">
        <v>8</v>
      </c>
    </row>
    <row r="1339" spans="1:6" x14ac:dyDescent="0.35">
      <c r="A1339" t="s">
        <v>2622</v>
      </c>
      <c r="B1339" t="s">
        <v>2623</v>
      </c>
      <c r="C1339">
        <v>1</v>
      </c>
      <c r="D1339">
        <v>0.65</v>
      </c>
      <c r="E1339">
        <v>3.5000000000000003E-2</v>
      </c>
      <c r="F1339" t="s">
        <v>8</v>
      </c>
    </row>
    <row r="1340" spans="1:6" x14ac:dyDescent="0.35">
      <c r="A1340" t="s">
        <v>2624</v>
      </c>
      <c r="B1340" t="s">
        <v>2625</v>
      </c>
      <c r="C1340">
        <v>1.53</v>
      </c>
      <c r="D1340">
        <v>0.14000000000000001</v>
      </c>
      <c r="E1340">
        <v>0.03</v>
      </c>
      <c r="F1340" t="s">
        <v>8</v>
      </c>
    </row>
    <row r="1341" spans="1:6" x14ac:dyDescent="0.35">
      <c r="A1341" t="s">
        <v>2626</v>
      </c>
      <c r="B1341" t="s">
        <v>2627</v>
      </c>
      <c r="C1341">
        <v>1.5</v>
      </c>
      <c r="D1341">
        <v>0.65</v>
      </c>
      <c r="E1341">
        <v>3.5000000000000003E-2</v>
      </c>
      <c r="F1341" t="s">
        <v>8</v>
      </c>
    </row>
    <row r="1342" spans="1:6" x14ac:dyDescent="0.35">
      <c r="A1342" t="s">
        <v>2628</v>
      </c>
      <c r="B1342" t="s">
        <v>2629</v>
      </c>
      <c r="C1342">
        <v>1.78</v>
      </c>
      <c r="D1342">
        <v>0.14000000000000001</v>
      </c>
      <c r="E1342">
        <v>0.03</v>
      </c>
      <c r="F1342" t="s">
        <v>8</v>
      </c>
    </row>
    <row r="1343" spans="1:6" x14ac:dyDescent="0.35">
      <c r="A1343" t="s">
        <v>2630</v>
      </c>
      <c r="B1343" t="s">
        <v>2631</v>
      </c>
      <c r="C1343">
        <v>0.48</v>
      </c>
      <c r="D1343">
        <v>7.0000000000000007E-2</v>
      </c>
      <c r="E1343">
        <v>3.5000000000000003E-2</v>
      </c>
      <c r="F1343" t="s">
        <v>8</v>
      </c>
    </row>
    <row r="1344" spans="1:6" x14ac:dyDescent="0.35">
      <c r="A1344" t="s">
        <v>2632</v>
      </c>
      <c r="B1344" t="s">
        <v>2633</v>
      </c>
      <c r="C1344">
        <v>1.7</v>
      </c>
      <c r="D1344">
        <v>0.65</v>
      </c>
      <c r="E1344">
        <v>3.5000000000000003E-2</v>
      </c>
      <c r="F1344" t="s">
        <v>8</v>
      </c>
    </row>
    <row r="1345" spans="1:6" x14ac:dyDescent="0.35">
      <c r="A1345" t="s">
        <v>2634</v>
      </c>
      <c r="B1345" t="s">
        <v>2635</v>
      </c>
      <c r="C1345">
        <v>1.88</v>
      </c>
      <c r="D1345">
        <v>0.14000000000000001</v>
      </c>
      <c r="E1345">
        <v>0.03</v>
      </c>
      <c r="F1345" t="s">
        <v>8</v>
      </c>
    </row>
    <row r="1346" spans="1:6" x14ac:dyDescent="0.35">
      <c r="A1346" t="s">
        <v>2636</v>
      </c>
      <c r="B1346" t="s">
        <v>2637</v>
      </c>
      <c r="C1346">
        <v>2.0499999999999998</v>
      </c>
      <c r="D1346">
        <v>0.65</v>
      </c>
      <c r="E1346">
        <v>3.5000000000000003E-2</v>
      </c>
      <c r="F1346" t="s">
        <v>8</v>
      </c>
    </row>
    <row r="1347" spans="1:6" x14ac:dyDescent="0.35">
      <c r="A1347" t="s">
        <v>2638</v>
      </c>
      <c r="B1347" t="s">
        <v>2639</v>
      </c>
      <c r="C1347">
        <v>2.06</v>
      </c>
      <c r="D1347">
        <v>0.14000000000000001</v>
      </c>
      <c r="E1347">
        <v>0.03</v>
      </c>
      <c r="F1347" t="s">
        <v>8</v>
      </c>
    </row>
    <row r="1348" spans="1:6" x14ac:dyDescent="0.35">
      <c r="A1348" t="s">
        <v>2640</v>
      </c>
      <c r="B1348" t="s">
        <v>2641</v>
      </c>
      <c r="C1348">
        <v>0.92400000000000004</v>
      </c>
      <c r="D1348">
        <v>0.30099999999999999</v>
      </c>
      <c r="E1348">
        <v>1.4999999999999999E-2</v>
      </c>
      <c r="F1348" t="s">
        <v>8</v>
      </c>
    </row>
    <row r="1349" spans="1:6" x14ac:dyDescent="0.35">
      <c r="A1349" t="s">
        <v>2642</v>
      </c>
      <c r="B1349" t="s">
        <v>2643</v>
      </c>
      <c r="C1349">
        <v>0.89</v>
      </c>
      <c r="D1349">
        <v>0.248</v>
      </c>
      <c r="E1349">
        <v>1.2E-2</v>
      </c>
      <c r="F1349" t="s">
        <v>8</v>
      </c>
    </row>
    <row r="1350" spans="1:6" x14ac:dyDescent="0.35">
      <c r="A1350" t="s">
        <v>2644</v>
      </c>
      <c r="B1350" t="s">
        <v>2645</v>
      </c>
      <c r="C1350">
        <v>0.89</v>
      </c>
      <c r="D1350">
        <v>0.15</v>
      </c>
      <c r="E1350">
        <v>1.2E-2</v>
      </c>
      <c r="F1350" t="s">
        <v>8</v>
      </c>
    </row>
    <row r="1351" spans="1:6" x14ac:dyDescent="0.35">
      <c r="A1351" t="s">
        <v>2646</v>
      </c>
      <c r="B1351" t="s">
        <v>2647</v>
      </c>
      <c r="C1351">
        <v>0.89</v>
      </c>
      <c r="D1351">
        <v>0.09</v>
      </c>
      <c r="E1351">
        <v>1.2E-2</v>
      </c>
      <c r="F1351" t="s">
        <v>8</v>
      </c>
    </row>
    <row r="1352" spans="1:6" x14ac:dyDescent="0.35">
      <c r="A1352" t="s">
        <v>2648</v>
      </c>
      <c r="B1352" t="s">
        <v>2649</v>
      </c>
      <c r="C1352">
        <v>1.89</v>
      </c>
      <c r="D1352">
        <v>0.3</v>
      </c>
      <c r="E1352">
        <v>1.4999999999999999E-2</v>
      </c>
      <c r="F1352" t="s">
        <v>8</v>
      </c>
    </row>
    <row r="1353" spans="1:6" x14ac:dyDescent="0.35">
      <c r="A1353" t="s">
        <v>2650</v>
      </c>
      <c r="B1353" t="s">
        <v>2651</v>
      </c>
      <c r="C1353">
        <v>1.4239999999999999</v>
      </c>
      <c r="D1353">
        <v>0.30099999999999999</v>
      </c>
      <c r="E1353">
        <v>1.4999999999999999E-2</v>
      </c>
      <c r="F1353" t="s">
        <v>8</v>
      </c>
    </row>
    <row r="1354" spans="1:6" x14ac:dyDescent="0.35">
      <c r="A1354" t="s">
        <v>2652</v>
      </c>
      <c r="B1354" t="s">
        <v>2653</v>
      </c>
      <c r="C1354">
        <v>1.39</v>
      </c>
      <c r="D1354">
        <v>0.248</v>
      </c>
      <c r="E1354">
        <v>1.2E-2</v>
      </c>
      <c r="F1354" t="s">
        <v>8</v>
      </c>
    </row>
    <row r="1355" spans="1:6" x14ac:dyDescent="0.35">
      <c r="A1355" t="s">
        <v>2654</v>
      </c>
      <c r="B1355" t="s">
        <v>2655</v>
      </c>
      <c r="C1355">
        <v>1.39</v>
      </c>
      <c r="D1355">
        <v>0.15</v>
      </c>
      <c r="E1355">
        <v>1.2E-2</v>
      </c>
      <c r="F1355" t="s">
        <v>8</v>
      </c>
    </row>
    <row r="1356" spans="1:6" x14ac:dyDescent="0.35">
      <c r="A1356" t="s">
        <v>2656</v>
      </c>
      <c r="B1356" t="s">
        <v>2657</v>
      </c>
      <c r="C1356">
        <v>1.39</v>
      </c>
      <c r="D1356">
        <v>0.09</v>
      </c>
      <c r="E1356">
        <v>1.2E-2</v>
      </c>
      <c r="F1356" t="s">
        <v>8</v>
      </c>
    </row>
    <row r="1357" spans="1:6" x14ac:dyDescent="0.35">
      <c r="A1357" t="s">
        <v>2658</v>
      </c>
      <c r="B1357" t="s">
        <v>2659</v>
      </c>
      <c r="C1357">
        <v>1.89</v>
      </c>
      <c r="D1357">
        <v>0.15</v>
      </c>
      <c r="E1357">
        <v>1.2E-2</v>
      </c>
      <c r="F1357" t="s">
        <v>8</v>
      </c>
    </row>
    <row r="1358" spans="1:6" x14ac:dyDescent="0.35">
      <c r="A1358" t="s">
        <v>2660</v>
      </c>
      <c r="B1358" t="s">
        <v>2661</v>
      </c>
      <c r="C1358">
        <v>1.92</v>
      </c>
      <c r="D1358">
        <v>0.28000000000000003</v>
      </c>
      <c r="E1358">
        <v>1.2E-2</v>
      </c>
      <c r="F1358" t="s">
        <v>8</v>
      </c>
    </row>
    <row r="1359" spans="1:6" x14ac:dyDescent="0.35">
      <c r="A1359" t="s">
        <v>2662</v>
      </c>
      <c r="B1359" t="s">
        <v>2663</v>
      </c>
      <c r="C1359">
        <v>1.62</v>
      </c>
      <c r="D1359">
        <v>0.28000000000000003</v>
      </c>
      <c r="E1359">
        <v>1.2E-2</v>
      </c>
      <c r="F1359" t="s">
        <v>8</v>
      </c>
    </row>
    <row r="1360" spans="1:6" x14ac:dyDescent="0.35">
      <c r="A1360" t="s">
        <v>2664</v>
      </c>
      <c r="B1360" t="s">
        <v>2665</v>
      </c>
      <c r="C1360">
        <v>1.99</v>
      </c>
      <c r="D1360">
        <v>0.3</v>
      </c>
      <c r="E1360">
        <v>1.4999999999999999E-2</v>
      </c>
      <c r="F1360" t="s">
        <v>8</v>
      </c>
    </row>
    <row r="1361" spans="1:6" x14ac:dyDescent="0.35">
      <c r="A1361" t="s">
        <v>2666</v>
      </c>
      <c r="B1361" t="s">
        <v>2667</v>
      </c>
      <c r="C1361">
        <v>1.6240000000000001</v>
      </c>
      <c r="D1361">
        <v>0.30099999999999999</v>
      </c>
      <c r="E1361">
        <v>1.4999999999999999E-2</v>
      </c>
      <c r="F1361" t="s">
        <v>8</v>
      </c>
    </row>
    <row r="1362" spans="1:6" x14ac:dyDescent="0.35">
      <c r="A1362" t="s">
        <v>2668</v>
      </c>
      <c r="B1362" t="s">
        <v>2669</v>
      </c>
      <c r="C1362">
        <v>1.59</v>
      </c>
      <c r="D1362">
        <v>0.248</v>
      </c>
      <c r="E1362">
        <v>1.2E-2</v>
      </c>
      <c r="F1362" t="s">
        <v>8</v>
      </c>
    </row>
    <row r="1363" spans="1:6" x14ac:dyDescent="0.35">
      <c r="A1363" t="s">
        <v>2670</v>
      </c>
      <c r="B1363" t="s">
        <v>2671</v>
      </c>
      <c r="C1363">
        <v>1.59</v>
      </c>
      <c r="D1363">
        <v>0.15</v>
      </c>
      <c r="E1363">
        <v>1.2E-2</v>
      </c>
      <c r="F1363" t="s">
        <v>8</v>
      </c>
    </row>
    <row r="1364" spans="1:6" x14ac:dyDescent="0.35">
      <c r="A1364" t="s">
        <v>2672</v>
      </c>
      <c r="B1364" t="s">
        <v>2673</v>
      </c>
      <c r="C1364">
        <v>1.59</v>
      </c>
      <c r="D1364">
        <v>0.09</v>
      </c>
      <c r="E1364">
        <v>1.2E-2</v>
      </c>
      <c r="F1364" t="s">
        <v>8</v>
      </c>
    </row>
    <row r="1365" spans="1:6" x14ac:dyDescent="0.35">
      <c r="A1365" t="s">
        <v>2674</v>
      </c>
      <c r="B1365" t="s">
        <v>2675</v>
      </c>
      <c r="C1365">
        <v>1.99</v>
      </c>
      <c r="D1365">
        <v>0.15</v>
      </c>
      <c r="E1365">
        <v>1.2E-2</v>
      </c>
      <c r="F1365" t="s">
        <v>8</v>
      </c>
    </row>
    <row r="1366" spans="1:6" x14ac:dyDescent="0.35">
      <c r="A1366" t="s">
        <v>2676</v>
      </c>
      <c r="B1366" t="s">
        <v>2677</v>
      </c>
      <c r="C1366">
        <v>0.75600000000000001</v>
      </c>
      <c r="D1366">
        <v>0.33600000000000002</v>
      </c>
      <c r="E1366">
        <v>1.4999999999999999E-2</v>
      </c>
      <c r="F1366" t="s">
        <v>8</v>
      </c>
    </row>
    <row r="1367" spans="1:6" x14ac:dyDescent="0.35">
      <c r="A1367" t="s">
        <v>2678</v>
      </c>
      <c r="B1367" t="s">
        <v>2679</v>
      </c>
      <c r="C1367">
        <v>2.0299999999999998</v>
      </c>
      <c r="D1367">
        <v>0.28000000000000003</v>
      </c>
      <c r="E1367">
        <v>1.2E-2</v>
      </c>
      <c r="F1367" t="s">
        <v>8</v>
      </c>
    </row>
    <row r="1368" spans="1:6" x14ac:dyDescent="0.35">
      <c r="A1368" t="s">
        <v>2680</v>
      </c>
      <c r="B1368" t="s">
        <v>2681</v>
      </c>
      <c r="C1368">
        <v>1.8</v>
      </c>
      <c r="D1368">
        <v>0.28000000000000003</v>
      </c>
      <c r="E1368">
        <v>1.2E-2</v>
      </c>
      <c r="F1368" t="s">
        <v>8</v>
      </c>
    </row>
    <row r="1369" spans="1:6" x14ac:dyDescent="0.35">
      <c r="A1369" t="s">
        <v>2682</v>
      </c>
      <c r="B1369" t="s">
        <v>2683</v>
      </c>
      <c r="C1369">
        <v>1.01</v>
      </c>
      <c r="D1369">
        <v>0.55000000000000004</v>
      </c>
      <c r="E1369">
        <v>0.05</v>
      </c>
      <c r="F1369" t="s">
        <v>8</v>
      </c>
    </row>
    <row r="1370" spans="1:6" x14ac:dyDescent="0.35">
      <c r="A1370" t="s">
        <v>2684</v>
      </c>
      <c r="B1370" t="s">
        <v>2685</v>
      </c>
      <c r="C1370">
        <v>1.41</v>
      </c>
      <c r="D1370">
        <v>0.55000000000000004</v>
      </c>
      <c r="E1370">
        <v>0.05</v>
      </c>
      <c r="F1370" t="s">
        <v>8</v>
      </c>
    </row>
    <row r="1371" spans="1:6" x14ac:dyDescent="0.35">
      <c r="A1371" t="s">
        <v>2686</v>
      </c>
      <c r="B1371" t="s">
        <v>2687</v>
      </c>
      <c r="C1371">
        <v>1.61</v>
      </c>
      <c r="D1371">
        <v>0.55000000000000004</v>
      </c>
      <c r="E1371">
        <v>0.05</v>
      </c>
      <c r="F1371" t="s">
        <v>8</v>
      </c>
    </row>
    <row r="1372" spans="1:6" x14ac:dyDescent="0.35">
      <c r="A1372" t="s">
        <v>2688</v>
      </c>
      <c r="B1372" t="s">
        <v>2593</v>
      </c>
      <c r="C1372">
        <v>1.6</v>
      </c>
      <c r="D1372">
        <v>0.14000000000000001</v>
      </c>
      <c r="E1372">
        <v>0.01</v>
      </c>
      <c r="F1372" t="s">
        <v>8</v>
      </c>
    </row>
    <row r="1373" spans="1:6" x14ac:dyDescent="0.35">
      <c r="A1373" t="s">
        <v>2689</v>
      </c>
      <c r="B1373" t="s">
        <v>2690</v>
      </c>
      <c r="C1373">
        <v>1.29</v>
      </c>
      <c r="D1373">
        <v>0.59</v>
      </c>
      <c r="E1373">
        <v>2.5000000000000001E-2</v>
      </c>
      <c r="F1373" t="s">
        <v>8</v>
      </c>
    </row>
    <row r="1374" spans="1:6" x14ac:dyDescent="0.35">
      <c r="A1374" t="s">
        <v>2691</v>
      </c>
      <c r="B1374" t="s">
        <v>2623</v>
      </c>
      <c r="C1374">
        <v>1</v>
      </c>
      <c r="D1374">
        <v>0.65</v>
      </c>
      <c r="E1374">
        <v>3.5000000000000003E-2</v>
      </c>
      <c r="F1374" t="s">
        <v>8</v>
      </c>
    </row>
    <row r="1375" spans="1:6" x14ac:dyDescent="0.35">
      <c r="A1375" t="s">
        <v>2692</v>
      </c>
      <c r="B1375" t="s">
        <v>2625</v>
      </c>
      <c r="C1375">
        <v>1.53</v>
      </c>
      <c r="D1375">
        <v>0.14000000000000001</v>
      </c>
      <c r="E1375">
        <v>0.03</v>
      </c>
      <c r="F1375" t="s">
        <v>8</v>
      </c>
    </row>
    <row r="1376" spans="1:6" x14ac:dyDescent="0.35">
      <c r="A1376" t="s">
        <v>2693</v>
      </c>
      <c r="B1376" t="s">
        <v>2627</v>
      </c>
      <c r="C1376">
        <v>1.5</v>
      </c>
      <c r="D1376">
        <v>0.65</v>
      </c>
      <c r="E1376">
        <v>3.5000000000000003E-2</v>
      </c>
      <c r="F1376" t="s">
        <v>8</v>
      </c>
    </row>
    <row r="1377" spans="1:6" x14ac:dyDescent="0.35">
      <c r="A1377" t="s">
        <v>2694</v>
      </c>
      <c r="B1377" t="s">
        <v>2629</v>
      </c>
      <c r="C1377">
        <v>1.78</v>
      </c>
      <c r="D1377">
        <v>0.14000000000000001</v>
      </c>
      <c r="E1377">
        <v>0.03</v>
      </c>
      <c r="F1377" t="s">
        <v>8</v>
      </c>
    </row>
    <row r="1378" spans="1:6" x14ac:dyDescent="0.35">
      <c r="A1378" t="s">
        <v>2695</v>
      </c>
      <c r="B1378" t="s">
        <v>2631</v>
      </c>
      <c r="C1378">
        <v>0.48</v>
      </c>
      <c r="D1378">
        <v>7.0000000000000007E-2</v>
      </c>
      <c r="E1378">
        <v>3.5000000000000003E-2</v>
      </c>
      <c r="F1378" t="s">
        <v>8</v>
      </c>
    </row>
    <row r="1379" spans="1:6" x14ac:dyDescent="0.35">
      <c r="A1379" t="s">
        <v>2696</v>
      </c>
      <c r="B1379" t="s">
        <v>2633</v>
      </c>
      <c r="C1379">
        <v>1.7</v>
      </c>
      <c r="D1379">
        <v>0.65</v>
      </c>
      <c r="E1379">
        <v>3.5000000000000003E-2</v>
      </c>
      <c r="F1379" t="s">
        <v>8</v>
      </c>
    </row>
    <row r="1380" spans="1:6" x14ac:dyDescent="0.35">
      <c r="A1380" t="s">
        <v>2697</v>
      </c>
      <c r="B1380" t="s">
        <v>2635</v>
      </c>
      <c r="C1380">
        <v>1.88</v>
      </c>
      <c r="D1380">
        <v>0.14000000000000001</v>
      </c>
      <c r="E1380">
        <v>0.03</v>
      </c>
      <c r="F1380" t="s">
        <v>8</v>
      </c>
    </row>
    <row r="1381" spans="1:6" x14ac:dyDescent="0.35">
      <c r="A1381" t="s">
        <v>2698</v>
      </c>
      <c r="B1381" t="s">
        <v>2637</v>
      </c>
      <c r="C1381">
        <v>2.0499999999999998</v>
      </c>
      <c r="D1381">
        <v>0.65</v>
      </c>
      <c r="E1381">
        <v>3.5000000000000003E-2</v>
      </c>
      <c r="F1381" t="s">
        <v>8</v>
      </c>
    </row>
    <row r="1382" spans="1:6" x14ac:dyDescent="0.35">
      <c r="A1382" t="s">
        <v>2699</v>
      </c>
      <c r="B1382" t="s">
        <v>2639</v>
      </c>
      <c r="C1382">
        <v>2.06</v>
      </c>
      <c r="D1382">
        <v>0.14000000000000001</v>
      </c>
      <c r="E1382">
        <v>0.03</v>
      </c>
      <c r="F1382" t="s">
        <v>8</v>
      </c>
    </row>
    <row r="1383" spans="1:6" x14ac:dyDescent="0.35">
      <c r="A1383" t="s">
        <v>2700</v>
      </c>
      <c r="B1383" t="s">
        <v>2701</v>
      </c>
      <c r="C1383">
        <v>1.2</v>
      </c>
      <c r="D1383">
        <v>0.60499999999999998</v>
      </c>
      <c r="E1383">
        <v>1.4999999999999999E-2</v>
      </c>
      <c r="F1383" t="s">
        <v>8</v>
      </c>
    </row>
    <row r="1384" spans="1:6" x14ac:dyDescent="0.35">
      <c r="A1384" t="s">
        <v>2702</v>
      </c>
      <c r="B1384" t="s">
        <v>2703</v>
      </c>
      <c r="C1384">
        <v>1.6</v>
      </c>
      <c r="D1384">
        <v>0.55000000000000004</v>
      </c>
      <c r="E1384">
        <v>8.9999999999999993E-3</v>
      </c>
      <c r="F1384" t="s">
        <v>8</v>
      </c>
    </row>
    <row r="1385" spans="1:6" x14ac:dyDescent="0.35">
      <c r="A1385" t="s">
        <v>2704</v>
      </c>
      <c r="B1385" t="s">
        <v>2705</v>
      </c>
      <c r="C1385">
        <v>1.6</v>
      </c>
      <c r="D1385">
        <v>0.55000000000000004</v>
      </c>
      <c r="E1385">
        <v>0.01</v>
      </c>
      <c r="F1385" t="s">
        <v>8</v>
      </c>
    </row>
    <row r="1386" spans="1:6" x14ac:dyDescent="0.35">
      <c r="A1386" t="s">
        <v>2706</v>
      </c>
      <c r="B1386" t="s">
        <v>2707</v>
      </c>
      <c r="C1386">
        <v>1.6</v>
      </c>
      <c r="D1386">
        <v>0.55000000000000004</v>
      </c>
      <c r="E1386">
        <v>8.9999999999999993E-3</v>
      </c>
      <c r="F1386" t="s">
        <v>8</v>
      </c>
    </row>
    <row r="1387" spans="1:6" x14ac:dyDescent="0.35">
      <c r="A1387" t="s">
        <v>2708</v>
      </c>
      <c r="B1387" t="s">
        <v>2709</v>
      </c>
      <c r="C1387">
        <v>1.2</v>
      </c>
      <c r="D1387">
        <v>0.60499999999999998</v>
      </c>
      <c r="E1387">
        <v>1.4999999999999999E-2</v>
      </c>
      <c r="F1387" t="s">
        <v>8</v>
      </c>
    </row>
    <row r="1388" spans="1:6" x14ac:dyDescent="0.35">
      <c r="A1388" t="s">
        <v>2710</v>
      </c>
      <c r="B1388" t="s">
        <v>2711</v>
      </c>
      <c r="C1388">
        <v>1.6</v>
      </c>
      <c r="D1388">
        <v>0.55000000000000004</v>
      </c>
      <c r="E1388">
        <v>8.9999999999999993E-3</v>
      </c>
      <c r="F1388" t="s">
        <v>8</v>
      </c>
    </row>
    <row r="1389" spans="1:6" x14ac:dyDescent="0.35">
      <c r="A1389" t="s">
        <v>2712</v>
      </c>
      <c r="B1389" t="s">
        <v>2705</v>
      </c>
      <c r="C1389">
        <v>1.6</v>
      </c>
      <c r="D1389">
        <v>0.55000000000000004</v>
      </c>
      <c r="E1389">
        <v>0.01</v>
      </c>
      <c r="F1389" t="s">
        <v>8</v>
      </c>
    </row>
    <row r="1390" spans="1:6" x14ac:dyDescent="0.35">
      <c r="A1390" t="s">
        <v>2713</v>
      </c>
      <c r="B1390" t="s">
        <v>2714</v>
      </c>
      <c r="C1390">
        <v>1.35</v>
      </c>
      <c r="D1390">
        <v>0.48</v>
      </c>
      <c r="E1390">
        <v>8.9999999999999993E-3</v>
      </c>
      <c r="F1390" t="s">
        <v>1021</v>
      </c>
    </row>
    <row r="1391" spans="1:6" x14ac:dyDescent="0.35">
      <c r="A1391" t="s">
        <v>2715</v>
      </c>
      <c r="B1391" t="s">
        <v>2716</v>
      </c>
      <c r="C1391">
        <v>1.3</v>
      </c>
      <c r="D1391">
        <v>0.25</v>
      </c>
      <c r="E1391">
        <v>0.01</v>
      </c>
      <c r="F1391" t="s">
        <v>8</v>
      </c>
    </row>
    <row r="1392" spans="1:6" x14ac:dyDescent="0.35">
      <c r="A1392" t="s">
        <v>2717</v>
      </c>
      <c r="B1392" t="s">
        <v>2718</v>
      </c>
      <c r="C1392">
        <v>1.35</v>
      </c>
      <c r="D1392">
        <v>0.49</v>
      </c>
      <c r="E1392">
        <v>0.05</v>
      </c>
      <c r="F1392" t="s">
        <v>8</v>
      </c>
    </row>
    <row r="1393" spans="1:6" x14ac:dyDescent="0.35">
      <c r="A1393" t="s">
        <v>2719</v>
      </c>
      <c r="B1393" t="s">
        <v>2720</v>
      </c>
      <c r="C1393">
        <v>1.55</v>
      </c>
      <c r="D1393">
        <v>0.48</v>
      </c>
      <c r="E1393">
        <v>8.9999999999999993E-3</v>
      </c>
      <c r="F1393" t="s">
        <v>1021</v>
      </c>
    </row>
    <row r="1394" spans="1:6" x14ac:dyDescent="0.35">
      <c r="A1394" t="s">
        <v>2721</v>
      </c>
      <c r="B1394" t="s">
        <v>2722</v>
      </c>
      <c r="C1394">
        <v>1.5</v>
      </c>
      <c r="D1394">
        <v>0.25</v>
      </c>
      <c r="E1394">
        <v>0.01</v>
      </c>
      <c r="F1394" t="s">
        <v>8</v>
      </c>
    </row>
    <row r="1395" spans="1:6" x14ac:dyDescent="0.35">
      <c r="A1395" t="s">
        <v>2723</v>
      </c>
      <c r="B1395" t="s">
        <v>2724</v>
      </c>
      <c r="C1395">
        <v>1.55</v>
      </c>
      <c r="D1395">
        <v>0.49</v>
      </c>
      <c r="E1395">
        <v>0.05</v>
      </c>
      <c r="F1395" t="s">
        <v>8</v>
      </c>
    </row>
    <row r="1396" spans="1:6" x14ac:dyDescent="0.35">
      <c r="A1396" t="s">
        <v>2725</v>
      </c>
      <c r="B1396" t="s">
        <v>2726</v>
      </c>
      <c r="C1396">
        <v>1.5</v>
      </c>
      <c r="D1396">
        <v>0.8</v>
      </c>
      <c r="E1396">
        <v>0.03</v>
      </c>
      <c r="F1396" t="s">
        <v>8</v>
      </c>
    </row>
    <row r="1397" spans="1:6" x14ac:dyDescent="0.35">
      <c r="A1397" t="s">
        <v>2727</v>
      </c>
      <c r="B1397" t="s">
        <v>2728</v>
      </c>
      <c r="C1397">
        <v>1.7</v>
      </c>
      <c r="D1397">
        <v>0.8</v>
      </c>
      <c r="E1397">
        <v>0.03</v>
      </c>
      <c r="F1397" t="s">
        <v>8</v>
      </c>
    </row>
    <row r="1398" spans="1:6" x14ac:dyDescent="0.35">
      <c r="A1398" t="s">
        <v>2729</v>
      </c>
      <c r="B1398" t="s">
        <v>2730</v>
      </c>
      <c r="C1398">
        <v>1.1399999999999999</v>
      </c>
      <c r="D1398">
        <v>0.51</v>
      </c>
      <c r="E1398">
        <v>8.9999999999999993E-3</v>
      </c>
      <c r="F1398" t="s">
        <v>1021</v>
      </c>
    </row>
    <row r="1399" spans="1:6" x14ac:dyDescent="0.35">
      <c r="A1399" t="s">
        <v>2731</v>
      </c>
      <c r="B1399" t="s">
        <v>2732</v>
      </c>
      <c r="C1399">
        <v>1.1599999999999999</v>
      </c>
      <c r="D1399">
        <v>0.52</v>
      </c>
      <c r="E1399">
        <v>0.02</v>
      </c>
      <c r="F1399" t="s">
        <v>8</v>
      </c>
    </row>
    <row r="1400" spans="1:6" x14ac:dyDescent="0.35">
      <c r="A1400" t="s">
        <v>2733</v>
      </c>
      <c r="B1400" t="s">
        <v>2734</v>
      </c>
      <c r="C1400">
        <v>1.38</v>
      </c>
      <c r="D1400">
        <v>0.17</v>
      </c>
      <c r="E1400">
        <v>0.03</v>
      </c>
      <c r="F1400" t="s">
        <v>8</v>
      </c>
    </row>
    <row r="1401" spans="1:6" x14ac:dyDescent="0.35">
      <c r="A1401" t="s">
        <v>2735</v>
      </c>
      <c r="B1401" t="s">
        <v>2736</v>
      </c>
      <c r="C1401">
        <v>0.52</v>
      </c>
      <c r="D1401">
        <v>0.18</v>
      </c>
      <c r="E1401">
        <v>0.03</v>
      </c>
      <c r="F1401" t="s">
        <v>8</v>
      </c>
    </row>
    <row r="1402" spans="1:6" x14ac:dyDescent="0.35">
      <c r="A1402" t="s">
        <v>2737</v>
      </c>
      <c r="B1402" t="s">
        <v>2738</v>
      </c>
      <c r="C1402">
        <v>1.34</v>
      </c>
      <c r="D1402">
        <v>0.51</v>
      </c>
      <c r="E1402">
        <v>8.9999999999999993E-3</v>
      </c>
      <c r="F1402" t="s">
        <v>1021</v>
      </c>
    </row>
    <row r="1403" spans="1:6" x14ac:dyDescent="0.35">
      <c r="A1403" t="s">
        <v>2739</v>
      </c>
      <c r="B1403" t="s">
        <v>2740</v>
      </c>
      <c r="C1403">
        <v>1.35</v>
      </c>
      <c r="D1403">
        <v>0.52</v>
      </c>
      <c r="E1403">
        <v>0.02</v>
      </c>
      <c r="F1403" t="s">
        <v>8</v>
      </c>
    </row>
    <row r="1404" spans="1:6" x14ac:dyDescent="0.35">
      <c r="A1404" t="s">
        <v>2741</v>
      </c>
      <c r="B1404" t="s">
        <v>2742</v>
      </c>
      <c r="C1404">
        <v>1.58</v>
      </c>
      <c r="D1404">
        <v>0.17</v>
      </c>
      <c r="E1404">
        <v>0.03</v>
      </c>
      <c r="F1404" t="s">
        <v>8</v>
      </c>
    </row>
    <row r="1405" spans="1:6" x14ac:dyDescent="0.35">
      <c r="A1405" t="s">
        <v>2743</v>
      </c>
      <c r="B1405" t="s">
        <v>2736</v>
      </c>
      <c r="C1405">
        <v>0.52</v>
      </c>
      <c r="D1405">
        <v>0.18</v>
      </c>
      <c r="E1405">
        <v>0.03</v>
      </c>
      <c r="F1405" t="s">
        <v>8</v>
      </c>
    </row>
    <row r="1406" spans="1:6" x14ac:dyDescent="0.35">
      <c r="A1406" t="s">
        <v>2744</v>
      </c>
      <c r="B1406" t="s">
        <v>2745</v>
      </c>
      <c r="C1406">
        <v>1.345</v>
      </c>
      <c r="D1406">
        <v>0.48</v>
      </c>
      <c r="E1406">
        <v>8.9999999999999993E-3</v>
      </c>
      <c r="F1406" t="s">
        <v>1021</v>
      </c>
    </row>
    <row r="1407" spans="1:6" x14ac:dyDescent="0.35">
      <c r="A1407" t="s">
        <v>2746</v>
      </c>
      <c r="B1407" t="s">
        <v>2747</v>
      </c>
      <c r="C1407">
        <v>1.5449999999999999</v>
      </c>
      <c r="D1407">
        <v>0.48</v>
      </c>
      <c r="E1407">
        <v>8.9999999999999993E-3</v>
      </c>
      <c r="F1407" t="s">
        <v>1021</v>
      </c>
    </row>
    <row r="1408" spans="1:6" x14ac:dyDescent="0.35">
      <c r="A1408" t="s">
        <v>2748</v>
      </c>
      <c r="B1408" t="s">
        <v>2749</v>
      </c>
      <c r="C1408">
        <v>1.1000000000000001</v>
      </c>
      <c r="D1408">
        <v>0.62</v>
      </c>
      <c r="E1408">
        <v>8.9999999999999993E-3</v>
      </c>
      <c r="F1408" t="s">
        <v>85</v>
      </c>
    </row>
    <row r="1409" spans="1:6" x14ac:dyDescent="0.35">
      <c r="A1409" t="s">
        <v>2750</v>
      </c>
      <c r="B1409" t="s">
        <v>2751</v>
      </c>
      <c r="C1409">
        <v>1.39</v>
      </c>
      <c r="D1409">
        <v>0.66</v>
      </c>
      <c r="E1409">
        <v>0.03</v>
      </c>
      <c r="F1409" t="s">
        <v>8</v>
      </c>
    </row>
    <row r="1410" spans="1:6" x14ac:dyDescent="0.35">
      <c r="A1410" t="s">
        <v>2752</v>
      </c>
      <c r="B1410" t="s">
        <v>2753</v>
      </c>
      <c r="C1410">
        <v>1.28</v>
      </c>
      <c r="D1410">
        <v>0.62</v>
      </c>
      <c r="E1410">
        <v>8.9999999999999993E-3</v>
      </c>
      <c r="F1410" t="s">
        <v>85</v>
      </c>
    </row>
    <row r="1411" spans="1:6" x14ac:dyDescent="0.35">
      <c r="A1411" t="s">
        <v>2754</v>
      </c>
      <c r="B1411" t="s">
        <v>2755</v>
      </c>
      <c r="C1411">
        <v>1.59</v>
      </c>
      <c r="D1411">
        <v>0.66</v>
      </c>
      <c r="E1411">
        <v>0.03</v>
      </c>
      <c r="F1411" t="s">
        <v>8</v>
      </c>
    </row>
    <row r="1412" spans="1:6" x14ac:dyDescent="0.35">
      <c r="A1412" t="s">
        <v>2756</v>
      </c>
      <c r="B1412" t="s">
        <v>2757</v>
      </c>
      <c r="C1412">
        <v>1.5</v>
      </c>
      <c r="D1412">
        <v>0.14000000000000001</v>
      </c>
      <c r="E1412">
        <v>0.01</v>
      </c>
      <c r="F1412" t="s">
        <v>8</v>
      </c>
    </row>
    <row r="1413" spans="1:6" x14ac:dyDescent="0.35">
      <c r="A1413" t="s">
        <v>2758</v>
      </c>
      <c r="B1413" t="s">
        <v>2759</v>
      </c>
      <c r="C1413">
        <v>1.1000000000000001</v>
      </c>
      <c r="D1413">
        <v>0.8</v>
      </c>
      <c r="E1413">
        <v>2.5000000000000001E-2</v>
      </c>
      <c r="F1413" t="s">
        <v>8</v>
      </c>
    </row>
    <row r="1414" spans="1:6" x14ac:dyDescent="0.35">
      <c r="A1414" t="s">
        <v>2760</v>
      </c>
      <c r="B1414" t="s">
        <v>2761</v>
      </c>
      <c r="C1414">
        <v>1.7</v>
      </c>
      <c r="D1414">
        <v>0.14000000000000001</v>
      </c>
      <c r="E1414">
        <v>0.01</v>
      </c>
      <c r="F1414" t="s">
        <v>8</v>
      </c>
    </row>
    <row r="1415" spans="1:6" x14ac:dyDescent="0.35">
      <c r="A1415" t="s">
        <v>2762</v>
      </c>
      <c r="B1415" t="s">
        <v>2763</v>
      </c>
      <c r="C1415">
        <v>1.5</v>
      </c>
      <c r="D1415">
        <v>0.8</v>
      </c>
      <c r="E1415">
        <v>2.5000000000000001E-2</v>
      </c>
      <c r="F1415" t="s">
        <v>8</v>
      </c>
    </row>
    <row r="1416" spans="1:6" x14ac:dyDescent="0.35">
      <c r="A1416" t="s">
        <v>2764</v>
      </c>
      <c r="B1416" t="s">
        <v>2765</v>
      </c>
      <c r="C1416">
        <v>1.8</v>
      </c>
      <c r="D1416">
        <v>0.14000000000000001</v>
      </c>
      <c r="E1416">
        <v>0.01</v>
      </c>
      <c r="F1416" t="s">
        <v>8</v>
      </c>
    </row>
    <row r="1417" spans="1:6" x14ac:dyDescent="0.35">
      <c r="A1417" t="s">
        <v>2766</v>
      </c>
      <c r="B1417" t="s">
        <v>2767</v>
      </c>
      <c r="C1417">
        <v>1.7</v>
      </c>
      <c r="D1417">
        <v>0.8</v>
      </c>
      <c r="E1417">
        <v>2.5000000000000001E-2</v>
      </c>
      <c r="F1417" t="s">
        <v>8</v>
      </c>
    </row>
    <row r="1418" spans="1:6" x14ac:dyDescent="0.35">
      <c r="A1418" t="s">
        <v>2768</v>
      </c>
      <c r="B1418" t="s">
        <v>2769</v>
      </c>
      <c r="C1418">
        <v>0.99</v>
      </c>
      <c r="D1418">
        <v>0.66</v>
      </c>
      <c r="E1418">
        <v>0.03</v>
      </c>
      <c r="F1418" t="s">
        <v>8</v>
      </c>
    </row>
    <row r="1419" spans="1:6" x14ac:dyDescent="0.35">
      <c r="A1419" t="s">
        <v>2770</v>
      </c>
      <c r="B1419" t="s">
        <v>2771</v>
      </c>
      <c r="C1419">
        <v>1.39</v>
      </c>
      <c r="D1419">
        <v>0.66</v>
      </c>
      <c r="E1419">
        <v>0.03</v>
      </c>
      <c r="F1419" t="s">
        <v>8</v>
      </c>
    </row>
    <row r="1420" spans="1:6" x14ac:dyDescent="0.35">
      <c r="A1420" t="s">
        <v>2772</v>
      </c>
      <c r="B1420" t="s">
        <v>2773</v>
      </c>
      <c r="C1420">
        <v>1.59</v>
      </c>
      <c r="D1420">
        <v>0.66</v>
      </c>
      <c r="E1420">
        <v>0.03</v>
      </c>
      <c r="F1420" t="s">
        <v>8</v>
      </c>
    </row>
    <row r="1421" spans="1:6" x14ac:dyDescent="0.35">
      <c r="A1421" t="s">
        <v>2774</v>
      </c>
      <c r="B1421" t="s">
        <v>2775</v>
      </c>
      <c r="C1421">
        <v>1.99</v>
      </c>
      <c r="D1421">
        <v>0.14000000000000001</v>
      </c>
      <c r="E1421">
        <v>1E-3</v>
      </c>
      <c r="F1421" t="s">
        <v>8</v>
      </c>
    </row>
    <row r="1422" spans="1:6" x14ac:dyDescent="0.35">
      <c r="A1422" t="s">
        <v>2776</v>
      </c>
      <c r="B1422" t="s">
        <v>2777</v>
      </c>
      <c r="C1422">
        <v>1.42</v>
      </c>
      <c r="D1422">
        <v>0.21</v>
      </c>
      <c r="E1422">
        <v>1E-3</v>
      </c>
      <c r="F1422" t="s">
        <v>8</v>
      </c>
    </row>
    <row r="1423" spans="1:6" x14ac:dyDescent="0.35">
      <c r="A1423" t="s">
        <v>2778</v>
      </c>
      <c r="B1423" t="s">
        <v>2779</v>
      </c>
      <c r="C1423">
        <v>0.9</v>
      </c>
      <c r="D1423">
        <v>0.1</v>
      </c>
      <c r="E1423">
        <v>1E-3</v>
      </c>
      <c r="F1423" t="s">
        <v>8</v>
      </c>
    </row>
    <row r="1424" spans="1:6" x14ac:dyDescent="0.35">
      <c r="A1424" t="s">
        <v>2780</v>
      </c>
      <c r="B1424" t="s">
        <v>2781</v>
      </c>
      <c r="C1424">
        <v>0.9</v>
      </c>
      <c r="D1424">
        <v>0.2</v>
      </c>
      <c r="E1424">
        <v>1E-3</v>
      </c>
      <c r="F1424" t="s">
        <v>8</v>
      </c>
    </row>
    <row r="1425" spans="1:6" x14ac:dyDescent="0.35">
      <c r="A1425" t="s">
        <v>2782</v>
      </c>
      <c r="B1425" t="s">
        <v>2783</v>
      </c>
      <c r="C1425">
        <v>2.09</v>
      </c>
      <c r="D1425">
        <v>0.14000000000000001</v>
      </c>
      <c r="E1425">
        <v>1E-3</v>
      </c>
      <c r="F1425" t="s">
        <v>8</v>
      </c>
    </row>
    <row r="1426" spans="1:6" x14ac:dyDescent="0.35">
      <c r="A1426" t="s">
        <v>2784</v>
      </c>
      <c r="B1426" t="s">
        <v>2785</v>
      </c>
      <c r="C1426">
        <v>1.62</v>
      </c>
      <c r="D1426">
        <v>0.21</v>
      </c>
      <c r="E1426">
        <v>1E-3</v>
      </c>
      <c r="F1426" t="s">
        <v>8</v>
      </c>
    </row>
    <row r="1427" spans="1:6" x14ac:dyDescent="0.35">
      <c r="A1427" t="s">
        <v>2786</v>
      </c>
      <c r="B1427" t="s">
        <v>2787</v>
      </c>
      <c r="C1427">
        <v>2.29</v>
      </c>
      <c r="D1427">
        <v>0.14000000000000001</v>
      </c>
      <c r="E1427">
        <v>1E-3</v>
      </c>
      <c r="F1427" t="s">
        <v>8</v>
      </c>
    </row>
    <row r="1428" spans="1:6" x14ac:dyDescent="0.35">
      <c r="A1428" t="s">
        <v>2788</v>
      </c>
      <c r="B1428" t="s">
        <v>2789</v>
      </c>
      <c r="C1428">
        <v>1.92</v>
      </c>
      <c r="D1428">
        <v>0.21</v>
      </c>
      <c r="E1428">
        <v>1E-3</v>
      </c>
      <c r="F1428" t="s">
        <v>8</v>
      </c>
    </row>
    <row r="1429" spans="1:6" x14ac:dyDescent="0.35">
      <c r="A1429" t="s">
        <v>2790</v>
      </c>
      <c r="B1429" t="s">
        <v>2495</v>
      </c>
      <c r="C1429">
        <v>1.5</v>
      </c>
      <c r="D1429">
        <v>0.8</v>
      </c>
      <c r="E1429">
        <v>3.5000000000000003E-2</v>
      </c>
      <c r="F1429" t="s">
        <v>8</v>
      </c>
    </row>
    <row r="1430" spans="1:6" x14ac:dyDescent="0.35">
      <c r="A1430" t="s">
        <v>2791</v>
      </c>
      <c r="B1430" t="s">
        <v>2792</v>
      </c>
      <c r="C1430">
        <v>0</v>
      </c>
      <c r="D1430">
        <v>0</v>
      </c>
      <c r="E1430">
        <v>0</v>
      </c>
      <c r="F1430" t="s">
        <v>8</v>
      </c>
    </row>
    <row r="1431" spans="1:6" x14ac:dyDescent="0.35">
      <c r="A1431" t="s">
        <v>2793</v>
      </c>
      <c r="B1431" t="s">
        <v>2794</v>
      </c>
      <c r="C1431">
        <v>0</v>
      </c>
      <c r="D1431">
        <v>0</v>
      </c>
      <c r="E1431">
        <v>0</v>
      </c>
      <c r="F1431" t="s">
        <v>8</v>
      </c>
    </row>
    <row r="1432" spans="1:6" x14ac:dyDescent="0.35">
      <c r="A1432" t="s">
        <v>2795</v>
      </c>
      <c r="B1432" t="s">
        <v>2796</v>
      </c>
      <c r="C1432">
        <v>1.1000000000000001</v>
      </c>
      <c r="D1432">
        <v>0.19</v>
      </c>
      <c r="E1432">
        <v>8.9999999999999993E-3</v>
      </c>
      <c r="F1432" t="s">
        <v>85</v>
      </c>
    </row>
    <row r="1433" spans="1:6" x14ac:dyDescent="0.35">
      <c r="A1433" t="s">
        <v>2797</v>
      </c>
      <c r="B1433" t="s">
        <v>2798</v>
      </c>
      <c r="C1433">
        <v>1.1000000000000001</v>
      </c>
      <c r="D1433">
        <v>0.04</v>
      </c>
      <c r="E1433">
        <v>1.7999999999999999E-2</v>
      </c>
      <c r="F1433" t="s">
        <v>85</v>
      </c>
    </row>
    <row r="1434" spans="1:6" x14ac:dyDescent="0.35">
      <c r="A1434" t="s">
        <v>2799</v>
      </c>
      <c r="B1434" t="s">
        <v>2800</v>
      </c>
      <c r="C1434">
        <v>0.06</v>
      </c>
      <c r="D1434">
        <v>0.04</v>
      </c>
      <c r="E1434">
        <v>1.2E-2</v>
      </c>
      <c r="F1434" t="s">
        <v>85</v>
      </c>
    </row>
    <row r="1435" spans="1:6" x14ac:dyDescent="0.35">
      <c r="A1435" t="s">
        <v>2801</v>
      </c>
      <c r="B1435" t="s">
        <v>2802</v>
      </c>
      <c r="C1435">
        <v>1.47</v>
      </c>
      <c r="D1435">
        <v>0.74</v>
      </c>
      <c r="E1435">
        <v>0.03</v>
      </c>
      <c r="F1435" t="s">
        <v>8</v>
      </c>
    </row>
    <row r="1436" spans="1:6" x14ac:dyDescent="0.35">
      <c r="A1436" t="s">
        <v>2803</v>
      </c>
      <c r="B1436" t="s">
        <v>2804</v>
      </c>
      <c r="C1436">
        <v>1.1000000000000001</v>
      </c>
      <c r="D1436">
        <v>0.16</v>
      </c>
      <c r="E1436">
        <v>0.01</v>
      </c>
      <c r="F1436" t="s">
        <v>8</v>
      </c>
    </row>
    <row r="1437" spans="1:6" x14ac:dyDescent="0.35">
      <c r="A1437" t="s">
        <v>2805</v>
      </c>
      <c r="B1437" t="s">
        <v>2806</v>
      </c>
      <c r="C1437">
        <v>1.31</v>
      </c>
      <c r="D1437">
        <v>0.06</v>
      </c>
      <c r="E1437">
        <v>0.01</v>
      </c>
      <c r="F1437" t="s">
        <v>8</v>
      </c>
    </row>
    <row r="1438" spans="1:6" x14ac:dyDescent="0.35">
      <c r="A1438" t="s">
        <v>2807</v>
      </c>
      <c r="B1438" t="s">
        <v>2808</v>
      </c>
      <c r="C1438">
        <v>1.67</v>
      </c>
      <c r="D1438">
        <v>0.74</v>
      </c>
      <c r="E1438">
        <v>0.03</v>
      </c>
      <c r="F1438" t="s">
        <v>8</v>
      </c>
    </row>
    <row r="1439" spans="1:6" x14ac:dyDescent="0.35">
      <c r="A1439" t="s">
        <v>2809</v>
      </c>
      <c r="B1439" t="s">
        <v>2796</v>
      </c>
      <c r="C1439">
        <v>1.1000000000000001</v>
      </c>
      <c r="D1439">
        <v>0.19</v>
      </c>
      <c r="E1439">
        <v>8.9999999999999993E-3</v>
      </c>
      <c r="F1439" t="s">
        <v>85</v>
      </c>
    </row>
    <row r="1440" spans="1:6" x14ac:dyDescent="0.35">
      <c r="A1440" t="s">
        <v>2810</v>
      </c>
      <c r="B1440" t="s">
        <v>2798</v>
      </c>
      <c r="C1440">
        <v>1.1000000000000001</v>
      </c>
      <c r="D1440">
        <v>0.04</v>
      </c>
      <c r="E1440">
        <v>1.7999999999999999E-2</v>
      </c>
      <c r="F1440" t="s">
        <v>85</v>
      </c>
    </row>
    <row r="1441" spans="1:6" x14ac:dyDescent="0.35">
      <c r="A1441" t="s">
        <v>2811</v>
      </c>
      <c r="B1441" t="s">
        <v>2812</v>
      </c>
      <c r="C1441">
        <v>2.0099999999999998</v>
      </c>
      <c r="D1441">
        <v>0.74</v>
      </c>
      <c r="E1441">
        <v>0.03</v>
      </c>
      <c r="F1441" t="s">
        <v>8</v>
      </c>
    </row>
    <row r="1442" spans="1:6" x14ac:dyDescent="0.35">
      <c r="A1442" t="s">
        <v>2813</v>
      </c>
      <c r="B1442" t="s">
        <v>2804</v>
      </c>
      <c r="C1442">
        <v>1.1000000000000001</v>
      </c>
      <c r="D1442">
        <v>0.16</v>
      </c>
      <c r="E1442">
        <v>0.01</v>
      </c>
      <c r="F1442" t="s">
        <v>8</v>
      </c>
    </row>
    <row r="1443" spans="1:6" x14ac:dyDescent="0.35">
      <c r="A1443" t="s">
        <v>2814</v>
      </c>
      <c r="B1443" t="s">
        <v>2806</v>
      </c>
      <c r="C1443">
        <v>1.31</v>
      </c>
      <c r="D1443">
        <v>0.06</v>
      </c>
      <c r="E1443">
        <v>0.01</v>
      </c>
      <c r="F1443" t="s">
        <v>8</v>
      </c>
    </row>
    <row r="1444" spans="1:6" x14ac:dyDescent="0.35">
      <c r="A1444" t="s">
        <v>2815</v>
      </c>
      <c r="B1444" t="s">
        <v>2816</v>
      </c>
      <c r="C1444">
        <v>1.48</v>
      </c>
      <c r="D1444">
        <v>0.8</v>
      </c>
      <c r="E1444">
        <v>0.03</v>
      </c>
      <c r="F1444" t="s">
        <v>8</v>
      </c>
    </row>
    <row r="1445" spans="1:6" x14ac:dyDescent="0.35">
      <c r="A1445" t="s">
        <v>2817</v>
      </c>
      <c r="B1445" t="s">
        <v>2818</v>
      </c>
      <c r="C1445">
        <v>1.48</v>
      </c>
      <c r="D1445">
        <v>0.2</v>
      </c>
      <c r="E1445">
        <v>0.01</v>
      </c>
      <c r="F1445" t="s">
        <v>8</v>
      </c>
    </row>
    <row r="1446" spans="1:6" x14ac:dyDescent="0.35">
      <c r="A1446" t="s">
        <v>2819</v>
      </c>
      <c r="B1446" t="s">
        <v>2820</v>
      </c>
      <c r="C1446">
        <v>1.92</v>
      </c>
      <c r="D1446">
        <v>0.15</v>
      </c>
      <c r="E1446">
        <v>0.02</v>
      </c>
      <c r="F1446" t="s">
        <v>8</v>
      </c>
    </row>
    <row r="1447" spans="1:6" x14ac:dyDescent="0.35">
      <c r="A1447" t="s">
        <v>2821</v>
      </c>
      <c r="B1447" t="s">
        <v>2822</v>
      </c>
      <c r="C1447">
        <v>1.68</v>
      </c>
      <c r="D1447">
        <v>0.8</v>
      </c>
      <c r="E1447">
        <v>0.03</v>
      </c>
      <c r="F1447" t="s">
        <v>8</v>
      </c>
    </row>
    <row r="1448" spans="1:6" x14ac:dyDescent="0.35">
      <c r="A1448" t="s">
        <v>2823</v>
      </c>
      <c r="B1448" t="s">
        <v>2824</v>
      </c>
      <c r="C1448">
        <v>1.68</v>
      </c>
      <c r="D1448">
        <v>0.2</v>
      </c>
      <c r="E1448">
        <v>0.01</v>
      </c>
      <c r="F1448" t="s">
        <v>8</v>
      </c>
    </row>
    <row r="1449" spans="1:6" x14ac:dyDescent="0.35">
      <c r="A1449" t="s">
        <v>2825</v>
      </c>
      <c r="B1449" t="s">
        <v>2826</v>
      </c>
      <c r="C1449">
        <v>2.02</v>
      </c>
      <c r="D1449">
        <v>0.15</v>
      </c>
      <c r="E1449">
        <v>0.02</v>
      </c>
      <c r="F1449" t="s">
        <v>8</v>
      </c>
    </row>
    <row r="1450" spans="1:6" x14ac:dyDescent="0.35">
      <c r="A1450" t="s">
        <v>2827</v>
      </c>
      <c r="B1450" t="s">
        <v>2828</v>
      </c>
      <c r="C1450">
        <v>0.49</v>
      </c>
      <c r="D1450">
        <v>7.0000000000000007E-2</v>
      </c>
      <c r="E1450">
        <v>0.03</v>
      </c>
      <c r="F1450" t="s">
        <v>8</v>
      </c>
    </row>
    <row r="1451" spans="1:6" x14ac:dyDescent="0.35">
      <c r="A1451" t="s">
        <v>2829</v>
      </c>
      <c r="B1451" t="s">
        <v>2830</v>
      </c>
      <c r="C1451">
        <v>0.99</v>
      </c>
      <c r="D1451">
        <v>0.6</v>
      </c>
      <c r="E1451">
        <v>0.03</v>
      </c>
      <c r="F1451" t="s">
        <v>8</v>
      </c>
    </row>
    <row r="1452" spans="1:6" x14ac:dyDescent="0.35">
      <c r="A1452" t="s">
        <v>2831</v>
      </c>
      <c r="B1452" t="s">
        <v>2832</v>
      </c>
      <c r="C1452">
        <v>0.89</v>
      </c>
      <c r="D1452">
        <v>0.6</v>
      </c>
      <c r="E1452">
        <v>0.03</v>
      </c>
      <c r="F1452" t="s">
        <v>8</v>
      </c>
    </row>
    <row r="1453" spans="1:6" x14ac:dyDescent="0.35">
      <c r="A1453" t="s">
        <v>2833</v>
      </c>
      <c r="B1453" t="s">
        <v>2834</v>
      </c>
      <c r="C1453">
        <v>1.4</v>
      </c>
      <c r="D1453">
        <v>0.14000000000000001</v>
      </c>
      <c r="E1453">
        <v>0.01</v>
      </c>
      <c r="F1453" t="s">
        <v>8</v>
      </c>
    </row>
    <row r="1454" spans="1:6" x14ac:dyDescent="0.35">
      <c r="A1454" t="s">
        <v>2835</v>
      </c>
      <c r="B1454" t="s">
        <v>2836</v>
      </c>
      <c r="C1454">
        <v>1.39</v>
      </c>
      <c r="D1454">
        <v>0.59</v>
      </c>
      <c r="E1454">
        <v>0.03</v>
      </c>
      <c r="F1454" t="s">
        <v>8</v>
      </c>
    </row>
    <row r="1455" spans="1:6" x14ac:dyDescent="0.35">
      <c r="A1455" t="s">
        <v>2837</v>
      </c>
      <c r="B1455" t="s">
        <v>2838</v>
      </c>
      <c r="C1455">
        <v>0.5</v>
      </c>
      <c r="D1455">
        <v>7.0000000000000007E-2</v>
      </c>
      <c r="E1455">
        <v>0.03</v>
      </c>
      <c r="F1455" t="s">
        <v>8</v>
      </c>
    </row>
    <row r="1456" spans="1:6" x14ac:dyDescent="0.35">
      <c r="A1456" t="s">
        <v>2839</v>
      </c>
      <c r="B1456" t="s">
        <v>2840</v>
      </c>
      <c r="C1456">
        <v>1.9</v>
      </c>
      <c r="D1456">
        <v>0.14000000000000001</v>
      </c>
      <c r="E1456">
        <v>0.01</v>
      </c>
      <c r="F1456" t="s">
        <v>8</v>
      </c>
    </row>
    <row r="1457" spans="1:6" x14ac:dyDescent="0.35">
      <c r="A1457" t="s">
        <v>2841</v>
      </c>
      <c r="B1457" t="s">
        <v>2842</v>
      </c>
      <c r="C1457">
        <v>1.59</v>
      </c>
      <c r="D1457">
        <v>0.59</v>
      </c>
      <c r="E1457">
        <v>0.03</v>
      </c>
      <c r="F1457" t="s">
        <v>8</v>
      </c>
    </row>
    <row r="1458" spans="1:6" x14ac:dyDescent="0.35">
      <c r="A1458" t="s">
        <v>2843</v>
      </c>
      <c r="B1458" t="s">
        <v>2844</v>
      </c>
      <c r="C1458">
        <v>0.99</v>
      </c>
      <c r="D1458">
        <v>0.59</v>
      </c>
      <c r="E1458">
        <v>2.5000000000000001E-2</v>
      </c>
      <c r="F1458" t="s">
        <v>8</v>
      </c>
    </row>
    <row r="1459" spans="1:6" x14ac:dyDescent="0.35">
      <c r="A1459" t="s">
        <v>2845</v>
      </c>
      <c r="B1459" t="s">
        <v>2846</v>
      </c>
      <c r="C1459">
        <v>0.5</v>
      </c>
      <c r="D1459">
        <v>7.0000000000000007E-2</v>
      </c>
      <c r="E1459">
        <v>2.5000000000000001E-2</v>
      </c>
      <c r="F1459" t="s">
        <v>8</v>
      </c>
    </row>
    <row r="1460" spans="1:6" x14ac:dyDescent="0.35">
      <c r="A1460" t="s">
        <v>2847</v>
      </c>
      <c r="B1460" t="s">
        <v>2848</v>
      </c>
      <c r="C1460">
        <v>1.39</v>
      </c>
      <c r="D1460">
        <v>0.59</v>
      </c>
      <c r="E1460">
        <v>2.5000000000000001E-2</v>
      </c>
      <c r="F1460" t="s">
        <v>8</v>
      </c>
    </row>
    <row r="1461" spans="1:6" x14ac:dyDescent="0.35">
      <c r="A1461" t="s">
        <v>2849</v>
      </c>
      <c r="B1461" t="s">
        <v>2850</v>
      </c>
      <c r="C1461">
        <v>1.59</v>
      </c>
      <c r="D1461">
        <v>0.59</v>
      </c>
      <c r="E1461">
        <v>2.5000000000000001E-2</v>
      </c>
      <c r="F1461" t="s">
        <v>8</v>
      </c>
    </row>
    <row r="1462" spans="1:6" x14ac:dyDescent="0.35">
      <c r="A1462" t="s">
        <v>2851</v>
      </c>
      <c r="B1462" t="s">
        <v>2852</v>
      </c>
      <c r="C1462">
        <v>0.43</v>
      </c>
      <c r="D1462">
        <v>7.0000000000000007E-2</v>
      </c>
      <c r="E1462">
        <v>0.03</v>
      </c>
      <c r="F1462" t="s">
        <v>8</v>
      </c>
    </row>
    <row r="1463" spans="1:6" x14ac:dyDescent="0.35">
      <c r="A1463" t="s">
        <v>2853</v>
      </c>
      <c r="B1463" t="s">
        <v>2854</v>
      </c>
      <c r="C1463">
        <v>1.94</v>
      </c>
      <c r="D1463">
        <v>0.66</v>
      </c>
      <c r="E1463">
        <v>0.03</v>
      </c>
      <c r="F1463" t="s">
        <v>8</v>
      </c>
    </row>
    <row r="1464" spans="1:6" x14ac:dyDescent="0.35">
      <c r="A1464" t="s">
        <v>2855</v>
      </c>
      <c r="B1464" t="s">
        <v>2856</v>
      </c>
      <c r="C1464">
        <v>1.94</v>
      </c>
      <c r="D1464">
        <v>0.59</v>
      </c>
      <c r="E1464">
        <v>0.03</v>
      </c>
      <c r="F1464" t="s">
        <v>8</v>
      </c>
    </row>
    <row r="1465" spans="1:6" x14ac:dyDescent="0.35">
      <c r="A1465" t="s">
        <v>2857</v>
      </c>
      <c r="B1465" t="s">
        <v>2858</v>
      </c>
      <c r="C1465">
        <v>0.4</v>
      </c>
      <c r="D1465">
        <v>0.13</v>
      </c>
      <c r="E1465">
        <v>2.5000000000000001E-2</v>
      </c>
      <c r="F1465" t="s">
        <v>8</v>
      </c>
    </row>
    <row r="1466" spans="1:6" x14ac:dyDescent="0.35">
      <c r="A1466" t="s">
        <v>2859</v>
      </c>
      <c r="B1466" t="s">
        <v>2860</v>
      </c>
      <c r="C1466">
        <v>0.99</v>
      </c>
      <c r="D1466">
        <v>0.15</v>
      </c>
      <c r="E1466">
        <v>2.5000000000000001E-2</v>
      </c>
      <c r="F1466" t="s">
        <v>8</v>
      </c>
    </row>
    <row r="1467" spans="1:6" x14ac:dyDescent="0.35">
      <c r="A1467" t="s">
        <v>2861</v>
      </c>
      <c r="B1467" t="s">
        <v>2862</v>
      </c>
      <c r="C1467">
        <v>0.75</v>
      </c>
      <c r="D1467">
        <v>0.4</v>
      </c>
      <c r="E1467">
        <v>2.5000000000000001E-2</v>
      </c>
      <c r="F1467" t="s">
        <v>8</v>
      </c>
    </row>
    <row r="1468" spans="1:6" x14ac:dyDescent="0.35">
      <c r="A1468" t="s">
        <v>2863</v>
      </c>
      <c r="B1468" t="s">
        <v>2864</v>
      </c>
      <c r="C1468">
        <v>0.4</v>
      </c>
      <c r="D1468">
        <v>7.0000000000000007E-2</v>
      </c>
      <c r="E1468">
        <v>2.5000000000000001E-2</v>
      </c>
      <c r="F1468" t="s">
        <v>8</v>
      </c>
    </row>
    <row r="1469" spans="1:6" x14ac:dyDescent="0.35">
      <c r="A1469" t="s">
        <v>2865</v>
      </c>
      <c r="B1469" t="s">
        <v>2866</v>
      </c>
      <c r="C1469">
        <v>1.39</v>
      </c>
      <c r="D1469">
        <v>0.15</v>
      </c>
      <c r="E1469">
        <v>2.5000000000000001E-2</v>
      </c>
      <c r="F1469" t="s">
        <v>8</v>
      </c>
    </row>
    <row r="1470" spans="1:6" x14ac:dyDescent="0.35">
      <c r="A1470" t="s">
        <v>2867</v>
      </c>
      <c r="B1470" t="s">
        <v>2868</v>
      </c>
      <c r="C1470">
        <v>1.1499999999999999</v>
      </c>
      <c r="D1470">
        <v>0.4</v>
      </c>
      <c r="E1470">
        <v>2.5000000000000001E-2</v>
      </c>
      <c r="F1470" t="s">
        <v>8</v>
      </c>
    </row>
    <row r="1471" spans="1:6" x14ac:dyDescent="0.35">
      <c r="A1471" t="s">
        <v>2869</v>
      </c>
      <c r="B1471" t="s">
        <v>2870</v>
      </c>
      <c r="C1471">
        <v>1.59</v>
      </c>
      <c r="D1471">
        <v>0.15</v>
      </c>
      <c r="E1471">
        <v>2.5000000000000001E-2</v>
      </c>
      <c r="F1471" t="s">
        <v>8</v>
      </c>
    </row>
    <row r="1472" spans="1:6" x14ac:dyDescent="0.35">
      <c r="A1472" t="s">
        <v>2871</v>
      </c>
      <c r="B1472" t="s">
        <v>2872</v>
      </c>
      <c r="C1472">
        <v>1.35</v>
      </c>
      <c r="D1472">
        <v>0.4</v>
      </c>
      <c r="E1472">
        <v>2.5000000000000001E-2</v>
      </c>
      <c r="F1472" t="s">
        <v>8</v>
      </c>
    </row>
    <row r="1473" spans="1:6" x14ac:dyDescent="0.35">
      <c r="A1473" t="s">
        <v>2873</v>
      </c>
      <c r="B1473" t="s">
        <v>2874</v>
      </c>
      <c r="C1473">
        <v>0.92</v>
      </c>
      <c r="D1473">
        <v>0.25</v>
      </c>
      <c r="E1473">
        <v>0.01</v>
      </c>
      <c r="F1473" t="s">
        <v>8</v>
      </c>
    </row>
    <row r="1474" spans="1:6" x14ac:dyDescent="0.35">
      <c r="A1474" t="s">
        <v>2875</v>
      </c>
      <c r="B1474" t="s">
        <v>2876</v>
      </c>
      <c r="C1474">
        <v>0.96</v>
      </c>
      <c r="D1474">
        <v>0.49</v>
      </c>
      <c r="E1474">
        <v>0.03</v>
      </c>
      <c r="F1474" t="s">
        <v>8</v>
      </c>
    </row>
    <row r="1475" spans="1:6" x14ac:dyDescent="0.35">
      <c r="A1475" t="s">
        <v>2877</v>
      </c>
      <c r="B1475" t="s">
        <v>2878</v>
      </c>
      <c r="C1475">
        <v>1.37</v>
      </c>
      <c r="D1475">
        <v>0.5</v>
      </c>
      <c r="E1475">
        <v>0.03</v>
      </c>
      <c r="F1475" t="s">
        <v>8</v>
      </c>
    </row>
    <row r="1476" spans="1:6" x14ac:dyDescent="0.35">
      <c r="A1476" t="s">
        <v>2879</v>
      </c>
      <c r="B1476" t="s">
        <v>2880</v>
      </c>
      <c r="C1476">
        <v>1.57</v>
      </c>
      <c r="D1476">
        <v>0.5</v>
      </c>
      <c r="E1476">
        <v>0.03</v>
      </c>
      <c r="F1476" t="s">
        <v>8</v>
      </c>
    </row>
    <row r="1477" spans="1:6" x14ac:dyDescent="0.35">
      <c r="A1477" t="s">
        <v>2881</v>
      </c>
      <c r="B1477" t="s">
        <v>2882</v>
      </c>
      <c r="C1477">
        <v>1.87</v>
      </c>
      <c r="D1477">
        <v>0.25</v>
      </c>
      <c r="E1477">
        <v>0.01</v>
      </c>
      <c r="F1477" t="s">
        <v>8</v>
      </c>
    </row>
    <row r="1478" spans="1:6" x14ac:dyDescent="0.35">
      <c r="A1478" t="s">
        <v>2883</v>
      </c>
      <c r="B1478" t="s">
        <v>2884</v>
      </c>
      <c r="C1478">
        <v>1.92</v>
      </c>
      <c r="D1478">
        <v>0.5</v>
      </c>
      <c r="E1478">
        <v>0.03</v>
      </c>
      <c r="F1478" t="s">
        <v>8</v>
      </c>
    </row>
    <row r="1479" spans="1:6" x14ac:dyDescent="0.35">
      <c r="A1479" t="s">
        <v>2885</v>
      </c>
      <c r="B1479" t="s">
        <v>2886</v>
      </c>
      <c r="C1479">
        <v>2.0499999999999998</v>
      </c>
      <c r="D1479">
        <v>0.14000000000000001</v>
      </c>
      <c r="E1479">
        <v>0.01</v>
      </c>
      <c r="F1479" t="s">
        <v>8</v>
      </c>
    </row>
    <row r="1480" spans="1:6" x14ac:dyDescent="0.35">
      <c r="A1480" t="s">
        <v>2887</v>
      </c>
      <c r="B1480" t="s">
        <v>2888</v>
      </c>
      <c r="C1480">
        <v>0.96</v>
      </c>
      <c r="D1480">
        <v>0.48</v>
      </c>
      <c r="E1480">
        <v>8.9999999999999993E-3</v>
      </c>
      <c r="F1480" t="s">
        <v>1021</v>
      </c>
    </row>
    <row r="1481" spans="1:6" x14ac:dyDescent="0.35">
      <c r="A1481" t="s">
        <v>2889</v>
      </c>
      <c r="B1481" t="s">
        <v>2890</v>
      </c>
      <c r="C1481">
        <v>1.01</v>
      </c>
      <c r="D1481">
        <v>0.55000000000000004</v>
      </c>
      <c r="E1481">
        <v>0.03</v>
      </c>
      <c r="F1481" t="s">
        <v>8</v>
      </c>
    </row>
    <row r="1482" spans="1:6" x14ac:dyDescent="0.35">
      <c r="A1482" t="s">
        <v>2891</v>
      </c>
      <c r="B1482" t="s">
        <v>2892</v>
      </c>
      <c r="C1482">
        <v>1.4</v>
      </c>
      <c r="D1482">
        <v>0.52</v>
      </c>
      <c r="E1482">
        <v>0.03</v>
      </c>
      <c r="F1482" t="s">
        <v>8</v>
      </c>
    </row>
    <row r="1483" spans="1:6" x14ac:dyDescent="0.35">
      <c r="A1483" t="s">
        <v>2893</v>
      </c>
      <c r="B1483" t="s">
        <v>2894</v>
      </c>
      <c r="C1483">
        <v>1.41</v>
      </c>
      <c r="D1483">
        <v>0.55000000000000004</v>
      </c>
      <c r="E1483">
        <v>0.03</v>
      </c>
      <c r="F1483" t="s">
        <v>8</v>
      </c>
    </row>
    <row r="1484" spans="1:6" x14ac:dyDescent="0.35">
      <c r="A1484" t="s">
        <v>2895</v>
      </c>
      <c r="B1484" t="s">
        <v>2896</v>
      </c>
      <c r="C1484">
        <v>1.62</v>
      </c>
      <c r="D1484">
        <v>0.52</v>
      </c>
      <c r="E1484">
        <v>0.03</v>
      </c>
      <c r="F1484" t="s">
        <v>8</v>
      </c>
    </row>
    <row r="1485" spans="1:6" x14ac:dyDescent="0.35">
      <c r="A1485" t="s">
        <v>2897</v>
      </c>
      <c r="B1485" t="s">
        <v>2898</v>
      </c>
      <c r="C1485">
        <v>1.61</v>
      </c>
      <c r="D1485">
        <v>0.55000000000000004</v>
      </c>
      <c r="E1485">
        <v>0.03</v>
      </c>
      <c r="F1485" t="s">
        <v>8</v>
      </c>
    </row>
    <row r="1486" spans="1:6" x14ac:dyDescent="0.35">
      <c r="A1486" t="s">
        <v>2899</v>
      </c>
      <c r="B1486" t="s">
        <v>2900</v>
      </c>
      <c r="C1486">
        <v>1.95</v>
      </c>
      <c r="D1486">
        <v>0.52</v>
      </c>
      <c r="E1486">
        <v>0.03</v>
      </c>
      <c r="F1486" t="s">
        <v>8</v>
      </c>
    </row>
    <row r="1487" spans="1:6" x14ac:dyDescent="0.35">
      <c r="A1487" t="s">
        <v>2901</v>
      </c>
      <c r="B1487" t="s">
        <v>2902</v>
      </c>
      <c r="C1487">
        <v>1.45</v>
      </c>
      <c r="D1487">
        <v>0.52</v>
      </c>
      <c r="E1487">
        <v>0.02</v>
      </c>
      <c r="F1487" t="s">
        <v>8</v>
      </c>
    </row>
    <row r="1488" spans="1:6" x14ac:dyDescent="0.35">
      <c r="A1488" t="s">
        <v>2903</v>
      </c>
      <c r="B1488" t="s">
        <v>2904</v>
      </c>
      <c r="C1488">
        <v>1.34</v>
      </c>
      <c r="D1488">
        <v>0.45</v>
      </c>
      <c r="E1488">
        <v>0.02</v>
      </c>
      <c r="F1488" t="s">
        <v>8</v>
      </c>
    </row>
    <row r="1489" spans="1:6" x14ac:dyDescent="0.35">
      <c r="A1489" t="s">
        <v>2905</v>
      </c>
      <c r="B1489" t="s">
        <v>2906</v>
      </c>
      <c r="C1489">
        <v>0.45</v>
      </c>
      <c r="D1489">
        <v>0.06</v>
      </c>
      <c r="E1489">
        <v>0.01</v>
      </c>
      <c r="F1489" t="s">
        <v>8</v>
      </c>
    </row>
    <row r="1490" spans="1:6" x14ac:dyDescent="0.35">
      <c r="A1490" t="s">
        <v>2907</v>
      </c>
      <c r="B1490" t="s">
        <v>2908</v>
      </c>
      <c r="C1490">
        <v>1.4</v>
      </c>
      <c r="D1490">
        <v>0.06</v>
      </c>
      <c r="E1490">
        <v>0.01</v>
      </c>
      <c r="F1490" t="s">
        <v>8</v>
      </c>
    </row>
    <row r="1491" spans="1:6" x14ac:dyDescent="0.35">
      <c r="A1491" t="s">
        <v>2909</v>
      </c>
      <c r="B1491" t="s">
        <v>2910</v>
      </c>
      <c r="C1491">
        <v>1.65</v>
      </c>
      <c r="D1491">
        <v>0.52</v>
      </c>
      <c r="E1491">
        <v>0.02</v>
      </c>
      <c r="F1491" t="s">
        <v>8</v>
      </c>
    </row>
    <row r="1492" spans="1:6" x14ac:dyDescent="0.35">
      <c r="A1492" t="s">
        <v>2911</v>
      </c>
      <c r="B1492" t="s">
        <v>2912</v>
      </c>
      <c r="C1492">
        <v>1.54</v>
      </c>
      <c r="D1492">
        <v>0.45</v>
      </c>
      <c r="E1492">
        <v>0.02</v>
      </c>
      <c r="F1492" t="s">
        <v>8</v>
      </c>
    </row>
    <row r="1493" spans="1:6" x14ac:dyDescent="0.35">
      <c r="A1493" t="s">
        <v>2913</v>
      </c>
      <c r="B1493" t="s">
        <v>2914</v>
      </c>
      <c r="C1493">
        <v>1.6</v>
      </c>
      <c r="D1493">
        <v>0.06</v>
      </c>
      <c r="E1493">
        <v>0.01</v>
      </c>
      <c r="F1493" t="s">
        <v>8</v>
      </c>
    </row>
    <row r="1494" spans="1:6" x14ac:dyDescent="0.35">
      <c r="A1494" t="s">
        <v>2915</v>
      </c>
      <c r="B1494" t="s">
        <v>2916</v>
      </c>
      <c r="C1494">
        <v>1.1000000000000001</v>
      </c>
      <c r="D1494">
        <v>0.105</v>
      </c>
      <c r="E1494">
        <v>8.9999999999999993E-3</v>
      </c>
      <c r="F1494" t="s">
        <v>1021</v>
      </c>
    </row>
    <row r="1495" spans="1:6" x14ac:dyDescent="0.35">
      <c r="A1495" t="s">
        <v>2917</v>
      </c>
      <c r="B1495" t="s">
        <v>2918</v>
      </c>
      <c r="C1495">
        <v>0</v>
      </c>
      <c r="D1495">
        <v>0</v>
      </c>
      <c r="E1495">
        <v>0</v>
      </c>
      <c r="F1495" t="s">
        <v>8</v>
      </c>
    </row>
    <row r="1496" spans="1:6" x14ac:dyDescent="0.35">
      <c r="A1496" t="s">
        <v>2919</v>
      </c>
      <c r="B1496" t="s">
        <v>2920</v>
      </c>
      <c r="C1496">
        <v>0.09</v>
      </c>
      <c r="D1496">
        <v>0.25</v>
      </c>
      <c r="E1496">
        <v>1.2E-2</v>
      </c>
      <c r="F1496" t="s">
        <v>8</v>
      </c>
    </row>
    <row r="1497" spans="1:6" x14ac:dyDescent="0.35">
      <c r="A1497" t="s">
        <v>2921</v>
      </c>
      <c r="B1497" t="s">
        <v>2922</v>
      </c>
      <c r="C1497">
        <v>1.3</v>
      </c>
      <c r="D1497">
        <v>0.25</v>
      </c>
      <c r="E1497">
        <v>1.2E-2</v>
      </c>
      <c r="F1497" t="s">
        <v>8</v>
      </c>
    </row>
    <row r="1498" spans="1:6" x14ac:dyDescent="0.35">
      <c r="A1498" t="s">
        <v>2923</v>
      </c>
      <c r="B1498" t="s">
        <v>2924</v>
      </c>
      <c r="C1498">
        <v>0.09</v>
      </c>
      <c r="D1498">
        <v>0.23799999999999999</v>
      </c>
      <c r="E1498">
        <v>1.2E-2</v>
      </c>
      <c r="F1498" t="s">
        <v>8</v>
      </c>
    </row>
    <row r="1499" spans="1:6" x14ac:dyDescent="0.35">
      <c r="A1499" t="s">
        <v>2925</v>
      </c>
      <c r="B1499" t="s">
        <v>2926</v>
      </c>
      <c r="C1499">
        <v>1.276</v>
      </c>
      <c r="D1499">
        <v>0.09</v>
      </c>
      <c r="E1499">
        <v>1.2E-2</v>
      </c>
      <c r="F1499" t="s">
        <v>8</v>
      </c>
    </row>
    <row r="1500" spans="1:6" x14ac:dyDescent="0.35">
      <c r="A1500" t="s">
        <v>2927</v>
      </c>
      <c r="B1500" t="s">
        <v>2928</v>
      </c>
      <c r="C1500">
        <v>0</v>
      </c>
      <c r="D1500">
        <v>0</v>
      </c>
      <c r="E1500">
        <v>0</v>
      </c>
      <c r="F1500" t="s">
        <v>8</v>
      </c>
    </row>
    <row r="1501" spans="1:6" x14ac:dyDescent="0.35">
      <c r="A1501" t="s">
        <v>2929</v>
      </c>
      <c r="B1501" t="s">
        <v>2930</v>
      </c>
      <c r="C1501">
        <v>1.5</v>
      </c>
      <c r="D1501">
        <v>0.25</v>
      </c>
      <c r="E1501">
        <v>1.2E-2</v>
      </c>
      <c r="F1501" t="s">
        <v>8</v>
      </c>
    </row>
    <row r="1502" spans="1:6" x14ac:dyDescent="0.35">
      <c r="A1502" t="s">
        <v>2931</v>
      </c>
      <c r="B1502" t="s">
        <v>2932</v>
      </c>
      <c r="C1502">
        <v>1.476</v>
      </c>
      <c r="D1502">
        <v>0.09</v>
      </c>
      <c r="E1502">
        <v>1.2E-2</v>
      </c>
      <c r="F1502" t="s">
        <v>8</v>
      </c>
    </row>
    <row r="1503" spans="1:6" x14ac:dyDescent="0.35">
      <c r="A1503" t="s">
        <v>2933</v>
      </c>
      <c r="B1503" t="s">
        <v>2934</v>
      </c>
      <c r="C1503">
        <v>0.85</v>
      </c>
      <c r="D1503">
        <v>0.1</v>
      </c>
      <c r="E1503">
        <v>8.9999999999999993E-3</v>
      </c>
      <c r="F1503" t="s">
        <v>1021</v>
      </c>
    </row>
    <row r="1504" spans="1:6" x14ac:dyDescent="0.35">
      <c r="A1504" t="s">
        <v>2935</v>
      </c>
      <c r="B1504" t="s">
        <v>2936</v>
      </c>
      <c r="C1504">
        <v>1.72</v>
      </c>
      <c r="D1504">
        <v>0.28000000000000003</v>
      </c>
      <c r="E1504">
        <v>0.01</v>
      </c>
      <c r="F1504" t="s">
        <v>8</v>
      </c>
    </row>
    <row r="1505" spans="1:6" x14ac:dyDescent="0.35">
      <c r="A1505" t="s">
        <v>2937</v>
      </c>
      <c r="B1505" t="s">
        <v>2938</v>
      </c>
      <c r="C1505">
        <v>2.02</v>
      </c>
      <c r="D1505">
        <v>0.28000000000000003</v>
      </c>
      <c r="E1505">
        <v>0.01</v>
      </c>
      <c r="F1505" t="s">
        <v>8</v>
      </c>
    </row>
    <row r="1506" spans="1:6" x14ac:dyDescent="0.35">
      <c r="A1506" t="s">
        <v>2939</v>
      </c>
      <c r="B1506" t="s">
        <v>2940</v>
      </c>
      <c r="C1506">
        <v>0</v>
      </c>
      <c r="D1506">
        <v>0</v>
      </c>
      <c r="E1506">
        <v>0</v>
      </c>
      <c r="F1506" t="s">
        <v>2941</v>
      </c>
    </row>
    <row r="1507" spans="1:6" x14ac:dyDescent="0.35">
      <c r="A1507" t="s">
        <v>2942</v>
      </c>
      <c r="B1507" t="s">
        <v>2943</v>
      </c>
      <c r="C1507">
        <v>0.6</v>
      </c>
      <c r="D1507">
        <v>0.41</v>
      </c>
      <c r="E1507">
        <v>0.02</v>
      </c>
      <c r="F1507" t="s">
        <v>8</v>
      </c>
    </row>
  </sheetData>
  <autoFilter ref="A1:F1507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515"/>
  <sheetViews>
    <sheetView showGridLines="0" tabSelected="1" zoomScaleNormal="100" workbookViewId="0">
      <pane ySplit="9" topLeftCell="A10" activePane="bottomLeft" state="frozen"/>
      <selection pane="bottomLeft" activeCell="B17" sqref="B17"/>
    </sheetView>
  </sheetViews>
  <sheetFormatPr defaultColWidth="8.6328125" defaultRowHeight="14.25" customHeight="1" x14ac:dyDescent="0.35"/>
  <cols>
    <col min="1" max="2" width="21.81640625" customWidth="1"/>
    <col min="3" max="3" width="13" customWidth="1"/>
    <col min="4" max="4" width="11" customWidth="1"/>
    <col min="5" max="6" width="13" customWidth="1"/>
    <col min="7" max="7" width="6" hidden="1" customWidth="1"/>
    <col min="8" max="8" width="24" hidden="1" customWidth="1"/>
    <col min="9" max="9" width="10" hidden="1" customWidth="1"/>
    <col min="10" max="10" width="12" hidden="1" customWidth="1"/>
    <col min="11" max="11" width="36" hidden="1" customWidth="1"/>
    <col min="12" max="14" width="10" hidden="1" customWidth="1"/>
    <col min="15" max="15" width="12" hidden="1" customWidth="1"/>
    <col min="16" max="16" width="16" hidden="1" customWidth="1"/>
    <col min="17" max="17" width="14" hidden="1" customWidth="1"/>
    <col min="18" max="18" width="13" hidden="1" customWidth="1"/>
    <col min="19" max="19" width="11" hidden="1" customWidth="1"/>
    <col min="20" max="20" width="38" hidden="1" customWidth="1"/>
    <col min="21" max="21" width="11.54296875" hidden="1" customWidth="1"/>
    <col min="22" max="22" width="12.6328125" customWidth="1"/>
    <col min="23" max="23" width="12.6328125" hidden="1" customWidth="1"/>
    <col min="24" max="24" width="9.36328125" customWidth="1"/>
    <col min="25" max="25" width="9.26953125" customWidth="1"/>
    <col min="26" max="26" width="10.7265625" customWidth="1"/>
    <col min="27" max="27" width="12.36328125" customWidth="1"/>
    <col min="28" max="28" width="7.81640625" customWidth="1"/>
    <col min="29" max="29" width="11.26953125" customWidth="1"/>
    <col min="30" max="30" width="10.36328125" customWidth="1"/>
  </cols>
  <sheetData>
    <row r="1" spans="1:30" ht="18" customHeight="1" x14ac:dyDescent="0.35">
      <c r="A1" s="2"/>
      <c r="B1" s="3"/>
      <c r="V1" s="4"/>
      <c r="W1" s="4"/>
      <c r="X1" s="4"/>
      <c r="Y1" s="4"/>
      <c r="Z1" s="4"/>
      <c r="AA1" s="4"/>
      <c r="AB1" s="4"/>
      <c r="AC1" s="4"/>
      <c r="AD1" s="4"/>
    </row>
    <row r="2" spans="1:30" ht="18" customHeight="1" x14ac:dyDescent="0.35">
      <c r="A2" s="2" t="s">
        <v>2944</v>
      </c>
      <c r="B2" s="3">
        <v>46137</v>
      </c>
      <c r="V2" s="4"/>
      <c r="W2" s="4"/>
      <c r="X2" s="4"/>
      <c r="Y2" s="4"/>
      <c r="Z2" s="4"/>
      <c r="AA2" s="4"/>
      <c r="AB2" s="4"/>
      <c r="AC2" s="4"/>
      <c r="AD2" s="4"/>
    </row>
    <row r="3" spans="1:30" ht="18" customHeight="1" x14ac:dyDescent="0.35">
      <c r="A3" s="2" t="s">
        <v>2945</v>
      </c>
      <c r="B3" s="5">
        <f>SUM(C10:C59)</f>
        <v>0</v>
      </c>
      <c r="V3" s="4"/>
      <c r="W3" s="4"/>
      <c r="X3" s="4"/>
      <c r="Y3" s="4"/>
      <c r="Z3" s="4"/>
      <c r="AA3" s="4"/>
      <c r="AB3" s="4"/>
      <c r="AC3" s="4"/>
      <c r="AD3" s="4"/>
    </row>
    <row r="4" spans="1:30" ht="18" customHeight="1" x14ac:dyDescent="0.35">
      <c r="A4" s="2" t="s">
        <v>2946</v>
      </c>
      <c r="B4" s="5">
        <f>SUM(Y10:Y21)</f>
        <v>0</v>
      </c>
      <c r="V4" s="4"/>
      <c r="W4" s="4"/>
      <c r="X4" s="4"/>
      <c r="Y4" s="4"/>
      <c r="Z4" s="4"/>
      <c r="AA4" s="4"/>
      <c r="AB4" s="4"/>
      <c r="AC4" s="4"/>
      <c r="AD4" s="4"/>
    </row>
    <row r="5" spans="1:30" ht="18" customHeight="1" x14ac:dyDescent="0.35">
      <c r="A5" s="2" t="s">
        <v>2947</v>
      </c>
      <c r="B5" s="5">
        <f>SUM(AD10:AD21)</f>
        <v>0</v>
      </c>
      <c r="V5" s="4"/>
      <c r="W5" s="4"/>
      <c r="X5" s="4"/>
      <c r="Y5" s="4"/>
      <c r="Z5" s="4"/>
      <c r="AA5" s="4"/>
      <c r="AB5" s="4"/>
      <c r="AC5" s="4"/>
      <c r="AD5" s="4"/>
    </row>
    <row r="6" spans="1:30" ht="18" customHeight="1" x14ac:dyDescent="0.35">
      <c r="A6" s="2" t="s">
        <v>2948</v>
      </c>
      <c r="B6" s="5">
        <f>SUM(X10:X21)</f>
        <v>0</v>
      </c>
      <c r="V6" s="4"/>
      <c r="W6" s="4"/>
      <c r="X6" s="4"/>
      <c r="Y6" s="4"/>
      <c r="Z6" s="4"/>
      <c r="AA6" s="4"/>
      <c r="AB6" s="4"/>
      <c r="AC6" s="4"/>
      <c r="AD6" s="4"/>
    </row>
    <row r="7" spans="1:30" ht="18" customHeight="1" x14ac:dyDescent="0.35">
      <c r="A7" s="2" t="s">
        <v>2949</v>
      </c>
      <c r="B7" s="5">
        <f>COUNTIF(B10:B59,"&lt;&gt;")</f>
        <v>0</v>
      </c>
      <c r="V7" s="4"/>
      <c r="W7" s="4"/>
      <c r="X7" s="4"/>
      <c r="Y7" s="4"/>
      <c r="Z7" s="4"/>
      <c r="AA7" s="4"/>
      <c r="AB7" s="4"/>
      <c r="AC7" s="4"/>
      <c r="AD7" s="4"/>
    </row>
    <row r="8" spans="1:30" ht="18" customHeight="1" x14ac:dyDescent="0.35">
      <c r="V8" s="4"/>
      <c r="W8" s="4"/>
      <c r="X8" s="4"/>
      <c r="Y8" s="4"/>
      <c r="Z8" s="4"/>
      <c r="AA8" s="4"/>
      <c r="AB8" s="4"/>
      <c r="AC8" s="4"/>
      <c r="AD8" s="4"/>
    </row>
    <row r="9" spans="1:30" ht="30" customHeight="1" x14ac:dyDescent="0.35">
      <c r="A9" s="6" t="s">
        <v>2950</v>
      </c>
      <c r="B9" s="6" t="s">
        <v>2951</v>
      </c>
      <c r="C9" s="6" t="s">
        <v>2952</v>
      </c>
      <c r="D9" s="6" t="s">
        <v>2953</v>
      </c>
      <c r="E9" s="6" t="s">
        <v>2954</v>
      </c>
      <c r="F9" s="6" t="s">
        <v>2955</v>
      </c>
      <c r="G9" s="6" t="s">
        <v>2956</v>
      </c>
      <c r="H9" s="6" t="s">
        <v>1</v>
      </c>
      <c r="I9" s="6" t="s">
        <v>2957</v>
      </c>
      <c r="J9" s="6" t="s">
        <v>0</v>
      </c>
      <c r="K9" s="6" t="s">
        <v>2958</v>
      </c>
      <c r="L9" s="6" t="s">
        <v>2959</v>
      </c>
      <c r="M9" s="6" t="s">
        <v>2960</v>
      </c>
      <c r="N9" s="6" t="s">
        <v>2961</v>
      </c>
      <c r="O9" s="6" t="s">
        <v>2962</v>
      </c>
      <c r="P9" s="6" t="s">
        <v>2963</v>
      </c>
      <c r="Q9" s="6" t="s">
        <v>2964</v>
      </c>
      <c r="R9" s="6" t="s">
        <v>2965</v>
      </c>
      <c r="S9" s="6" t="s">
        <v>2966</v>
      </c>
      <c r="T9" s="6" t="s">
        <v>2967</v>
      </c>
      <c r="V9" s="7" t="s">
        <v>2963</v>
      </c>
      <c r="W9" s="7" t="s">
        <v>2968</v>
      </c>
      <c r="X9" s="7" t="s">
        <v>2965</v>
      </c>
      <c r="Y9" s="7" t="s">
        <v>2969</v>
      </c>
      <c r="Z9" s="7" t="s">
        <v>2970</v>
      </c>
      <c r="AA9" s="7" t="s">
        <v>2971</v>
      </c>
      <c r="AB9" s="7" t="s">
        <v>2972</v>
      </c>
      <c r="AC9" s="7" t="s">
        <v>2973</v>
      </c>
      <c r="AD9" s="7" t="s">
        <v>2974</v>
      </c>
    </row>
    <row r="10" spans="1:30" ht="18.75" customHeight="1" x14ac:dyDescent="0.35">
      <c r="A10" s="8">
        <v>1</v>
      </c>
      <c r="B10" s="9"/>
      <c r="C10" s="9"/>
      <c r="D10" s="9" t="str">
        <f>IFERROR(VLOOKUP(B10,LISTAS!$A:$C,2,FALSE()),"")</f>
        <v/>
      </c>
      <c r="E10" s="9">
        <f>IFERROR(VLOOKUP(B10,LISTAS!$A:$C,3,FALSE()),0)</f>
        <v>0</v>
      </c>
      <c r="F10" s="9">
        <f t="shared" ref="F10:F41" si="0">IFERROR(C10*E10,0)</f>
        <v>0</v>
      </c>
      <c r="G10" t="str">
        <f ca="1">IFERROR(_xludf.aggregate(15,6,(ROW(BASE_PRODUTOS!$L$2:$L$1006)-ROW(BASE_PRODUTOS!$L$2)+1)/(BASE_PRODUTOS!$L$2:$L$1006&gt;0),ROWS($G$10:G10)),"")</f>
        <v/>
      </c>
      <c r="H10" s="9" t="str">
        <f ca="1">IF($G10="","",INDEX(BASE_PRODUTOS!$B$2:$B$1006,$G10))</f>
        <v/>
      </c>
      <c r="I10" s="9" t="str">
        <f ca="1">IF($G10="","",INDEX(BASE_PRODUTOS!$L$2:$L$1006,$G10))</f>
        <v/>
      </c>
      <c r="J10" s="9" t="str">
        <f ca="1">IF($G10="","",INDEX(BASE_PRODUTOS!$A$2:$A$1006,$G10))</f>
        <v/>
      </c>
      <c r="K10" s="9" t="str">
        <f ca="1">IF($G10="","",INDEX(BASE_PRODUTOS!$C$2:$C$1006,$G10))</f>
        <v/>
      </c>
      <c r="L10" s="9" t="str">
        <f ca="1">IF($G10="","",INDEX(BASE_PRODUTOS!$E$2:$E$1006,$G10))</f>
        <v/>
      </c>
      <c r="M10" s="9" t="str">
        <f ca="1">IF($G10="","",INDEX(BASE_PRODUTOS!$F$2:$F$1006,$G10))</f>
        <v/>
      </c>
      <c r="N10" s="9" t="str">
        <f ca="1">IF($G10="","",INDEX(BASE_PRODUTOS!$G$2:$G$1006,$G10))</f>
        <v/>
      </c>
      <c r="O10" s="9" t="str">
        <f ca="1">IF($G10="","",INDEX(BASE_PRODUTOS!$H$2:$H$1006,$G10))</f>
        <v/>
      </c>
      <c r="P10" s="9" t="str">
        <f ca="1">IF($G10="","",INDEX(BASE_PRODUTOS!$I$2:$I$1006,$G10))</f>
        <v/>
      </c>
      <c r="Q10" s="9" t="str">
        <f ca="1">IF($G10="","",INDEX(BASE_PRODUTOS!$J$2:$J$1006,$G10))</f>
        <v/>
      </c>
      <c r="R10" s="9" t="str">
        <f ca="1">IF($G10="","",INDEX(BASE_PRODUTOS!$M$2:$M$1006,$G10))</f>
        <v/>
      </c>
      <c r="S10" s="9" t="str">
        <f ca="1">IF($G10="","",INDEX(BASE_PRODUTOS!$N$2:$N$1006,$G10))</f>
        <v/>
      </c>
      <c r="T10" s="9" t="str">
        <f ca="1">IF($G10="","",INDEX(BASE_PRODUTOS!$D$2:$D$1006,$G10))</f>
        <v/>
      </c>
      <c r="V10" s="10" t="s">
        <v>2975</v>
      </c>
      <c r="W10" s="10" t="str">
        <f t="shared" ref="W10:W21" si="1">IF($V10="","",TEXT($Z10,"0.00")&amp;" x "&amp;TEXT($AA10,"0.00")&amp;" m")</f>
        <v>003 x 002 m</v>
      </c>
      <c r="X10" s="10">
        <f>IF($V10="","",SUMIF(BASE_PRODUTOS!$I:$I,$V10,BASE_PRODUTOS!$M:$M))</f>
        <v>0</v>
      </c>
      <c r="Y10" s="10">
        <f>IF($V10="","",SUMIF(BASE_PRODUTOS!$I:$I,$V10,BASE_PRODUTOS!$N:$N))</f>
        <v>0</v>
      </c>
      <c r="Z10" s="10">
        <v>2.75</v>
      </c>
      <c r="AA10" s="10">
        <v>1.85</v>
      </c>
      <c r="AB10" s="10">
        <v>0.95</v>
      </c>
      <c r="AC10" s="10">
        <f t="shared" ref="AC10:AC21" si="2">IFERROR($Z10*$AA10*$AB10,0)</f>
        <v>4.8331249999999999</v>
      </c>
      <c r="AD10" s="10">
        <f t="shared" ref="AD10:AD21" si="3">IFERROR(IF($Y10&gt;0,ROUNDUP($Y10/$AC10,0),0),0)</f>
        <v>0</v>
      </c>
    </row>
    <row r="11" spans="1:30" ht="18.75" customHeight="1" x14ac:dyDescent="0.35">
      <c r="A11" s="8">
        <v>2</v>
      </c>
      <c r="B11" s="9"/>
      <c r="C11" s="9"/>
      <c r="D11" s="9" t="str">
        <f>IFERROR(VLOOKUP(B11,LISTAS!$A:$C,2,FALSE()),"")</f>
        <v/>
      </c>
      <c r="E11" s="9">
        <f>IFERROR(VLOOKUP(B11,LISTAS!$A:$C,3,FALSE()),0)</f>
        <v>0</v>
      </c>
      <c r="F11" s="9">
        <f t="shared" si="0"/>
        <v>0</v>
      </c>
      <c r="G11" t="str">
        <f ca="1">IFERROR(_xludf.aggregate(15,6,(ROW(BASE_PRODUTOS!$L$2:$L$1006)-ROW(BASE_PRODUTOS!$L$2)+1)/(BASE_PRODUTOS!$L$2:$L$1006&gt;0),ROWS($G$10:G11)),"")</f>
        <v/>
      </c>
      <c r="H11" s="9" t="str">
        <f ca="1">IF($G11="","",INDEX(BASE_PRODUTOS!$B$2:$B$1006,$G11))</f>
        <v/>
      </c>
      <c r="I11" s="9" t="str">
        <f ca="1">IF($G11="","",INDEX(BASE_PRODUTOS!$L$2:$L$1006,$G11))</f>
        <v/>
      </c>
      <c r="J11" s="9" t="str">
        <f ca="1">IF($G11="","",INDEX(BASE_PRODUTOS!$A$2:$A$1006,$G11))</f>
        <v/>
      </c>
      <c r="K11" s="9" t="str">
        <f ca="1">IF($G11="","",INDEX(BASE_PRODUTOS!$C$2:$C$1006,$G11))</f>
        <v/>
      </c>
      <c r="L11" s="9" t="str">
        <f ca="1">IF($G11="","",INDEX(BASE_PRODUTOS!$E$2:$E$1006,$G11))</f>
        <v/>
      </c>
      <c r="M11" s="9" t="str">
        <f ca="1">IF($G11="","",INDEX(BASE_PRODUTOS!$F$2:$F$1006,$G11))</f>
        <v/>
      </c>
      <c r="N11" s="9" t="str">
        <f ca="1">IF($G11="","",INDEX(BASE_PRODUTOS!$G$2:$G$1006,$G11))</f>
        <v/>
      </c>
      <c r="O11" s="9" t="str">
        <f ca="1">IF($G11="","",INDEX(BASE_PRODUTOS!$H$2:$H$1006,$G11))</f>
        <v/>
      </c>
      <c r="P11" s="9" t="str">
        <f ca="1">IF($G11="","",INDEX(BASE_PRODUTOS!$I$2:$I$1006,$G11))</f>
        <v/>
      </c>
      <c r="Q11" s="9" t="str">
        <f ca="1">IF($G11="","",INDEX(BASE_PRODUTOS!$J$2:$J$1006,$G11))</f>
        <v/>
      </c>
      <c r="R11" s="9" t="str">
        <f ca="1">IF($G11="","",INDEX(BASE_PRODUTOS!$M$2:$M$1006,$G11))</f>
        <v/>
      </c>
      <c r="S11" s="9" t="str">
        <f ca="1">IF($G11="","",INDEX(BASE_PRODUTOS!$N$2:$N$1006,$G11))</f>
        <v/>
      </c>
      <c r="T11" s="9" t="str">
        <f ca="1">IF($G11="","",INDEX(BASE_PRODUTOS!$D$2:$D$1006,$G11))</f>
        <v/>
      </c>
      <c r="V11" s="10" t="s">
        <v>2977</v>
      </c>
      <c r="W11" s="10" t="str">
        <f t="shared" si="1"/>
        <v>003 x 002 m</v>
      </c>
      <c r="X11" s="10">
        <f>IF($V11="","",SUMIF(BASE_PRODUTOS!$I:$I,$V11,BASE_PRODUTOS!$M:$M))</f>
        <v>0</v>
      </c>
      <c r="Y11" s="10">
        <f>IF($V11="","",SUMIF(BASE_PRODUTOS!$I:$I,$V11,BASE_PRODUTOS!$N:$N))</f>
        <v>0</v>
      </c>
      <c r="Z11" s="10">
        <v>2.75</v>
      </c>
      <c r="AA11" s="10">
        <v>1.85</v>
      </c>
      <c r="AB11" s="10">
        <v>0.95</v>
      </c>
      <c r="AC11" s="10">
        <f t="shared" si="2"/>
        <v>4.8331249999999999</v>
      </c>
      <c r="AD11" s="10">
        <f t="shared" si="3"/>
        <v>0</v>
      </c>
    </row>
    <row r="12" spans="1:30" ht="18.75" customHeight="1" x14ac:dyDescent="0.35">
      <c r="A12" s="8">
        <v>3</v>
      </c>
      <c r="B12" s="9"/>
      <c r="C12" s="9"/>
      <c r="D12" s="9" t="str">
        <f>IFERROR(VLOOKUP(B12,LISTAS!$A:$C,2,FALSE()),"")</f>
        <v/>
      </c>
      <c r="E12" s="9">
        <f>IFERROR(VLOOKUP(B12,LISTAS!$A:$C,3,FALSE()),0)</f>
        <v>0</v>
      </c>
      <c r="F12" s="9">
        <f t="shared" si="0"/>
        <v>0</v>
      </c>
      <c r="G12" t="str">
        <f ca="1">IFERROR(_xludf.aggregate(15,6,(ROW(BASE_PRODUTOS!$L$2:$L$1006)-ROW(BASE_PRODUTOS!$L$2)+1)/(BASE_PRODUTOS!$L$2:$L$1006&gt;0),ROWS($G$10:G12)),"")</f>
        <v/>
      </c>
      <c r="H12" s="9" t="str">
        <f ca="1">IF($G12="","",INDEX(BASE_PRODUTOS!$B$2:$B$1006,$G12))</f>
        <v/>
      </c>
      <c r="I12" s="9" t="str">
        <f ca="1">IF($G12="","",INDEX(BASE_PRODUTOS!$L$2:$L$1006,$G12))</f>
        <v/>
      </c>
      <c r="J12" s="9" t="str">
        <f ca="1">IF($G12="","",INDEX(BASE_PRODUTOS!$A$2:$A$1006,$G12))</f>
        <v/>
      </c>
      <c r="K12" s="9" t="str">
        <f ca="1">IF($G12="","",INDEX(BASE_PRODUTOS!$C$2:$C$1006,$G12))</f>
        <v/>
      </c>
      <c r="L12" s="9" t="str">
        <f ca="1">IF($G12="","",INDEX(BASE_PRODUTOS!$E$2:$E$1006,$G12))</f>
        <v/>
      </c>
      <c r="M12" s="9" t="str">
        <f ca="1">IF($G12="","",INDEX(BASE_PRODUTOS!$F$2:$F$1006,$G12))</f>
        <v/>
      </c>
      <c r="N12" s="9" t="str">
        <f ca="1">IF($G12="","",INDEX(BASE_PRODUTOS!$G$2:$G$1006,$G12))</f>
        <v/>
      </c>
      <c r="O12" s="9" t="str">
        <f ca="1">IF($G12="","",INDEX(BASE_PRODUTOS!$H$2:$H$1006,$G12))</f>
        <v/>
      </c>
      <c r="P12" s="9" t="str">
        <f ca="1">IF($G12="","",INDEX(BASE_PRODUTOS!$I$2:$I$1006,$G12))</f>
        <v/>
      </c>
      <c r="Q12" s="9" t="str">
        <f ca="1">IF($G12="","",INDEX(BASE_PRODUTOS!$J$2:$J$1006,$G12))</f>
        <v/>
      </c>
      <c r="R12" s="9" t="str">
        <f ca="1">IF($G12="","",INDEX(BASE_PRODUTOS!$M$2:$M$1006,$G12))</f>
        <v/>
      </c>
      <c r="S12" s="9" t="str">
        <f ca="1">IF($G12="","",INDEX(BASE_PRODUTOS!$N$2:$N$1006,$G12))</f>
        <v/>
      </c>
      <c r="T12" s="9" t="str">
        <f ca="1">IF($G12="","",INDEX(BASE_PRODUTOS!$D$2:$D$1006,$G12))</f>
        <v/>
      </c>
      <c r="V12" s="10" t="s">
        <v>2979</v>
      </c>
      <c r="W12" s="10" t="str">
        <f t="shared" si="1"/>
        <v>003 x 002 m</v>
      </c>
      <c r="X12" s="10">
        <f>IF($V12="","",SUMIF(BASE_PRODUTOS!$I:$I,$V12,BASE_PRODUTOS!$M:$M))</f>
        <v>0</v>
      </c>
      <c r="Y12" s="10">
        <f>IF($V12="","",SUMIF(BASE_PRODUTOS!$I:$I,$V12,BASE_PRODUTOS!$N:$N))</f>
        <v>0</v>
      </c>
      <c r="Z12" s="10">
        <v>2.75</v>
      </c>
      <c r="AA12" s="10">
        <v>1.85</v>
      </c>
      <c r="AB12" s="10">
        <v>0.95</v>
      </c>
      <c r="AC12" s="10">
        <f t="shared" si="2"/>
        <v>4.8331249999999999</v>
      </c>
      <c r="AD12" s="10">
        <f t="shared" si="3"/>
        <v>0</v>
      </c>
    </row>
    <row r="13" spans="1:30" ht="18.75" customHeight="1" x14ac:dyDescent="0.35">
      <c r="A13" s="8">
        <v>4</v>
      </c>
      <c r="B13" s="9"/>
      <c r="C13" s="9"/>
      <c r="D13" s="9" t="str">
        <f>IFERROR(VLOOKUP(B13,LISTAS!$A:$C,2,FALSE()),"")</f>
        <v/>
      </c>
      <c r="E13" s="9">
        <f>IFERROR(VLOOKUP(B13,LISTAS!$A:$C,3,FALSE()),0)</f>
        <v>0</v>
      </c>
      <c r="F13" s="9">
        <f t="shared" si="0"/>
        <v>0</v>
      </c>
      <c r="G13" t="str">
        <f ca="1">IFERROR(_xludf.aggregate(15,6,(ROW(BASE_PRODUTOS!$L$2:$L$1006)-ROW(BASE_PRODUTOS!$L$2)+1)/(BASE_PRODUTOS!$L$2:$L$1006&gt;0),ROWS($G$10:G13)),"")</f>
        <v/>
      </c>
      <c r="H13" s="9" t="str">
        <f ca="1">IF($G13="","",INDEX(BASE_PRODUTOS!$B$2:$B$1006,$G13))</f>
        <v/>
      </c>
      <c r="I13" s="9" t="str">
        <f ca="1">IF($G13="","",INDEX(BASE_PRODUTOS!$L$2:$L$1006,$G13))</f>
        <v/>
      </c>
      <c r="J13" s="9" t="str">
        <f ca="1">IF($G13="","",INDEX(BASE_PRODUTOS!$A$2:$A$1006,$G13))</f>
        <v/>
      </c>
      <c r="K13" s="9" t="str">
        <f ca="1">IF($G13="","",INDEX(BASE_PRODUTOS!$C$2:$C$1006,$G13))</f>
        <v/>
      </c>
      <c r="L13" s="9" t="str">
        <f ca="1">IF($G13="","",INDEX(BASE_PRODUTOS!$E$2:$E$1006,$G13))</f>
        <v/>
      </c>
      <c r="M13" s="9" t="str">
        <f ca="1">IF($G13="","",INDEX(BASE_PRODUTOS!$F$2:$F$1006,$G13))</f>
        <v/>
      </c>
      <c r="N13" s="9" t="str">
        <f ca="1">IF($G13="","",INDEX(BASE_PRODUTOS!$G$2:$G$1006,$G13))</f>
        <v/>
      </c>
      <c r="O13" s="9" t="str">
        <f ca="1">IF($G13="","",INDEX(BASE_PRODUTOS!$H$2:$H$1006,$G13))</f>
        <v/>
      </c>
      <c r="P13" s="9" t="str">
        <f ca="1">IF($G13="","",INDEX(BASE_PRODUTOS!$I$2:$I$1006,$G13))</f>
        <v/>
      </c>
      <c r="Q13" s="9" t="str">
        <f ca="1">IF($G13="","",INDEX(BASE_PRODUTOS!$J$2:$J$1006,$G13))</f>
        <v/>
      </c>
      <c r="R13" s="9" t="str">
        <f ca="1">IF($G13="","",INDEX(BASE_PRODUTOS!$M$2:$M$1006,$G13))</f>
        <v/>
      </c>
      <c r="S13" s="9" t="str">
        <f ca="1">IF($G13="","",INDEX(BASE_PRODUTOS!$N$2:$N$1006,$G13))</f>
        <v/>
      </c>
      <c r="T13" s="9" t="str">
        <f ca="1">IF($G13="","",INDEX(BASE_PRODUTOS!$D$2:$D$1006,$G13))</f>
        <v/>
      </c>
      <c r="V13" s="10" t="s">
        <v>2981</v>
      </c>
      <c r="W13" s="10" t="str">
        <f t="shared" si="1"/>
        <v>003 x 002 m</v>
      </c>
      <c r="X13" s="10">
        <f>IF($V13="","",SUMIF(BASE_PRODUTOS!$I:$I,$V13,BASE_PRODUTOS!$M:$M))</f>
        <v>0</v>
      </c>
      <c r="Y13" s="10">
        <f>IF($V13="","",SUMIF(BASE_PRODUTOS!$I:$I,$V13,BASE_PRODUTOS!$N:$N))</f>
        <v>0</v>
      </c>
      <c r="Z13" s="10">
        <v>2.75</v>
      </c>
      <c r="AA13" s="10">
        <v>1.85</v>
      </c>
      <c r="AB13" s="10">
        <v>0.95</v>
      </c>
      <c r="AC13" s="10">
        <f t="shared" si="2"/>
        <v>4.8331249999999999</v>
      </c>
      <c r="AD13" s="10">
        <f t="shared" si="3"/>
        <v>0</v>
      </c>
    </row>
    <row r="14" spans="1:30" ht="18.75" customHeight="1" x14ac:dyDescent="0.35">
      <c r="A14" s="8">
        <v>5</v>
      </c>
      <c r="B14" s="9"/>
      <c r="C14" s="9"/>
      <c r="D14" s="9" t="str">
        <f>IFERROR(VLOOKUP(B14,LISTAS!$A:$C,2,FALSE()),"")</f>
        <v/>
      </c>
      <c r="E14" s="9">
        <f>IFERROR(VLOOKUP(B14,LISTAS!$A:$C,3,FALSE()),0)</f>
        <v>0</v>
      </c>
      <c r="F14" s="9">
        <f t="shared" si="0"/>
        <v>0</v>
      </c>
      <c r="G14" t="str">
        <f ca="1">IFERROR(_xludf.aggregate(15,6,(ROW(BASE_PRODUTOS!$L$2:$L$1006)-ROW(BASE_PRODUTOS!$L$2)+1)/(BASE_PRODUTOS!$L$2:$L$1006&gt;0),ROWS($G$10:G14)),"")</f>
        <v/>
      </c>
      <c r="H14" s="9" t="str">
        <f ca="1">IF($G14="","",INDEX(BASE_PRODUTOS!$B$2:$B$1006,$G14))</f>
        <v/>
      </c>
      <c r="I14" s="9" t="str">
        <f ca="1">IF($G14="","",INDEX(BASE_PRODUTOS!$L$2:$L$1006,$G14))</f>
        <v/>
      </c>
      <c r="J14" s="9" t="str">
        <f ca="1">IF($G14="","",INDEX(BASE_PRODUTOS!$A$2:$A$1006,$G14))</f>
        <v/>
      </c>
      <c r="K14" s="9" t="str">
        <f ca="1">IF($G14="","",INDEX(BASE_PRODUTOS!$C$2:$C$1006,$G14))</f>
        <v/>
      </c>
      <c r="L14" s="9" t="str">
        <f ca="1">IF($G14="","",INDEX(BASE_PRODUTOS!$E$2:$E$1006,$G14))</f>
        <v/>
      </c>
      <c r="M14" s="9" t="str">
        <f ca="1">IF($G14="","",INDEX(BASE_PRODUTOS!$F$2:$F$1006,$G14))</f>
        <v/>
      </c>
      <c r="N14" s="9" t="str">
        <f ca="1">IF($G14="","",INDEX(BASE_PRODUTOS!$G$2:$G$1006,$G14))</f>
        <v/>
      </c>
      <c r="O14" s="9" t="str">
        <f ca="1">IF($G14="","",INDEX(BASE_PRODUTOS!$H$2:$H$1006,$G14))</f>
        <v/>
      </c>
      <c r="P14" s="9" t="str">
        <f ca="1">IF($G14="","",INDEX(BASE_PRODUTOS!$I$2:$I$1006,$G14))</f>
        <v/>
      </c>
      <c r="Q14" s="9" t="str">
        <f ca="1">IF($G14="","",INDEX(BASE_PRODUTOS!$J$2:$J$1006,$G14))</f>
        <v/>
      </c>
      <c r="R14" s="9" t="str">
        <f ca="1">IF($G14="","",INDEX(BASE_PRODUTOS!$M$2:$M$1006,$G14))</f>
        <v/>
      </c>
      <c r="S14" s="9" t="str">
        <f ca="1">IF($G14="","",INDEX(BASE_PRODUTOS!$N$2:$N$1006,$G14))</f>
        <v/>
      </c>
      <c r="T14" s="9" t="str">
        <f ca="1">IF($G14="","",INDEX(BASE_PRODUTOS!$D$2:$D$1006,$G14))</f>
        <v/>
      </c>
      <c r="V14" s="10" t="s">
        <v>2983</v>
      </c>
      <c r="W14" s="10" t="str">
        <f t="shared" si="1"/>
        <v>003 x 002 m</v>
      </c>
      <c r="X14" s="10">
        <f>IF($V14="","",SUMIF(BASE_PRODUTOS!$I:$I,$V14,BASE_PRODUTOS!$M:$M))</f>
        <v>0</v>
      </c>
      <c r="Y14" s="10">
        <f>IF($V14="","",SUMIF(BASE_PRODUTOS!$I:$I,$V14,BASE_PRODUTOS!$N:$N))</f>
        <v>0</v>
      </c>
      <c r="Z14" s="10">
        <v>2.75</v>
      </c>
      <c r="AA14" s="10">
        <v>1.85</v>
      </c>
      <c r="AB14" s="10">
        <v>0.95</v>
      </c>
      <c r="AC14" s="10">
        <f t="shared" si="2"/>
        <v>4.8331249999999999</v>
      </c>
      <c r="AD14" s="10">
        <f t="shared" si="3"/>
        <v>0</v>
      </c>
    </row>
    <row r="15" spans="1:30" ht="18.75" customHeight="1" x14ac:dyDescent="0.35">
      <c r="A15" s="8">
        <v>6</v>
      </c>
      <c r="B15" s="9"/>
      <c r="C15" s="9"/>
      <c r="D15" s="9" t="str">
        <f>IFERROR(VLOOKUP(B15,LISTAS!$A:$C,2,FALSE()),"")</f>
        <v/>
      </c>
      <c r="E15" s="9">
        <f>IFERROR(VLOOKUP(B15,LISTAS!$A:$C,3,FALSE()),0)</f>
        <v>0</v>
      </c>
      <c r="F15" s="9">
        <f t="shared" si="0"/>
        <v>0</v>
      </c>
      <c r="G15" t="str">
        <f ca="1">IFERROR(_xludf.aggregate(15,6,(ROW(BASE_PRODUTOS!$L$2:$L$1006)-ROW(BASE_PRODUTOS!$L$2)+1)/(BASE_PRODUTOS!$L$2:$L$1006&gt;0),ROWS($G$10:G15)),"")</f>
        <v/>
      </c>
      <c r="H15" s="9" t="str">
        <f ca="1">IF($G15="","",INDEX(BASE_PRODUTOS!$B$2:$B$1006,$G15))</f>
        <v/>
      </c>
      <c r="I15" s="9" t="str">
        <f ca="1">IF($G15="","",INDEX(BASE_PRODUTOS!$L$2:$L$1006,$G15))</f>
        <v/>
      </c>
      <c r="J15" s="9" t="str">
        <f ca="1">IF($G15="","",INDEX(BASE_PRODUTOS!$A$2:$A$1006,$G15))</f>
        <v/>
      </c>
      <c r="K15" s="9" t="str">
        <f ca="1">IF($G15="","",INDEX(BASE_PRODUTOS!$C$2:$C$1006,$G15))</f>
        <v/>
      </c>
      <c r="L15" s="9" t="str">
        <f ca="1">IF($G15="","",INDEX(BASE_PRODUTOS!$E$2:$E$1006,$G15))</f>
        <v/>
      </c>
      <c r="M15" s="9" t="str">
        <f ca="1">IF($G15="","",INDEX(BASE_PRODUTOS!$F$2:$F$1006,$G15))</f>
        <v/>
      </c>
      <c r="N15" s="9" t="str">
        <f ca="1">IF($G15="","",INDEX(BASE_PRODUTOS!$G$2:$G$1006,$G15))</f>
        <v/>
      </c>
      <c r="O15" s="9" t="str">
        <f ca="1">IF($G15="","",INDEX(BASE_PRODUTOS!$H$2:$H$1006,$G15))</f>
        <v/>
      </c>
      <c r="P15" s="9" t="str">
        <f ca="1">IF($G15="","",INDEX(BASE_PRODUTOS!$I$2:$I$1006,$G15))</f>
        <v/>
      </c>
      <c r="Q15" s="9" t="str">
        <f ca="1">IF($G15="","",INDEX(BASE_PRODUTOS!$J$2:$J$1006,$G15))</f>
        <v/>
      </c>
      <c r="R15" s="9" t="str">
        <f ca="1">IF($G15="","",INDEX(BASE_PRODUTOS!$M$2:$M$1006,$G15))</f>
        <v/>
      </c>
      <c r="S15" s="9" t="str">
        <f ca="1">IF($G15="","",INDEX(BASE_PRODUTOS!$N$2:$N$1006,$G15))</f>
        <v/>
      </c>
      <c r="T15" s="9" t="str">
        <f ca="1">IF($G15="","",INDEX(BASE_PRODUTOS!$D$2:$D$1006,$G15))</f>
        <v/>
      </c>
      <c r="V15" s="10" t="s">
        <v>2984</v>
      </c>
      <c r="W15" s="10" t="str">
        <f t="shared" si="1"/>
        <v>003 x 002 m</v>
      </c>
      <c r="X15" s="10">
        <f>IF($V15="","",SUMIF(BASE_PRODUTOS!$I:$I,$V15,BASE_PRODUTOS!$M:$M))</f>
        <v>0</v>
      </c>
      <c r="Y15" s="10">
        <f>IF($V15="","",SUMIF(BASE_PRODUTOS!$I:$I,$V15,BASE_PRODUTOS!$N:$N))</f>
        <v>0</v>
      </c>
      <c r="Z15" s="10">
        <v>2.75</v>
      </c>
      <c r="AA15" s="10">
        <v>1.85</v>
      </c>
      <c r="AB15" s="10">
        <v>0.95</v>
      </c>
      <c r="AC15" s="10">
        <f t="shared" si="2"/>
        <v>4.8331249999999999</v>
      </c>
      <c r="AD15" s="10">
        <f t="shared" si="3"/>
        <v>0</v>
      </c>
    </row>
    <row r="16" spans="1:30" ht="18.75" customHeight="1" x14ac:dyDescent="0.35">
      <c r="A16" s="8">
        <v>7</v>
      </c>
      <c r="B16" s="9"/>
      <c r="C16" s="9"/>
      <c r="D16" s="9" t="str">
        <f>IFERROR(VLOOKUP(B16,LISTAS!$A:$C,2,FALSE()),"")</f>
        <v/>
      </c>
      <c r="E16" s="9">
        <f>IFERROR(VLOOKUP(B16,LISTAS!$A:$C,3,FALSE()),0)</f>
        <v>0</v>
      </c>
      <c r="F16" s="9">
        <f t="shared" si="0"/>
        <v>0</v>
      </c>
      <c r="G16" t="str">
        <f ca="1">IFERROR(_xludf.aggregate(15,6,(ROW(BASE_PRODUTOS!$L$2:$L$1006)-ROW(BASE_PRODUTOS!$L$2)+1)/(BASE_PRODUTOS!$L$2:$L$1006&gt;0),ROWS($G$10:G16)),"")</f>
        <v/>
      </c>
      <c r="H16" s="9" t="str">
        <f ca="1">IF($G16="","",INDEX(BASE_PRODUTOS!$B$2:$B$1006,$G16))</f>
        <v/>
      </c>
      <c r="I16" s="9" t="str">
        <f ca="1">IF($G16="","",INDEX(BASE_PRODUTOS!$L$2:$L$1006,$G16))</f>
        <v/>
      </c>
      <c r="J16" s="9" t="str">
        <f ca="1">IF($G16="","",INDEX(BASE_PRODUTOS!$A$2:$A$1006,$G16))</f>
        <v/>
      </c>
      <c r="K16" s="9" t="str">
        <f ca="1">IF($G16="","",INDEX(BASE_PRODUTOS!$C$2:$C$1006,$G16))</f>
        <v/>
      </c>
      <c r="L16" s="9" t="str">
        <f ca="1">IF($G16="","",INDEX(BASE_PRODUTOS!$E$2:$E$1006,$G16))</f>
        <v/>
      </c>
      <c r="M16" s="9" t="str">
        <f ca="1">IF($G16="","",INDEX(BASE_PRODUTOS!$F$2:$F$1006,$G16))</f>
        <v/>
      </c>
      <c r="N16" s="9" t="str">
        <f ca="1">IF($G16="","",INDEX(BASE_PRODUTOS!$G$2:$G$1006,$G16))</f>
        <v/>
      </c>
      <c r="O16" s="9" t="str">
        <f ca="1">IF($G16="","",INDEX(BASE_PRODUTOS!$H$2:$H$1006,$G16))</f>
        <v/>
      </c>
      <c r="P16" s="9" t="str">
        <f ca="1">IF($G16="","",INDEX(BASE_PRODUTOS!$I$2:$I$1006,$G16))</f>
        <v/>
      </c>
      <c r="Q16" s="9" t="str">
        <f ca="1">IF($G16="","",INDEX(BASE_PRODUTOS!$J$2:$J$1006,$G16))</f>
        <v/>
      </c>
      <c r="R16" s="9" t="str">
        <f ca="1">IF($G16="","",INDEX(BASE_PRODUTOS!$M$2:$M$1006,$G16))</f>
        <v/>
      </c>
      <c r="S16" s="9" t="str">
        <f ca="1">IF($G16="","",INDEX(BASE_PRODUTOS!$N$2:$N$1006,$G16))</f>
        <v/>
      </c>
      <c r="T16" s="9" t="str">
        <f ca="1">IF($G16="","",INDEX(BASE_PRODUTOS!$D$2:$D$1006,$G16))</f>
        <v/>
      </c>
      <c r="V16" s="10" t="s">
        <v>2985</v>
      </c>
      <c r="W16" s="10" t="str">
        <f t="shared" si="1"/>
        <v>003 x 002 m</v>
      </c>
      <c r="X16" s="10">
        <f>IF($V16="","",SUMIF(BASE_PRODUTOS!$I:$I,$V16,BASE_PRODUTOS!$M:$M))</f>
        <v>0</v>
      </c>
      <c r="Y16" s="10">
        <f>IF($V16="","",SUMIF(BASE_PRODUTOS!$I:$I,$V16,BASE_PRODUTOS!$N:$N))</f>
        <v>0</v>
      </c>
      <c r="Z16" s="10">
        <v>2.75</v>
      </c>
      <c r="AA16" s="10">
        <v>1.85</v>
      </c>
      <c r="AB16" s="10">
        <v>0.95</v>
      </c>
      <c r="AC16" s="10">
        <f t="shared" si="2"/>
        <v>4.8331249999999999</v>
      </c>
      <c r="AD16" s="10">
        <f t="shared" si="3"/>
        <v>0</v>
      </c>
    </row>
    <row r="17" spans="1:30" ht="18.75" customHeight="1" x14ac:dyDescent="0.35">
      <c r="A17" s="8">
        <v>8</v>
      </c>
      <c r="B17" s="9"/>
      <c r="C17" s="9"/>
      <c r="D17" s="9" t="str">
        <f>IFERROR(VLOOKUP(B17,LISTAS!$A:$C,2,FALSE()),"")</f>
        <v/>
      </c>
      <c r="E17" s="9">
        <f>IFERROR(VLOOKUP(B17,LISTAS!$A:$C,3,FALSE()),0)</f>
        <v>0</v>
      </c>
      <c r="F17" s="9">
        <f t="shared" si="0"/>
        <v>0</v>
      </c>
      <c r="G17" t="str">
        <f ca="1">IFERROR(_xludf.aggregate(15,6,(ROW(BASE_PRODUTOS!$L$2:$L$1006)-ROW(BASE_PRODUTOS!$L$2)+1)/(BASE_PRODUTOS!$L$2:$L$1006&gt;0),ROWS($G$10:G17)),"")</f>
        <v/>
      </c>
      <c r="H17" s="9" t="str">
        <f ca="1">IF($G17="","",INDEX(BASE_PRODUTOS!$B$2:$B$1006,$G17))</f>
        <v/>
      </c>
      <c r="I17" s="9" t="str">
        <f ca="1">IF($G17="","",INDEX(BASE_PRODUTOS!$L$2:$L$1006,$G17))</f>
        <v/>
      </c>
      <c r="J17" s="9" t="str">
        <f ca="1">IF($G17="","",INDEX(BASE_PRODUTOS!$A$2:$A$1006,$G17))</f>
        <v/>
      </c>
      <c r="K17" s="9" t="str">
        <f ca="1">IF($G17="","",INDEX(BASE_PRODUTOS!$C$2:$C$1006,$G17))</f>
        <v/>
      </c>
      <c r="L17" s="9" t="str">
        <f ca="1">IF($G17="","",INDEX(BASE_PRODUTOS!$E$2:$E$1006,$G17))</f>
        <v/>
      </c>
      <c r="M17" s="9" t="str">
        <f ca="1">IF($G17="","",INDEX(BASE_PRODUTOS!$F$2:$F$1006,$G17))</f>
        <v/>
      </c>
      <c r="N17" s="9" t="str">
        <f ca="1">IF($G17="","",INDEX(BASE_PRODUTOS!$G$2:$G$1006,$G17))</f>
        <v/>
      </c>
      <c r="O17" s="9" t="str">
        <f ca="1">IF($G17="","",INDEX(BASE_PRODUTOS!$H$2:$H$1006,$G17))</f>
        <v/>
      </c>
      <c r="P17" s="9" t="str">
        <f ca="1">IF($G17="","",INDEX(BASE_PRODUTOS!$I$2:$I$1006,$G17))</f>
        <v/>
      </c>
      <c r="Q17" s="9" t="str">
        <f ca="1">IF($G17="","",INDEX(BASE_PRODUTOS!$J$2:$J$1006,$G17))</f>
        <v/>
      </c>
      <c r="R17" s="9" t="str">
        <f ca="1">IF($G17="","",INDEX(BASE_PRODUTOS!$M$2:$M$1006,$G17))</f>
        <v/>
      </c>
      <c r="S17" s="9" t="str">
        <f ca="1">IF($G17="","",INDEX(BASE_PRODUTOS!$N$2:$N$1006,$G17))</f>
        <v/>
      </c>
      <c r="T17" s="9" t="str">
        <f ca="1">IF($G17="","",INDEX(BASE_PRODUTOS!$D$2:$D$1006,$G17))</f>
        <v/>
      </c>
      <c r="V17" s="10" t="s">
        <v>2986</v>
      </c>
      <c r="W17" s="10" t="str">
        <f t="shared" si="1"/>
        <v>003 x 002 m</v>
      </c>
      <c r="X17" s="10">
        <f>IF($V17="","",SUMIF(BASE_PRODUTOS!$I:$I,$V17,BASE_PRODUTOS!$M:$M))</f>
        <v>0</v>
      </c>
      <c r="Y17" s="10">
        <f>IF($V17="","",SUMIF(BASE_PRODUTOS!$I:$I,$V17,BASE_PRODUTOS!$N:$N))</f>
        <v>0</v>
      </c>
      <c r="Z17" s="10">
        <v>2.75</v>
      </c>
      <c r="AA17" s="10">
        <v>1.85</v>
      </c>
      <c r="AB17" s="10">
        <v>0.95</v>
      </c>
      <c r="AC17" s="10">
        <f t="shared" si="2"/>
        <v>4.8331249999999999</v>
      </c>
      <c r="AD17" s="10">
        <f t="shared" si="3"/>
        <v>0</v>
      </c>
    </row>
    <row r="18" spans="1:30" ht="18.75" customHeight="1" x14ac:dyDescent="0.35">
      <c r="A18" s="8">
        <v>9</v>
      </c>
      <c r="B18" s="9"/>
      <c r="C18" s="9"/>
      <c r="D18" s="9" t="str">
        <f>IFERROR(VLOOKUP(B18,LISTAS!$A:$C,2,FALSE()),"")</f>
        <v/>
      </c>
      <c r="E18" s="9">
        <f>IFERROR(VLOOKUP(B18,LISTAS!$A:$C,3,FALSE()),0)</f>
        <v>0</v>
      </c>
      <c r="F18" s="9">
        <f t="shared" si="0"/>
        <v>0</v>
      </c>
      <c r="G18" t="str">
        <f ca="1">IFERROR(_xludf.aggregate(15,6,(ROW(BASE_PRODUTOS!$L$2:$L$1006)-ROW(BASE_PRODUTOS!$L$2)+1)/(BASE_PRODUTOS!$L$2:$L$1006&gt;0),ROWS($G$10:G18)),"")</f>
        <v/>
      </c>
      <c r="H18" s="9" t="str">
        <f ca="1">IF($G18="","",INDEX(BASE_PRODUTOS!$B$2:$B$1006,$G18))</f>
        <v/>
      </c>
      <c r="I18" s="9" t="str">
        <f ca="1">IF($G18="","",INDEX(BASE_PRODUTOS!$L$2:$L$1006,$G18))</f>
        <v/>
      </c>
      <c r="J18" s="9" t="str">
        <f ca="1">IF($G18="","",INDEX(BASE_PRODUTOS!$A$2:$A$1006,$G18))</f>
        <v/>
      </c>
      <c r="K18" s="9" t="str">
        <f ca="1">IF($G18="","",INDEX(BASE_PRODUTOS!$C$2:$C$1006,$G18))</f>
        <v/>
      </c>
      <c r="L18" s="9" t="str">
        <f ca="1">IF($G18="","",INDEX(BASE_PRODUTOS!$E$2:$E$1006,$G18))</f>
        <v/>
      </c>
      <c r="M18" s="9" t="str">
        <f ca="1">IF($G18="","",INDEX(BASE_PRODUTOS!$F$2:$F$1006,$G18))</f>
        <v/>
      </c>
      <c r="N18" s="9" t="str">
        <f ca="1">IF($G18="","",INDEX(BASE_PRODUTOS!$G$2:$G$1006,$G18))</f>
        <v/>
      </c>
      <c r="O18" s="9" t="str">
        <f ca="1">IF($G18="","",INDEX(BASE_PRODUTOS!$H$2:$H$1006,$G18))</f>
        <v/>
      </c>
      <c r="P18" s="9" t="str">
        <f ca="1">IF($G18="","",INDEX(BASE_PRODUTOS!$I$2:$I$1006,$G18))</f>
        <v/>
      </c>
      <c r="Q18" s="9" t="str">
        <f ca="1">IF($G18="","",INDEX(BASE_PRODUTOS!$J$2:$J$1006,$G18))</f>
        <v/>
      </c>
      <c r="R18" s="9" t="str">
        <f ca="1">IF($G18="","",INDEX(BASE_PRODUTOS!$M$2:$M$1006,$G18))</f>
        <v/>
      </c>
      <c r="S18" s="9" t="str">
        <f ca="1">IF($G18="","",INDEX(BASE_PRODUTOS!$N$2:$N$1006,$G18))</f>
        <v/>
      </c>
      <c r="T18" s="9" t="str">
        <f ca="1">IF($G18="","",INDEX(BASE_PRODUTOS!$D$2:$D$1006,$G18))</f>
        <v/>
      </c>
      <c r="V18" s="10" t="s">
        <v>2987</v>
      </c>
      <c r="W18" s="10" t="str">
        <f t="shared" si="1"/>
        <v>003 x 002 m</v>
      </c>
      <c r="X18" s="10">
        <f>IF($V18="","",SUMIF(BASE_PRODUTOS!$I:$I,$V18,BASE_PRODUTOS!$M:$M))</f>
        <v>0</v>
      </c>
      <c r="Y18" s="10">
        <f>IF($V18="","",SUMIF(BASE_PRODUTOS!$I:$I,$V18,BASE_PRODUTOS!$N:$N))</f>
        <v>0</v>
      </c>
      <c r="Z18" s="10">
        <v>2.75</v>
      </c>
      <c r="AA18" s="10">
        <v>1.85</v>
      </c>
      <c r="AB18" s="10">
        <v>0.95</v>
      </c>
      <c r="AC18" s="10">
        <f t="shared" si="2"/>
        <v>4.8331249999999999</v>
      </c>
      <c r="AD18" s="10">
        <f t="shared" si="3"/>
        <v>0</v>
      </c>
    </row>
    <row r="19" spans="1:30" ht="18.75" customHeight="1" x14ac:dyDescent="0.35">
      <c r="A19" s="8">
        <v>10</v>
      </c>
      <c r="B19" s="9"/>
      <c r="C19" s="9"/>
      <c r="D19" s="9" t="str">
        <f>IFERROR(VLOOKUP(B19,LISTAS!$A:$C,2,FALSE()),"")</f>
        <v/>
      </c>
      <c r="E19" s="9">
        <f>IFERROR(VLOOKUP(B19,LISTAS!$A:$C,3,FALSE()),0)</f>
        <v>0</v>
      </c>
      <c r="F19" s="9">
        <f t="shared" si="0"/>
        <v>0</v>
      </c>
      <c r="G19" t="str">
        <f ca="1">IFERROR(_xludf.aggregate(15,6,(ROW(BASE_PRODUTOS!$L$2:$L$1006)-ROW(BASE_PRODUTOS!$L$2)+1)/(BASE_PRODUTOS!$L$2:$L$1006&gt;0),ROWS($G$10:G19)),"")</f>
        <v/>
      </c>
      <c r="H19" s="9" t="str">
        <f ca="1">IF($G19="","",INDEX(BASE_PRODUTOS!$B$2:$B$1006,$G19))</f>
        <v/>
      </c>
      <c r="I19" s="9" t="str">
        <f ca="1">IF($G19="","",INDEX(BASE_PRODUTOS!$L$2:$L$1006,$G19))</f>
        <v/>
      </c>
      <c r="J19" s="9" t="str">
        <f ca="1">IF($G19="","",INDEX(BASE_PRODUTOS!$A$2:$A$1006,$G19))</f>
        <v/>
      </c>
      <c r="K19" s="9" t="str">
        <f ca="1">IF($G19="","",INDEX(BASE_PRODUTOS!$C$2:$C$1006,$G19))</f>
        <v/>
      </c>
      <c r="L19" s="9" t="str">
        <f ca="1">IF($G19="","",INDEX(BASE_PRODUTOS!$E$2:$E$1006,$G19))</f>
        <v/>
      </c>
      <c r="M19" s="9" t="str">
        <f ca="1">IF($G19="","",INDEX(BASE_PRODUTOS!$F$2:$F$1006,$G19))</f>
        <v/>
      </c>
      <c r="N19" s="9" t="str">
        <f ca="1">IF($G19="","",INDEX(BASE_PRODUTOS!$G$2:$G$1006,$G19))</f>
        <v/>
      </c>
      <c r="O19" s="9" t="str">
        <f ca="1">IF($G19="","",INDEX(BASE_PRODUTOS!$H$2:$H$1006,$G19))</f>
        <v/>
      </c>
      <c r="P19" s="9" t="str">
        <f ca="1">IF($G19="","",INDEX(BASE_PRODUTOS!$I$2:$I$1006,$G19))</f>
        <v/>
      </c>
      <c r="Q19" s="9" t="str">
        <f ca="1">IF($G19="","",INDEX(BASE_PRODUTOS!$J$2:$J$1006,$G19))</f>
        <v/>
      </c>
      <c r="R19" s="9" t="str">
        <f ca="1">IF($G19="","",INDEX(BASE_PRODUTOS!$M$2:$M$1006,$G19))</f>
        <v/>
      </c>
      <c r="S19" s="9" t="str">
        <f ca="1">IF($G19="","",INDEX(BASE_PRODUTOS!$N$2:$N$1006,$G19))</f>
        <v/>
      </c>
      <c r="T19" s="9" t="str">
        <f ca="1">IF($G19="","",INDEX(BASE_PRODUTOS!$D$2:$D$1006,$G19))</f>
        <v/>
      </c>
      <c r="V19" s="10" t="s">
        <v>2988</v>
      </c>
      <c r="W19" s="10" t="str">
        <f t="shared" si="1"/>
        <v>003 x 002 m</v>
      </c>
      <c r="X19" s="10">
        <f>IF($V19="","",SUMIF(BASE_PRODUTOS!$I:$I,$V19,BASE_PRODUTOS!$M:$M))</f>
        <v>0</v>
      </c>
      <c r="Y19" s="10">
        <f>IF($V19="","",SUMIF(BASE_PRODUTOS!$I:$I,$V19,BASE_PRODUTOS!$N:$N))</f>
        <v>0</v>
      </c>
      <c r="Z19" s="10">
        <v>2.75</v>
      </c>
      <c r="AA19" s="10">
        <v>1.85</v>
      </c>
      <c r="AB19" s="10">
        <v>0.95</v>
      </c>
      <c r="AC19" s="10">
        <f t="shared" si="2"/>
        <v>4.8331249999999999</v>
      </c>
      <c r="AD19" s="10">
        <f t="shared" si="3"/>
        <v>0</v>
      </c>
    </row>
    <row r="20" spans="1:30" ht="18.75" customHeight="1" x14ac:dyDescent="0.35">
      <c r="A20" s="8">
        <v>11</v>
      </c>
      <c r="B20" s="9"/>
      <c r="C20" s="9"/>
      <c r="D20" s="9" t="str">
        <f>IFERROR(VLOOKUP(B20,LISTAS!$A:$C,2,FALSE()),"")</f>
        <v/>
      </c>
      <c r="E20" s="9">
        <f>IFERROR(VLOOKUP(B20,LISTAS!$A:$C,3,FALSE()),0)</f>
        <v>0</v>
      </c>
      <c r="F20" s="9">
        <f t="shared" si="0"/>
        <v>0</v>
      </c>
      <c r="G20" t="str">
        <f ca="1">IFERROR(_xludf.aggregate(15,6,(ROW(BASE_PRODUTOS!$L$2:$L$1006)-ROW(BASE_PRODUTOS!$L$2)+1)/(BASE_PRODUTOS!$L$2:$L$1006&gt;0),ROWS($G$10:G20)),"")</f>
        <v/>
      </c>
      <c r="H20" s="9" t="str">
        <f ca="1">IF($G20="","",INDEX(BASE_PRODUTOS!$B$2:$B$1006,$G20))</f>
        <v/>
      </c>
      <c r="I20" s="9" t="str">
        <f ca="1">IF($G20="","",INDEX(BASE_PRODUTOS!$L$2:$L$1006,$G20))</f>
        <v/>
      </c>
      <c r="J20" s="9" t="str">
        <f ca="1">IF($G20="","",INDEX(BASE_PRODUTOS!$A$2:$A$1006,$G20))</f>
        <v/>
      </c>
      <c r="K20" s="9" t="str">
        <f ca="1">IF($G20="","",INDEX(BASE_PRODUTOS!$C$2:$C$1006,$G20))</f>
        <v/>
      </c>
      <c r="L20" s="9" t="str">
        <f ca="1">IF($G20="","",INDEX(BASE_PRODUTOS!$E$2:$E$1006,$G20))</f>
        <v/>
      </c>
      <c r="M20" s="9" t="str">
        <f ca="1">IF($G20="","",INDEX(BASE_PRODUTOS!$F$2:$F$1006,$G20))</f>
        <v/>
      </c>
      <c r="N20" s="9" t="str">
        <f ca="1">IF($G20="","",INDEX(BASE_PRODUTOS!$G$2:$G$1006,$G20))</f>
        <v/>
      </c>
      <c r="O20" s="9" t="str">
        <f ca="1">IF($G20="","",INDEX(BASE_PRODUTOS!$H$2:$H$1006,$G20))</f>
        <v/>
      </c>
      <c r="P20" s="9" t="str">
        <f ca="1">IF($G20="","",INDEX(BASE_PRODUTOS!$I$2:$I$1006,$G20))</f>
        <v/>
      </c>
      <c r="Q20" s="9" t="str">
        <f ca="1">IF($G20="","",INDEX(BASE_PRODUTOS!$J$2:$J$1006,$G20))</f>
        <v/>
      </c>
      <c r="R20" s="9" t="str">
        <f ca="1">IF($G20="","",INDEX(BASE_PRODUTOS!$M$2:$M$1006,$G20))</f>
        <v/>
      </c>
      <c r="S20" s="9" t="str">
        <f ca="1">IF($G20="","",INDEX(BASE_PRODUTOS!$N$2:$N$1006,$G20))</f>
        <v/>
      </c>
      <c r="T20" s="9" t="str">
        <f ca="1">IF($G20="","",INDEX(BASE_PRODUTOS!$D$2:$D$1006,$G20))</f>
        <v/>
      </c>
      <c r="V20" s="10" t="s">
        <v>3154</v>
      </c>
      <c r="W20" s="10" t="str">
        <f t="shared" si="1"/>
        <v>003 x 002 m</v>
      </c>
      <c r="X20" s="10">
        <f>IF($V20="","",SUMIF(BASE_PRODUTOS!$I:$I,$V20,BASE_PRODUTOS!$M:$M))</f>
        <v>0</v>
      </c>
      <c r="Y20" s="10">
        <f>IF($V20="","",SUMIF(BASE_PRODUTOS!$I:$I,$V20,BASE_PRODUTOS!$N:$N))</f>
        <v>0</v>
      </c>
      <c r="Z20" s="10">
        <v>2.75</v>
      </c>
      <c r="AA20" s="10">
        <v>1.85</v>
      </c>
      <c r="AB20" s="10">
        <v>0.95</v>
      </c>
      <c r="AC20" s="10">
        <f t="shared" si="2"/>
        <v>4.8331249999999999</v>
      </c>
      <c r="AD20" s="10">
        <f t="shared" si="3"/>
        <v>0</v>
      </c>
    </row>
    <row r="21" spans="1:30" ht="18.75" customHeight="1" x14ac:dyDescent="0.35">
      <c r="A21" s="8">
        <v>12</v>
      </c>
      <c r="B21" s="9"/>
      <c r="C21" s="9"/>
      <c r="D21" s="9" t="str">
        <f>IFERROR(VLOOKUP(B21,LISTAS!$A:$C,2,FALSE()),"")</f>
        <v/>
      </c>
      <c r="E21" s="9">
        <f>IFERROR(VLOOKUP(B21,LISTAS!$A:$C,3,FALSE()),0)</f>
        <v>0</v>
      </c>
      <c r="F21" s="9">
        <f t="shared" si="0"/>
        <v>0</v>
      </c>
      <c r="G21" t="str">
        <f ca="1">IFERROR(_xludf.aggregate(15,6,(ROW(BASE_PRODUTOS!$L$2:$L$1006)-ROW(BASE_PRODUTOS!$L$2)+1)/(BASE_PRODUTOS!$L$2:$L$1006&gt;0),ROWS($G$10:G21)),"")</f>
        <v/>
      </c>
      <c r="H21" s="9" t="str">
        <f ca="1">IF($G21="","",INDEX(BASE_PRODUTOS!$B$2:$B$1006,$G21))</f>
        <v/>
      </c>
      <c r="I21" s="9" t="str">
        <f ca="1">IF($G21="","",INDEX(BASE_PRODUTOS!$L$2:$L$1006,$G21))</f>
        <v/>
      </c>
      <c r="J21" s="9" t="str">
        <f ca="1">IF($G21="","",INDEX(BASE_PRODUTOS!$A$2:$A$1006,$G21))</f>
        <v/>
      </c>
      <c r="K21" s="9" t="str">
        <f ca="1">IF($G21="","",INDEX(BASE_PRODUTOS!$C$2:$C$1006,$G21))</f>
        <v/>
      </c>
      <c r="L21" s="9" t="str">
        <f ca="1">IF($G21="","",INDEX(BASE_PRODUTOS!$E$2:$E$1006,$G21))</f>
        <v/>
      </c>
      <c r="M21" s="9" t="str">
        <f ca="1">IF($G21="","",INDEX(BASE_PRODUTOS!$F$2:$F$1006,$G21))</f>
        <v/>
      </c>
      <c r="N21" s="9" t="str">
        <f ca="1">IF($G21="","",INDEX(BASE_PRODUTOS!$G$2:$G$1006,$G21))</f>
        <v/>
      </c>
      <c r="O21" s="9" t="str">
        <f ca="1">IF($G21="","",INDEX(BASE_PRODUTOS!$H$2:$H$1006,$G21))</f>
        <v/>
      </c>
      <c r="P21" s="9" t="str">
        <f ca="1">IF($G21="","",INDEX(BASE_PRODUTOS!$I$2:$I$1006,$G21))</f>
        <v/>
      </c>
      <c r="Q21" s="9" t="str">
        <f ca="1">IF($G21="","",INDEX(BASE_PRODUTOS!$J$2:$J$1006,$G21))</f>
        <v/>
      </c>
      <c r="R21" s="9" t="str">
        <f ca="1">IF($G21="","",INDEX(BASE_PRODUTOS!$M$2:$M$1006,$G21))</f>
        <v/>
      </c>
      <c r="S21" s="9" t="str">
        <f ca="1">IF($G21="","",INDEX(BASE_PRODUTOS!$N$2:$N$1006,$G21))</f>
        <v/>
      </c>
      <c r="T21" s="9" t="str">
        <f ca="1">IF($G21="","",INDEX(BASE_PRODUTOS!$D$2:$D$1006,$G21))</f>
        <v/>
      </c>
      <c r="V21" s="10">
        <f>IFERROR(INDEX(LISTAS!$G:$G,37),"")</f>
        <v>0</v>
      </c>
      <c r="W21" s="10" t="str">
        <f t="shared" si="1"/>
        <v>003 x 002 m</v>
      </c>
      <c r="X21" s="10">
        <f>IF($V21="","",SUMIF(BASE_PRODUTOS!$I:$I,$V21,BASE_PRODUTOS!$M:$M))</f>
        <v>0</v>
      </c>
      <c r="Y21" s="10">
        <f>IF($V21="","",SUMIF(BASE_PRODUTOS!$I:$I,$V21,BASE_PRODUTOS!$N:$N))</f>
        <v>0</v>
      </c>
      <c r="Z21" s="10">
        <v>2.75</v>
      </c>
      <c r="AA21" s="10">
        <v>1.85</v>
      </c>
      <c r="AB21" s="10">
        <v>0.95</v>
      </c>
      <c r="AC21" s="10">
        <f t="shared" si="2"/>
        <v>4.8331249999999999</v>
      </c>
      <c r="AD21" s="10">
        <f t="shared" si="3"/>
        <v>0</v>
      </c>
    </row>
    <row r="22" spans="1:30" ht="18.75" customHeight="1" x14ac:dyDescent="0.35">
      <c r="A22" s="8">
        <v>13</v>
      </c>
      <c r="B22" s="9"/>
      <c r="C22" s="9"/>
      <c r="D22" s="9" t="str">
        <f>IFERROR(VLOOKUP(B22,LISTAS!$A:$C,2,FALSE()),"")</f>
        <v/>
      </c>
      <c r="E22" s="9">
        <f>IFERROR(VLOOKUP(B22,LISTAS!$A:$C,3,FALSE()),0)</f>
        <v>0</v>
      </c>
      <c r="F22" s="9">
        <f t="shared" si="0"/>
        <v>0</v>
      </c>
      <c r="G22" t="str">
        <f ca="1">IFERROR(_xludf.aggregate(15,6,(ROW(BASE_PRODUTOS!$L$2:$L$1006)-ROW(BASE_PRODUTOS!$L$2)+1)/(BASE_PRODUTOS!$L$2:$L$1006&gt;0),ROWS($G$10:G22)),"")</f>
        <v/>
      </c>
      <c r="H22" s="9" t="str">
        <f ca="1">IF($G22="","",INDEX(BASE_PRODUTOS!$B$2:$B$1006,$G22))</f>
        <v/>
      </c>
      <c r="I22" s="9" t="str">
        <f ca="1">IF($G22="","",INDEX(BASE_PRODUTOS!$L$2:$L$1006,$G22))</f>
        <v/>
      </c>
      <c r="J22" s="9" t="str">
        <f ca="1">IF($G22="","",INDEX(BASE_PRODUTOS!$A$2:$A$1006,$G22))</f>
        <v/>
      </c>
      <c r="K22" s="9" t="str">
        <f ca="1">IF($G22="","",INDEX(BASE_PRODUTOS!$C$2:$C$1006,$G22))</f>
        <v/>
      </c>
      <c r="L22" s="9" t="str">
        <f ca="1">IF($G22="","",INDEX(BASE_PRODUTOS!$E$2:$E$1006,$G22))</f>
        <v/>
      </c>
      <c r="M22" s="9" t="str">
        <f ca="1">IF($G22="","",INDEX(BASE_PRODUTOS!$F$2:$F$1006,$G22))</f>
        <v/>
      </c>
      <c r="N22" s="9" t="str">
        <f ca="1">IF($G22="","",INDEX(BASE_PRODUTOS!$G$2:$G$1006,$G22))</f>
        <v/>
      </c>
      <c r="O22" s="9" t="str">
        <f ca="1">IF($G22="","",INDEX(BASE_PRODUTOS!$H$2:$H$1006,$G22))</f>
        <v/>
      </c>
      <c r="P22" s="9" t="str">
        <f ca="1">IF($G22="","",INDEX(BASE_PRODUTOS!$I$2:$I$1006,$G22))</f>
        <v/>
      </c>
      <c r="Q22" s="9" t="str">
        <f ca="1">IF($G22="","",INDEX(BASE_PRODUTOS!$J$2:$J$1006,$G22))</f>
        <v/>
      </c>
      <c r="R22" s="9" t="str">
        <f ca="1">IF($G22="","",INDEX(BASE_PRODUTOS!$M$2:$M$1006,$G22))</f>
        <v/>
      </c>
      <c r="S22" s="9" t="str">
        <f ca="1">IF($G22="","",INDEX(BASE_PRODUTOS!$N$2:$N$1006,$G22))</f>
        <v/>
      </c>
      <c r="T22" s="9" t="str">
        <f ca="1">IF($G22="","",INDEX(BASE_PRODUTOS!$D$2:$D$1006,$G22))</f>
        <v/>
      </c>
      <c r="V22" s="10"/>
      <c r="W22" s="10"/>
      <c r="X22" s="10"/>
      <c r="Y22" s="10"/>
      <c r="Z22" s="10"/>
      <c r="AA22" s="10"/>
      <c r="AB22" s="10"/>
      <c r="AC22" s="10"/>
      <c r="AD22" s="10"/>
    </row>
    <row r="23" spans="1:30" ht="18.75" customHeight="1" x14ac:dyDescent="0.35">
      <c r="A23" s="8">
        <v>14</v>
      </c>
      <c r="B23" s="9"/>
      <c r="C23" s="9"/>
      <c r="D23" s="9" t="str">
        <f>IFERROR(VLOOKUP(B23,LISTAS!$A:$C,2,FALSE()),"")</f>
        <v/>
      </c>
      <c r="E23" s="9">
        <f>IFERROR(VLOOKUP(B23,LISTAS!$A:$C,3,FALSE()),0)</f>
        <v>0</v>
      </c>
      <c r="F23" s="9">
        <f t="shared" si="0"/>
        <v>0</v>
      </c>
      <c r="G23" t="str">
        <f ca="1">IFERROR(_xludf.aggregate(15,6,(ROW(BASE_PRODUTOS!$L$2:$L$1006)-ROW(BASE_PRODUTOS!$L$2)+1)/(BASE_PRODUTOS!$L$2:$L$1006&gt;0),ROWS($G$10:G23)),"")</f>
        <v/>
      </c>
      <c r="H23" s="9" t="str">
        <f ca="1">IF($G23="","",INDEX(BASE_PRODUTOS!$B$2:$B$1006,$G23))</f>
        <v/>
      </c>
      <c r="I23" s="9" t="str">
        <f ca="1">IF($G23="","",INDEX(BASE_PRODUTOS!$L$2:$L$1006,$G23))</f>
        <v/>
      </c>
      <c r="J23" s="9" t="str">
        <f ca="1">IF($G23="","",INDEX(BASE_PRODUTOS!$A$2:$A$1006,$G23))</f>
        <v/>
      </c>
      <c r="K23" s="9" t="str">
        <f ca="1">IF($G23="","",INDEX(BASE_PRODUTOS!$C$2:$C$1006,$G23))</f>
        <v/>
      </c>
      <c r="L23" s="9" t="str">
        <f ca="1">IF($G23="","",INDEX(BASE_PRODUTOS!$E$2:$E$1006,$G23))</f>
        <v/>
      </c>
      <c r="M23" s="9" t="str">
        <f ca="1">IF($G23="","",INDEX(BASE_PRODUTOS!$F$2:$F$1006,$G23))</f>
        <v/>
      </c>
      <c r="N23" s="9" t="str">
        <f ca="1">IF($G23="","",INDEX(BASE_PRODUTOS!$G$2:$G$1006,$G23))</f>
        <v/>
      </c>
      <c r="O23" s="9" t="str">
        <f ca="1">IF($G23="","",INDEX(BASE_PRODUTOS!$H$2:$H$1006,$G23))</f>
        <v/>
      </c>
      <c r="P23" s="9" t="str">
        <f ca="1">IF($G23="","",INDEX(BASE_PRODUTOS!$I$2:$I$1006,$G23))</f>
        <v/>
      </c>
      <c r="Q23" s="9" t="str">
        <f ca="1">IF($G23="","",INDEX(BASE_PRODUTOS!$J$2:$J$1006,$G23))</f>
        <v/>
      </c>
      <c r="R23" s="9" t="str">
        <f ca="1">IF($G23="","",INDEX(BASE_PRODUTOS!$M$2:$M$1006,$G23))</f>
        <v/>
      </c>
      <c r="S23" s="9" t="str">
        <f ca="1">IF($G23="","",INDEX(BASE_PRODUTOS!$N$2:$N$1006,$G23))</f>
        <v/>
      </c>
      <c r="T23" s="9" t="str">
        <f ca="1">IF($G23="","",INDEX(BASE_PRODUTOS!$D$2:$D$1006,$G23))</f>
        <v/>
      </c>
      <c r="V23" s="11" t="s">
        <v>2989</v>
      </c>
      <c r="W23" s="11"/>
      <c r="X23" s="10">
        <f>SUM(X10:X21)</f>
        <v>0</v>
      </c>
      <c r="Y23" s="11">
        <f>SUM(Y10:Y21)</f>
        <v>0</v>
      </c>
      <c r="Z23" s="11"/>
      <c r="AA23" s="11"/>
      <c r="AB23" s="11"/>
      <c r="AC23" s="11"/>
      <c r="AD23" s="10">
        <f>SUM(AD10:AD21)</f>
        <v>0</v>
      </c>
    </row>
    <row r="24" spans="1:30" ht="18.75" customHeight="1" x14ac:dyDescent="0.35">
      <c r="A24" s="8">
        <v>15</v>
      </c>
      <c r="B24" s="9"/>
      <c r="C24" s="9"/>
      <c r="D24" s="9" t="str">
        <f>IFERROR(VLOOKUP(B24,LISTAS!$A:$C,2,FALSE()),"")</f>
        <v/>
      </c>
      <c r="E24" s="9">
        <f>IFERROR(VLOOKUP(B24,LISTAS!$A:$C,3,FALSE()),0)</f>
        <v>0</v>
      </c>
      <c r="F24" s="9">
        <f t="shared" si="0"/>
        <v>0</v>
      </c>
      <c r="G24" t="str">
        <f ca="1">IFERROR(_xludf.aggregate(15,6,(ROW(BASE_PRODUTOS!$L$2:$L$1006)-ROW(BASE_PRODUTOS!$L$2)+1)/(BASE_PRODUTOS!$L$2:$L$1006&gt;0),ROWS($G$10:G24)),"")</f>
        <v/>
      </c>
      <c r="H24" s="9" t="str">
        <f ca="1">IF($G24="","",INDEX(BASE_PRODUTOS!$B$2:$B$1006,$G24))</f>
        <v/>
      </c>
      <c r="I24" s="9" t="str">
        <f ca="1">IF($G24="","",INDEX(BASE_PRODUTOS!$L$2:$L$1006,$G24))</f>
        <v/>
      </c>
      <c r="J24" s="9" t="str">
        <f ca="1">IF($G24="","",INDEX(BASE_PRODUTOS!$A$2:$A$1006,$G24))</f>
        <v/>
      </c>
      <c r="K24" s="9" t="str">
        <f ca="1">IF($G24="","",INDEX(BASE_PRODUTOS!$C$2:$C$1006,$G24))</f>
        <v/>
      </c>
      <c r="L24" s="9" t="str">
        <f ca="1">IF($G24="","",INDEX(BASE_PRODUTOS!$E$2:$E$1006,$G24))</f>
        <v/>
      </c>
      <c r="M24" s="9" t="str">
        <f ca="1">IF($G24="","",INDEX(BASE_PRODUTOS!$F$2:$F$1006,$G24))</f>
        <v/>
      </c>
      <c r="N24" s="9" t="str">
        <f ca="1">IF($G24="","",INDEX(BASE_PRODUTOS!$G$2:$G$1006,$G24))</f>
        <v/>
      </c>
      <c r="O24" s="9" t="str">
        <f ca="1">IF($G24="","",INDEX(BASE_PRODUTOS!$H$2:$H$1006,$G24))</f>
        <v/>
      </c>
      <c r="P24" s="9" t="str">
        <f ca="1">IF($G24="","",INDEX(BASE_PRODUTOS!$I$2:$I$1006,$G24))</f>
        <v/>
      </c>
      <c r="Q24" s="9" t="str">
        <f ca="1">IF($G24="","",INDEX(BASE_PRODUTOS!$J$2:$J$1006,$G24))</f>
        <v/>
      </c>
      <c r="R24" s="9" t="str">
        <f ca="1">IF($G24="","",INDEX(BASE_PRODUTOS!$M$2:$M$1006,$G24))</f>
        <v/>
      </c>
      <c r="S24" s="9" t="str">
        <f ca="1">IF($G24="","",INDEX(BASE_PRODUTOS!$N$2:$N$1006,$G24))</f>
        <v/>
      </c>
      <c r="T24" s="9" t="str">
        <f ca="1">IF($G24="","",INDEX(BASE_PRODUTOS!$D$2:$D$1006,$G24))</f>
        <v/>
      </c>
      <c r="V24" s="10"/>
      <c r="W24" s="10"/>
      <c r="X24" s="10"/>
      <c r="Y24" s="10"/>
      <c r="Z24" s="10"/>
      <c r="AA24" s="10"/>
      <c r="AB24" s="10"/>
      <c r="AC24" s="10"/>
      <c r="AD24" s="10"/>
    </row>
    <row r="25" spans="1:30" ht="18.75" customHeight="1" x14ac:dyDescent="0.35">
      <c r="A25" s="8">
        <v>16</v>
      </c>
      <c r="B25" s="9"/>
      <c r="C25" s="9"/>
      <c r="D25" s="9" t="str">
        <f>IFERROR(VLOOKUP(B25,LISTAS!$A:$C,2,FALSE()),"")</f>
        <v/>
      </c>
      <c r="E25" s="9">
        <f>IFERROR(VLOOKUP(B25,LISTAS!$A:$C,3,FALSE()),0)</f>
        <v>0</v>
      </c>
      <c r="F25" s="9">
        <f t="shared" si="0"/>
        <v>0</v>
      </c>
      <c r="G25" t="str">
        <f ca="1">IFERROR(_xludf.aggregate(15,6,(ROW(BASE_PRODUTOS!$L$2:$L$1006)-ROW(BASE_PRODUTOS!$L$2)+1)/(BASE_PRODUTOS!$L$2:$L$1006&gt;0),ROWS($G$10:G25)),"")</f>
        <v/>
      </c>
      <c r="H25" s="9" t="str">
        <f ca="1">IF($G25="","",INDEX(BASE_PRODUTOS!$B$2:$B$1006,$G25))</f>
        <v/>
      </c>
      <c r="I25" s="9" t="str">
        <f ca="1">IF($G25="","",INDEX(BASE_PRODUTOS!$L$2:$L$1006,$G25))</f>
        <v/>
      </c>
      <c r="J25" s="9" t="str">
        <f ca="1">IF($G25="","",INDEX(BASE_PRODUTOS!$A$2:$A$1006,$G25))</f>
        <v/>
      </c>
      <c r="K25" s="9" t="str">
        <f ca="1">IF($G25="","",INDEX(BASE_PRODUTOS!$C$2:$C$1006,$G25))</f>
        <v/>
      </c>
      <c r="L25" s="9" t="str">
        <f ca="1">IF($G25="","",INDEX(BASE_PRODUTOS!$E$2:$E$1006,$G25))</f>
        <v/>
      </c>
      <c r="M25" s="9" t="str">
        <f ca="1">IF($G25="","",INDEX(BASE_PRODUTOS!$F$2:$F$1006,$G25))</f>
        <v/>
      </c>
      <c r="N25" s="9" t="str">
        <f ca="1">IF($G25="","",INDEX(BASE_PRODUTOS!$G$2:$G$1006,$G25))</f>
        <v/>
      </c>
      <c r="O25" s="9" t="str">
        <f ca="1">IF($G25="","",INDEX(BASE_PRODUTOS!$H$2:$H$1006,$G25))</f>
        <v/>
      </c>
      <c r="P25" s="9" t="str">
        <f ca="1">IF($G25="","",INDEX(BASE_PRODUTOS!$I$2:$I$1006,$G25))</f>
        <v/>
      </c>
      <c r="Q25" s="9" t="str">
        <f ca="1">IF($G25="","",INDEX(BASE_PRODUTOS!$J$2:$J$1006,$G25))</f>
        <v/>
      </c>
      <c r="R25" s="9" t="str">
        <f ca="1">IF($G25="","",INDEX(BASE_PRODUTOS!$M$2:$M$1006,$G25))</f>
        <v/>
      </c>
      <c r="S25" s="9" t="str">
        <f ca="1">IF($G25="","",INDEX(BASE_PRODUTOS!$N$2:$N$1006,$G25))</f>
        <v/>
      </c>
      <c r="T25" s="9" t="str">
        <f ca="1">IF($G25="","",INDEX(BASE_PRODUTOS!$D$2:$D$1006,$G25))</f>
        <v/>
      </c>
      <c r="V25" s="10"/>
      <c r="W25" s="10"/>
      <c r="X25" s="10"/>
      <c r="Y25" s="10"/>
      <c r="Z25" s="10"/>
      <c r="AA25" s="10"/>
      <c r="AB25" s="10"/>
      <c r="AC25" s="10"/>
      <c r="AD25" s="10"/>
    </row>
    <row r="26" spans="1:30" ht="18.75" customHeight="1" x14ac:dyDescent="0.35">
      <c r="A26" s="8">
        <v>17</v>
      </c>
      <c r="B26" s="9"/>
      <c r="C26" s="9"/>
      <c r="D26" s="9" t="str">
        <f>IFERROR(VLOOKUP(B26,LISTAS!$A:$C,2,FALSE()),"")</f>
        <v/>
      </c>
      <c r="E26" s="9">
        <f>IFERROR(VLOOKUP(B26,LISTAS!$A:$C,3,FALSE()),0)</f>
        <v>0</v>
      </c>
      <c r="F26" s="9">
        <f t="shared" si="0"/>
        <v>0</v>
      </c>
      <c r="G26" t="str">
        <f ca="1">IFERROR(_xludf.aggregate(15,6,(ROW(BASE_PRODUTOS!$L$2:$L$1006)-ROW(BASE_PRODUTOS!$L$2)+1)/(BASE_PRODUTOS!$L$2:$L$1006&gt;0),ROWS($G$10:G26)),"")</f>
        <v/>
      </c>
      <c r="H26" s="9" t="str">
        <f ca="1">IF($G26="","",INDEX(BASE_PRODUTOS!$B$2:$B$1006,$G26))</f>
        <v/>
      </c>
      <c r="I26" s="9" t="str">
        <f ca="1">IF($G26="","",INDEX(BASE_PRODUTOS!$L$2:$L$1006,$G26))</f>
        <v/>
      </c>
      <c r="J26" s="9" t="str">
        <f ca="1">IF($G26="","",INDEX(BASE_PRODUTOS!$A$2:$A$1006,$G26))</f>
        <v/>
      </c>
      <c r="K26" s="9" t="str">
        <f ca="1">IF($G26="","",INDEX(BASE_PRODUTOS!$C$2:$C$1006,$G26))</f>
        <v/>
      </c>
      <c r="L26" s="9" t="str">
        <f ca="1">IF($G26="","",INDEX(BASE_PRODUTOS!$E$2:$E$1006,$G26))</f>
        <v/>
      </c>
      <c r="M26" s="9" t="str">
        <f ca="1">IF($G26="","",INDEX(BASE_PRODUTOS!$F$2:$F$1006,$G26))</f>
        <v/>
      </c>
      <c r="N26" s="9" t="str">
        <f ca="1">IF($G26="","",INDEX(BASE_PRODUTOS!$G$2:$G$1006,$G26))</f>
        <v/>
      </c>
      <c r="O26" s="9" t="str">
        <f ca="1">IF($G26="","",INDEX(BASE_PRODUTOS!$H$2:$H$1006,$G26))</f>
        <v/>
      </c>
      <c r="P26" s="9" t="str">
        <f ca="1">IF($G26="","",INDEX(BASE_PRODUTOS!$I$2:$I$1006,$G26))</f>
        <v/>
      </c>
      <c r="Q26" s="9" t="str">
        <f ca="1">IF($G26="","",INDEX(BASE_PRODUTOS!$J$2:$J$1006,$G26))</f>
        <v/>
      </c>
      <c r="R26" s="9" t="str">
        <f ca="1">IF($G26="","",INDEX(BASE_PRODUTOS!$M$2:$M$1006,$G26))</f>
        <v/>
      </c>
      <c r="S26" s="9" t="str">
        <f ca="1">IF($G26="","",INDEX(BASE_PRODUTOS!$N$2:$N$1006,$G26))</f>
        <v/>
      </c>
      <c r="T26" s="9" t="str">
        <f ca="1">IF($G26="","",INDEX(BASE_PRODUTOS!$D$2:$D$1006,$G26))</f>
        <v/>
      </c>
      <c r="V26" s="10"/>
      <c r="W26" s="10"/>
      <c r="X26" s="10"/>
      <c r="Y26" s="10"/>
      <c r="Z26" s="10"/>
      <c r="AA26" s="10"/>
      <c r="AB26" s="10"/>
      <c r="AC26" s="10"/>
      <c r="AD26" s="10"/>
    </row>
    <row r="27" spans="1:30" ht="18.75" customHeight="1" x14ac:dyDescent="0.35">
      <c r="A27" s="8">
        <v>18</v>
      </c>
      <c r="B27" s="9"/>
      <c r="C27" s="9"/>
      <c r="D27" s="9" t="str">
        <f>IFERROR(VLOOKUP(B27,LISTAS!$A:$C,2,FALSE()),"")</f>
        <v/>
      </c>
      <c r="E27" s="9">
        <f>IFERROR(VLOOKUP(B27,LISTAS!$A:$C,3,FALSE()),0)</f>
        <v>0</v>
      </c>
      <c r="F27" s="9">
        <f t="shared" si="0"/>
        <v>0</v>
      </c>
      <c r="G27" t="str">
        <f ca="1">IFERROR(_xludf.aggregate(15,6,(ROW(BASE_PRODUTOS!$L$2:$L$1006)-ROW(BASE_PRODUTOS!$L$2)+1)/(BASE_PRODUTOS!$L$2:$L$1006&gt;0),ROWS($G$10:G27)),"")</f>
        <v/>
      </c>
      <c r="H27" s="9" t="str">
        <f ca="1">IF($G27="","",INDEX(BASE_PRODUTOS!$B$2:$B$1006,$G27))</f>
        <v/>
      </c>
      <c r="I27" s="9" t="str">
        <f ca="1">IF($G27="","",INDEX(BASE_PRODUTOS!$L$2:$L$1006,$G27))</f>
        <v/>
      </c>
      <c r="J27" s="9" t="str">
        <f ca="1">IF($G27="","",INDEX(BASE_PRODUTOS!$A$2:$A$1006,$G27))</f>
        <v/>
      </c>
      <c r="K27" s="9" t="str">
        <f ca="1">IF($G27="","",INDEX(BASE_PRODUTOS!$C$2:$C$1006,$G27))</f>
        <v/>
      </c>
      <c r="L27" s="9" t="str">
        <f ca="1">IF($G27="","",INDEX(BASE_PRODUTOS!$E$2:$E$1006,$G27))</f>
        <v/>
      </c>
      <c r="M27" s="9" t="str">
        <f ca="1">IF($G27="","",INDEX(BASE_PRODUTOS!$F$2:$F$1006,$G27))</f>
        <v/>
      </c>
      <c r="N27" s="9" t="str">
        <f ca="1">IF($G27="","",INDEX(BASE_PRODUTOS!$G$2:$G$1006,$G27))</f>
        <v/>
      </c>
      <c r="O27" s="9" t="str">
        <f ca="1">IF($G27="","",INDEX(BASE_PRODUTOS!$H$2:$H$1006,$G27))</f>
        <v/>
      </c>
      <c r="P27" s="9" t="str">
        <f ca="1">IF($G27="","",INDEX(BASE_PRODUTOS!$I$2:$I$1006,$G27))</f>
        <v/>
      </c>
      <c r="Q27" s="9" t="str">
        <f ca="1">IF($G27="","",INDEX(BASE_PRODUTOS!$J$2:$J$1006,$G27))</f>
        <v/>
      </c>
      <c r="R27" s="9" t="str">
        <f ca="1">IF($G27="","",INDEX(BASE_PRODUTOS!$M$2:$M$1006,$G27))</f>
        <v/>
      </c>
      <c r="S27" s="9" t="str">
        <f ca="1">IF($G27="","",INDEX(BASE_PRODUTOS!$N$2:$N$1006,$G27))</f>
        <v/>
      </c>
      <c r="T27" s="9" t="str">
        <f ca="1">IF($G27="","",INDEX(BASE_PRODUTOS!$D$2:$D$1006,$G27))</f>
        <v/>
      </c>
      <c r="V27" s="10"/>
      <c r="W27" s="10"/>
      <c r="X27" s="10"/>
      <c r="Y27" s="10"/>
      <c r="Z27" s="10"/>
      <c r="AA27" s="10"/>
      <c r="AB27" s="10"/>
      <c r="AC27" s="10"/>
      <c r="AD27" s="10"/>
    </row>
    <row r="28" spans="1:30" ht="18.75" customHeight="1" x14ac:dyDescent="0.35">
      <c r="A28" s="8">
        <v>19</v>
      </c>
      <c r="B28" s="9"/>
      <c r="C28" s="9"/>
      <c r="D28" s="9" t="str">
        <f>IFERROR(VLOOKUP(B28,LISTAS!$A:$C,2,FALSE()),"")</f>
        <v/>
      </c>
      <c r="E28" s="9">
        <f>IFERROR(VLOOKUP(B28,LISTAS!$A:$C,3,FALSE()),0)</f>
        <v>0</v>
      </c>
      <c r="F28" s="9">
        <f t="shared" si="0"/>
        <v>0</v>
      </c>
      <c r="G28" t="str">
        <f ca="1">IFERROR(_xludf.aggregate(15,6,(ROW(BASE_PRODUTOS!$L$2:$L$1006)-ROW(BASE_PRODUTOS!$L$2)+1)/(BASE_PRODUTOS!$L$2:$L$1006&gt;0),ROWS($G$10:G28)),"")</f>
        <v/>
      </c>
      <c r="H28" s="9" t="str">
        <f ca="1">IF($G28="","",INDEX(BASE_PRODUTOS!$B$2:$B$1006,$G28))</f>
        <v/>
      </c>
      <c r="I28" s="9" t="str">
        <f ca="1">IF($G28="","",INDEX(BASE_PRODUTOS!$L$2:$L$1006,$G28))</f>
        <v/>
      </c>
      <c r="J28" s="9" t="str">
        <f ca="1">IF($G28="","",INDEX(BASE_PRODUTOS!$A$2:$A$1006,$G28))</f>
        <v/>
      </c>
      <c r="K28" s="9" t="str">
        <f ca="1">IF($G28="","",INDEX(BASE_PRODUTOS!$C$2:$C$1006,$G28))</f>
        <v/>
      </c>
      <c r="L28" s="9" t="str">
        <f ca="1">IF($G28="","",INDEX(BASE_PRODUTOS!$E$2:$E$1006,$G28))</f>
        <v/>
      </c>
      <c r="M28" s="9" t="str">
        <f ca="1">IF($G28="","",INDEX(BASE_PRODUTOS!$F$2:$F$1006,$G28))</f>
        <v/>
      </c>
      <c r="N28" s="9" t="str">
        <f ca="1">IF($G28="","",INDEX(BASE_PRODUTOS!$G$2:$G$1006,$G28))</f>
        <v/>
      </c>
      <c r="O28" s="9" t="str">
        <f ca="1">IF($G28="","",INDEX(BASE_PRODUTOS!$H$2:$H$1006,$G28))</f>
        <v/>
      </c>
      <c r="P28" s="9" t="str">
        <f ca="1">IF($G28="","",INDEX(BASE_PRODUTOS!$I$2:$I$1006,$G28))</f>
        <v/>
      </c>
      <c r="Q28" s="9" t="str">
        <f ca="1">IF($G28="","",INDEX(BASE_PRODUTOS!$J$2:$J$1006,$G28))</f>
        <v/>
      </c>
      <c r="R28" s="9" t="str">
        <f ca="1">IF($G28="","",INDEX(BASE_PRODUTOS!$M$2:$M$1006,$G28))</f>
        <v/>
      </c>
      <c r="S28" s="9" t="str">
        <f ca="1">IF($G28="","",INDEX(BASE_PRODUTOS!$N$2:$N$1006,$G28))</f>
        <v/>
      </c>
      <c r="T28" s="9" t="str">
        <f ca="1">IF($G28="","",INDEX(BASE_PRODUTOS!$D$2:$D$1006,$G28))</f>
        <v/>
      </c>
      <c r="V28" s="10"/>
      <c r="W28" s="10"/>
      <c r="X28" s="10"/>
      <c r="Y28" s="10"/>
      <c r="Z28" s="10"/>
      <c r="AA28" s="10"/>
      <c r="AB28" s="10"/>
      <c r="AC28" s="10"/>
      <c r="AD28" s="10"/>
    </row>
    <row r="29" spans="1:30" ht="18.75" customHeight="1" x14ac:dyDescent="0.35">
      <c r="A29" s="8">
        <v>20</v>
      </c>
      <c r="B29" s="9"/>
      <c r="C29" s="9"/>
      <c r="D29" s="9" t="str">
        <f>IFERROR(VLOOKUP(B29,LISTAS!$A:$C,2,FALSE()),"")</f>
        <v/>
      </c>
      <c r="E29" s="9">
        <f>IFERROR(VLOOKUP(B29,LISTAS!$A:$C,3,FALSE()),0)</f>
        <v>0</v>
      </c>
      <c r="F29" s="9">
        <f t="shared" si="0"/>
        <v>0</v>
      </c>
      <c r="G29" t="str">
        <f ca="1">IFERROR(_xludf.aggregate(15,6,(ROW(BASE_PRODUTOS!$L$2:$L$1006)-ROW(BASE_PRODUTOS!$L$2)+1)/(BASE_PRODUTOS!$L$2:$L$1006&gt;0),ROWS($G$10:G29)),"")</f>
        <v/>
      </c>
      <c r="H29" s="9" t="str">
        <f ca="1">IF($G29="","",INDEX(BASE_PRODUTOS!$B$2:$B$1006,$G29))</f>
        <v/>
      </c>
      <c r="I29" s="9" t="str">
        <f ca="1">IF($G29="","",INDEX(BASE_PRODUTOS!$L$2:$L$1006,$G29))</f>
        <v/>
      </c>
      <c r="J29" s="9" t="str">
        <f ca="1">IF($G29="","",INDEX(BASE_PRODUTOS!$A$2:$A$1006,$G29))</f>
        <v/>
      </c>
      <c r="K29" s="9" t="str">
        <f ca="1">IF($G29="","",INDEX(BASE_PRODUTOS!$C$2:$C$1006,$G29))</f>
        <v/>
      </c>
      <c r="L29" s="9" t="str">
        <f ca="1">IF($G29="","",INDEX(BASE_PRODUTOS!$E$2:$E$1006,$G29))</f>
        <v/>
      </c>
      <c r="M29" s="9" t="str">
        <f ca="1">IF($G29="","",INDEX(BASE_PRODUTOS!$F$2:$F$1006,$G29))</f>
        <v/>
      </c>
      <c r="N29" s="9" t="str">
        <f ca="1">IF($G29="","",INDEX(BASE_PRODUTOS!$G$2:$G$1006,$G29))</f>
        <v/>
      </c>
      <c r="O29" s="9" t="str">
        <f ca="1">IF($G29="","",INDEX(BASE_PRODUTOS!$H$2:$H$1006,$G29))</f>
        <v/>
      </c>
      <c r="P29" s="9" t="str">
        <f ca="1">IF($G29="","",INDEX(BASE_PRODUTOS!$I$2:$I$1006,$G29))</f>
        <v/>
      </c>
      <c r="Q29" s="9" t="str">
        <f ca="1">IF($G29="","",INDEX(BASE_PRODUTOS!$J$2:$J$1006,$G29))</f>
        <v/>
      </c>
      <c r="R29" s="9" t="str">
        <f ca="1">IF($G29="","",INDEX(BASE_PRODUTOS!$M$2:$M$1006,$G29))</f>
        <v/>
      </c>
      <c r="S29" s="9" t="str">
        <f ca="1">IF($G29="","",INDEX(BASE_PRODUTOS!$N$2:$N$1006,$G29))</f>
        <v/>
      </c>
      <c r="T29" s="9" t="str">
        <f ca="1">IF($G29="","",INDEX(BASE_PRODUTOS!$D$2:$D$1006,$G29))</f>
        <v/>
      </c>
      <c r="V29" s="10"/>
      <c r="W29" s="10"/>
      <c r="X29" s="10"/>
      <c r="Y29" s="10"/>
      <c r="Z29" s="10"/>
      <c r="AA29" s="10"/>
      <c r="AB29" s="10"/>
      <c r="AC29" s="10"/>
      <c r="AD29" s="10"/>
    </row>
    <row r="30" spans="1:30" ht="18.75" customHeight="1" x14ac:dyDescent="0.35">
      <c r="A30" s="8">
        <v>21</v>
      </c>
      <c r="B30" s="9"/>
      <c r="C30" s="9"/>
      <c r="D30" s="9" t="str">
        <f>IFERROR(VLOOKUP(B30,LISTAS!$A:$C,2,FALSE()),"")</f>
        <v/>
      </c>
      <c r="E30" s="9">
        <f>IFERROR(VLOOKUP(B30,LISTAS!$A:$C,3,FALSE()),0)</f>
        <v>0</v>
      </c>
      <c r="F30" s="9">
        <f t="shared" si="0"/>
        <v>0</v>
      </c>
      <c r="G30" t="str">
        <f ca="1">IFERROR(_xludf.aggregate(15,6,(ROW(BASE_PRODUTOS!$L$2:$L$1006)-ROW(BASE_PRODUTOS!$L$2)+1)/(BASE_PRODUTOS!$L$2:$L$1006&gt;0),ROWS($G$10:G30)),"")</f>
        <v/>
      </c>
      <c r="H30" s="9" t="str">
        <f ca="1">IF($G30="","",INDEX(BASE_PRODUTOS!$B$2:$B$1006,$G30))</f>
        <v/>
      </c>
      <c r="I30" s="9" t="str">
        <f ca="1">IF($G30="","",INDEX(BASE_PRODUTOS!$L$2:$L$1006,$G30))</f>
        <v/>
      </c>
      <c r="J30" s="9" t="str">
        <f ca="1">IF($G30="","",INDEX(BASE_PRODUTOS!$A$2:$A$1006,$G30))</f>
        <v/>
      </c>
      <c r="K30" s="9" t="str">
        <f ca="1">IF($G30="","",INDEX(BASE_PRODUTOS!$C$2:$C$1006,$G30))</f>
        <v/>
      </c>
      <c r="L30" s="9" t="str">
        <f ca="1">IF($G30="","",INDEX(BASE_PRODUTOS!$E$2:$E$1006,$G30))</f>
        <v/>
      </c>
      <c r="M30" s="9" t="str">
        <f ca="1">IF($G30="","",INDEX(BASE_PRODUTOS!$F$2:$F$1006,$G30))</f>
        <v/>
      </c>
      <c r="N30" s="9" t="str">
        <f ca="1">IF($G30="","",INDEX(BASE_PRODUTOS!$G$2:$G$1006,$G30))</f>
        <v/>
      </c>
      <c r="O30" s="9" t="str">
        <f ca="1">IF($G30="","",INDEX(BASE_PRODUTOS!$H$2:$H$1006,$G30))</f>
        <v/>
      </c>
      <c r="P30" s="9" t="str">
        <f ca="1">IF($G30="","",INDEX(BASE_PRODUTOS!$I$2:$I$1006,$G30))</f>
        <v/>
      </c>
      <c r="Q30" s="9" t="str">
        <f ca="1">IF($G30="","",INDEX(BASE_PRODUTOS!$J$2:$J$1006,$G30))</f>
        <v/>
      </c>
      <c r="R30" s="9" t="str">
        <f ca="1">IF($G30="","",INDEX(BASE_PRODUTOS!$M$2:$M$1006,$G30))</f>
        <v/>
      </c>
      <c r="S30" s="9" t="str">
        <f ca="1">IF($G30="","",INDEX(BASE_PRODUTOS!$N$2:$N$1006,$G30))</f>
        <v/>
      </c>
      <c r="T30" s="9" t="str">
        <f ca="1">IF($G30="","",INDEX(BASE_PRODUTOS!$D$2:$D$1006,$G30))</f>
        <v/>
      </c>
    </row>
    <row r="31" spans="1:30" ht="18.75" customHeight="1" x14ac:dyDescent="0.35">
      <c r="A31" s="8">
        <v>22</v>
      </c>
      <c r="B31" s="9"/>
      <c r="C31" s="9"/>
      <c r="D31" s="9" t="str">
        <f>IFERROR(VLOOKUP(B31,LISTAS!$A:$C,2,FALSE()),"")</f>
        <v/>
      </c>
      <c r="E31" s="9">
        <f>IFERROR(VLOOKUP(B31,LISTAS!$A:$C,3,FALSE()),0)</f>
        <v>0</v>
      </c>
      <c r="F31" s="9">
        <f t="shared" si="0"/>
        <v>0</v>
      </c>
      <c r="G31" t="str">
        <f ca="1">IFERROR(_xludf.aggregate(15,6,(ROW(BASE_PRODUTOS!$L$2:$L$1006)-ROW(BASE_PRODUTOS!$L$2)+1)/(BASE_PRODUTOS!$L$2:$L$1006&gt;0),ROWS($G$10:G31)),"")</f>
        <v/>
      </c>
      <c r="H31" s="9" t="str">
        <f ca="1">IF($G31="","",INDEX(BASE_PRODUTOS!$B$2:$B$1006,$G31))</f>
        <v/>
      </c>
      <c r="I31" s="9" t="str">
        <f ca="1">IF($G31="","",INDEX(BASE_PRODUTOS!$L$2:$L$1006,$G31))</f>
        <v/>
      </c>
      <c r="J31" s="9" t="str">
        <f ca="1">IF($G31="","",INDEX(BASE_PRODUTOS!$A$2:$A$1006,$G31))</f>
        <v/>
      </c>
      <c r="K31" s="9" t="str">
        <f ca="1">IF($G31="","",INDEX(BASE_PRODUTOS!$C$2:$C$1006,$G31))</f>
        <v/>
      </c>
      <c r="L31" s="9" t="str">
        <f ca="1">IF($G31="","",INDEX(BASE_PRODUTOS!$E$2:$E$1006,$G31))</f>
        <v/>
      </c>
      <c r="M31" s="9" t="str">
        <f ca="1">IF($G31="","",INDEX(BASE_PRODUTOS!$F$2:$F$1006,$G31))</f>
        <v/>
      </c>
      <c r="N31" s="9" t="str">
        <f ca="1">IF($G31="","",INDEX(BASE_PRODUTOS!$G$2:$G$1006,$G31))</f>
        <v/>
      </c>
      <c r="O31" s="9" t="str">
        <f ca="1">IF($G31="","",INDEX(BASE_PRODUTOS!$H$2:$H$1006,$G31))</f>
        <v/>
      </c>
      <c r="P31" s="9" t="str">
        <f ca="1">IF($G31="","",INDEX(BASE_PRODUTOS!$I$2:$I$1006,$G31))</f>
        <v/>
      </c>
      <c r="Q31" s="9" t="str">
        <f ca="1">IF($G31="","",INDEX(BASE_PRODUTOS!$J$2:$J$1006,$G31))</f>
        <v/>
      </c>
      <c r="R31" s="9" t="str">
        <f ca="1">IF($G31="","",INDEX(BASE_PRODUTOS!$M$2:$M$1006,$G31))</f>
        <v/>
      </c>
      <c r="S31" s="9" t="str">
        <f ca="1">IF($G31="","",INDEX(BASE_PRODUTOS!$N$2:$N$1006,$G31))</f>
        <v/>
      </c>
      <c r="T31" s="9" t="str">
        <f ca="1">IF($G31="","",INDEX(BASE_PRODUTOS!$D$2:$D$1006,$G31))</f>
        <v/>
      </c>
    </row>
    <row r="32" spans="1:30" ht="18.75" customHeight="1" x14ac:dyDescent="0.35">
      <c r="A32" s="8">
        <v>23</v>
      </c>
      <c r="B32" s="9"/>
      <c r="C32" s="9"/>
      <c r="D32" s="9" t="str">
        <f>IFERROR(VLOOKUP(B32,LISTAS!$A:$C,2,FALSE()),"")</f>
        <v/>
      </c>
      <c r="E32" s="9">
        <f>IFERROR(VLOOKUP(B32,LISTAS!$A:$C,3,FALSE()),0)</f>
        <v>0</v>
      </c>
      <c r="F32" s="9">
        <f t="shared" si="0"/>
        <v>0</v>
      </c>
      <c r="G32" t="str">
        <f ca="1">IFERROR(_xludf.aggregate(15,6,(ROW(BASE_PRODUTOS!$L$2:$L$1006)-ROW(BASE_PRODUTOS!$L$2)+1)/(BASE_PRODUTOS!$L$2:$L$1006&gt;0),ROWS($G$10:G32)),"")</f>
        <v/>
      </c>
      <c r="H32" s="9" t="str">
        <f ca="1">IF($G32="","",INDEX(BASE_PRODUTOS!$B$2:$B$1006,$G32))</f>
        <v/>
      </c>
      <c r="I32" s="9" t="str">
        <f ca="1">IF($G32="","",INDEX(BASE_PRODUTOS!$L$2:$L$1006,$G32))</f>
        <v/>
      </c>
      <c r="J32" s="9" t="str">
        <f ca="1">IF($G32="","",INDEX(BASE_PRODUTOS!$A$2:$A$1006,$G32))</f>
        <v/>
      </c>
      <c r="K32" s="9" t="str">
        <f ca="1">IF($G32="","",INDEX(BASE_PRODUTOS!$C$2:$C$1006,$G32))</f>
        <v/>
      </c>
      <c r="L32" s="9" t="str">
        <f ca="1">IF($G32="","",INDEX(BASE_PRODUTOS!$E$2:$E$1006,$G32))</f>
        <v/>
      </c>
      <c r="M32" s="9" t="str">
        <f ca="1">IF($G32="","",INDEX(BASE_PRODUTOS!$F$2:$F$1006,$G32))</f>
        <v/>
      </c>
      <c r="N32" s="9" t="str">
        <f ca="1">IF($G32="","",INDEX(BASE_PRODUTOS!$G$2:$G$1006,$G32))</f>
        <v/>
      </c>
      <c r="O32" s="9" t="str">
        <f ca="1">IF($G32="","",INDEX(BASE_PRODUTOS!$H$2:$H$1006,$G32))</f>
        <v/>
      </c>
      <c r="P32" s="9" t="str">
        <f ca="1">IF($G32="","",INDEX(BASE_PRODUTOS!$I$2:$I$1006,$G32))</f>
        <v/>
      </c>
      <c r="Q32" s="9" t="str">
        <f ca="1">IF($G32="","",INDEX(BASE_PRODUTOS!$J$2:$J$1006,$G32))</f>
        <v/>
      </c>
      <c r="R32" s="9" t="str">
        <f ca="1">IF($G32="","",INDEX(BASE_PRODUTOS!$M$2:$M$1006,$G32))</f>
        <v/>
      </c>
      <c r="S32" s="9" t="str">
        <f ca="1">IF($G32="","",INDEX(BASE_PRODUTOS!$N$2:$N$1006,$G32))</f>
        <v/>
      </c>
      <c r="T32" s="9" t="str">
        <f ca="1">IF($G32="","",INDEX(BASE_PRODUTOS!$D$2:$D$1006,$G32))</f>
        <v/>
      </c>
    </row>
    <row r="33" spans="1:30" ht="18.75" customHeight="1" x14ac:dyDescent="0.35">
      <c r="A33" s="8">
        <v>24</v>
      </c>
      <c r="B33" s="9"/>
      <c r="C33" s="9"/>
      <c r="D33" s="9" t="str">
        <f>IFERROR(VLOOKUP(B33,LISTAS!$A:$C,2,FALSE()),"")</f>
        <v/>
      </c>
      <c r="E33" s="9">
        <f>IFERROR(VLOOKUP(B33,LISTAS!$A:$C,3,FALSE()),0)</f>
        <v>0</v>
      </c>
      <c r="F33" s="9">
        <f t="shared" si="0"/>
        <v>0</v>
      </c>
      <c r="G33" t="str">
        <f ca="1">IFERROR(_xludf.aggregate(15,6,(ROW(BASE_PRODUTOS!$L$2:$L$1006)-ROW(BASE_PRODUTOS!$L$2)+1)/(BASE_PRODUTOS!$L$2:$L$1006&gt;0),ROWS($G$10:G33)),"")</f>
        <v/>
      </c>
      <c r="H33" s="9" t="str">
        <f ca="1">IF($G33="","",INDEX(BASE_PRODUTOS!$B$2:$B$1006,$G33))</f>
        <v/>
      </c>
      <c r="I33" s="9" t="str">
        <f ca="1">IF($G33="","",INDEX(BASE_PRODUTOS!$L$2:$L$1006,$G33))</f>
        <v/>
      </c>
      <c r="J33" s="9" t="str">
        <f ca="1">IF($G33="","",INDEX(BASE_PRODUTOS!$A$2:$A$1006,$G33))</f>
        <v/>
      </c>
      <c r="K33" s="9" t="str">
        <f ca="1">IF($G33="","",INDEX(BASE_PRODUTOS!$C$2:$C$1006,$G33))</f>
        <v/>
      </c>
      <c r="L33" s="9" t="str">
        <f ca="1">IF($G33="","",INDEX(BASE_PRODUTOS!$E$2:$E$1006,$G33))</f>
        <v/>
      </c>
      <c r="M33" s="9" t="str">
        <f ca="1">IF($G33="","",INDEX(BASE_PRODUTOS!$F$2:$F$1006,$G33))</f>
        <v/>
      </c>
      <c r="N33" s="9" t="str">
        <f ca="1">IF($G33="","",INDEX(BASE_PRODUTOS!$G$2:$G$1006,$G33))</f>
        <v/>
      </c>
      <c r="O33" s="9" t="str">
        <f ca="1">IF($G33="","",INDEX(BASE_PRODUTOS!$H$2:$H$1006,$G33))</f>
        <v/>
      </c>
      <c r="P33" s="9" t="str">
        <f ca="1">IF($G33="","",INDEX(BASE_PRODUTOS!$I$2:$I$1006,$G33))</f>
        <v/>
      </c>
      <c r="Q33" s="9" t="str">
        <f ca="1">IF($G33="","",INDEX(BASE_PRODUTOS!$J$2:$J$1006,$G33))</f>
        <v/>
      </c>
      <c r="R33" s="9" t="str">
        <f ca="1">IF($G33="","",INDEX(BASE_PRODUTOS!$M$2:$M$1006,$G33))</f>
        <v/>
      </c>
      <c r="S33" s="9" t="str">
        <f ca="1">IF($G33="","",INDEX(BASE_PRODUTOS!$N$2:$N$1006,$G33))</f>
        <v/>
      </c>
      <c r="T33" s="9" t="str">
        <f ca="1">IF($G33="","",INDEX(BASE_PRODUTOS!$D$2:$D$1006,$G33))</f>
        <v/>
      </c>
    </row>
    <row r="34" spans="1:30" ht="18.75" customHeight="1" x14ac:dyDescent="0.35">
      <c r="A34" s="8">
        <v>25</v>
      </c>
      <c r="B34" s="9"/>
      <c r="C34" s="9"/>
      <c r="D34" s="9" t="str">
        <f>IFERROR(VLOOKUP(B34,LISTAS!$A:$C,2,FALSE()),"")</f>
        <v/>
      </c>
      <c r="E34" s="9">
        <f>IFERROR(VLOOKUP(B34,LISTAS!$A:$C,3,FALSE()),0)</f>
        <v>0</v>
      </c>
      <c r="F34" s="9">
        <f t="shared" si="0"/>
        <v>0</v>
      </c>
      <c r="G34" t="str">
        <f ca="1">IFERROR(_xludf.aggregate(15,6,(ROW(BASE_PRODUTOS!$L$2:$L$1006)-ROW(BASE_PRODUTOS!$L$2)+1)/(BASE_PRODUTOS!$L$2:$L$1006&gt;0),ROWS($G$10:G34)),"")</f>
        <v/>
      </c>
      <c r="H34" s="9" t="str">
        <f ca="1">IF($G34="","",INDEX(BASE_PRODUTOS!$B$2:$B$1006,$G34))</f>
        <v/>
      </c>
      <c r="I34" s="9" t="str">
        <f ca="1">IF($G34="","",INDEX(BASE_PRODUTOS!$L$2:$L$1006,$G34))</f>
        <v/>
      </c>
      <c r="J34" s="9" t="str">
        <f ca="1">IF($G34="","",INDEX(BASE_PRODUTOS!$A$2:$A$1006,$G34))</f>
        <v/>
      </c>
      <c r="K34" s="9" t="str">
        <f ca="1">IF($G34="","",INDEX(BASE_PRODUTOS!$C$2:$C$1006,$G34))</f>
        <v/>
      </c>
      <c r="L34" s="9" t="str">
        <f ca="1">IF($G34="","",INDEX(BASE_PRODUTOS!$E$2:$E$1006,$G34))</f>
        <v/>
      </c>
      <c r="M34" s="9" t="str">
        <f ca="1">IF($G34="","",INDEX(BASE_PRODUTOS!$F$2:$F$1006,$G34))</f>
        <v/>
      </c>
      <c r="N34" s="9" t="str">
        <f ca="1">IF($G34="","",INDEX(BASE_PRODUTOS!$G$2:$G$1006,$G34))</f>
        <v/>
      </c>
      <c r="O34" s="9" t="str">
        <f ca="1">IF($G34="","",INDEX(BASE_PRODUTOS!$H$2:$H$1006,$G34))</f>
        <v/>
      </c>
      <c r="P34" s="9" t="str">
        <f ca="1">IF($G34="","",INDEX(BASE_PRODUTOS!$I$2:$I$1006,$G34))</f>
        <v/>
      </c>
      <c r="Q34" s="9" t="str">
        <f ca="1">IF($G34="","",INDEX(BASE_PRODUTOS!$J$2:$J$1006,$G34))</f>
        <v/>
      </c>
      <c r="R34" s="9" t="str">
        <f ca="1">IF($G34="","",INDEX(BASE_PRODUTOS!$M$2:$M$1006,$G34))</f>
        <v/>
      </c>
      <c r="S34" s="9" t="str">
        <f ca="1">IF($G34="","",INDEX(BASE_PRODUTOS!$N$2:$N$1006,$G34))</f>
        <v/>
      </c>
      <c r="T34" s="9" t="str">
        <f ca="1">IF($G34="","",INDEX(BASE_PRODUTOS!$D$2:$D$1006,$G34))</f>
        <v/>
      </c>
    </row>
    <row r="35" spans="1:30" ht="18.75" customHeight="1" x14ac:dyDescent="0.35">
      <c r="A35" s="8">
        <v>26</v>
      </c>
      <c r="B35" s="9"/>
      <c r="C35" s="9"/>
      <c r="D35" s="9" t="str">
        <f>IFERROR(VLOOKUP(B35,LISTAS!$A:$C,2,FALSE()),"")</f>
        <v/>
      </c>
      <c r="E35" s="9">
        <f>IFERROR(VLOOKUP(B35,LISTAS!$A:$C,3,FALSE()),0)</f>
        <v>0</v>
      </c>
      <c r="F35" s="9">
        <f t="shared" si="0"/>
        <v>0</v>
      </c>
      <c r="G35" t="str">
        <f ca="1">IFERROR(_xludf.aggregate(15,6,(ROW(BASE_PRODUTOS!$L$2:$L$1006)-ROW(BASE_PRODUTOS!$L$2)+1)/(BASE_PRODUTOS!$L$2:$L$1006&gt;0),ROWS($G$10:G35)),"")</f>
        <v/>
      </c>
      <c r="H35" s="9" t="str">
        <f ca="1">IF($G35="","",INDEX(BASE_PRODUTOS!$B$2:$B$1006,$G35))</f>
        <v/>
      </c>
      <c r="I35" s="9" t="str">
        <f ca="1">IF($G35="","",INDEX(BASE_PRODUTOS!$L$2:$L$1006,$G35))</f>
        <v/>
      </c>
      <c r="J35" s="9" t="str">
        <f ca="1">IF($G35="","",INDEX(BASE_PRODUTOS!$A$2:$A$1006,$G35))</f>
        <v/>
      </c>
      <c r="K35" s="9" t="str">
        <f ca="1">IF($G35="","",INDEX(BASE_PRODUTOS!$C$2:$C$1006,$G35))</f>
        <v/>
      </c>
      <c r="L35" s="9" t="str">
        <f ca="1">IF($G35="","",INDEX(BASE_PRODUTOS!$E$2:$E$1006,$G35))</f>
        <v/>
      </c>
      <c r="M35" s="9" t="str">
        <f ca="1">IF($G35="","",INDEX(BASE_PRODUTOS!$F$2:$F$1006,$G35))</f>
        <v/>
      </c>
      <c r="N35" s="9" t="str">
        <f ca="1">IF($G35="","",INDEX(BASE_PRODUTOS!$G$2:$G$1006,$G35))</f>
        <v/>
      </c>
      <c r="O35" s="9" t="str">
        <f ca="1">IF($G35="","",INDEX(BASE_PRODUTOS!$H$2:$H$1006,$G35))</f>
        <v/>
      </c>
      <c r="P35" s="9" t="str">
        <f ca="1">IF($G35="","",INDEX(BASE_PRODUTOS!$I$2:$I$1006,$G35))</f>
        <v/>
      </c>
      <c r="Q35" s="9" t="str">
        <f ca="1">IF($G35="","",INDEX(BASE_PRODUTOS!$J$2:$J$1006,$G35))</f>
        <v/>
      </c>
      <c r="R35" s="9" t="str">
        <f ca="1">IF($G35="","",INDEX(BASE_PRODUTOS!$M$2:$M$1006,$G35))</f>
        <v/>
      </c>
      <c r="S35" s="9" t="str">
        <f ca="1">IF($G35="","",INDEX(BASE_PRODUTOS!$N$2:$N$1006,$G35))</f>
        <v/>
      </c>
      <c r="T35" s="9" t="str">
        <f ca="1">IF($G35="","",INDEX(BASE_PRODUTOS!$D$2:$D$1006,$G35))</f>
        <v/>
      </c>
    </row>
    <row r="36" spans="1:30" ht="18.75" customHeight="1" x14ac:dyDescent="0.35">
      <c r="A36" s="8">
        <v>27</v>
      </c>
      <c r="B36" s="9"/>
      <c r="C36" s="9"/>
      <c r="D36" s="9" t="str">
        <f>IFERROR(VLOOKUP(B36,LISTAS!$A:$C,2,FALSE()),"")</f>
        <v/>
      </c>
      <c r="E36" s="9">
        <f>IFERROR(VLOOKUP(B36,LISTAS!$A:$C,3,FALSE()),0)</f>
        <v>0</v>
      </c>
      <c r="F36" s="9">
        <f t="shared" si="0"/>
        <v>0</v>
      </c>
      <c r="G36" t="str">
        <f ca="1">IFERROR(_xludf.aggregate(15,6,(ROW(BASE_PRODUTOS!$L$2:$L$1006)-ROW(BASE_PRODUTOS!$L$2)+1)/(BASE_PRODUTOS!$L$2:$L$1006&gt;0),ROWS($G$10:G36)),"")</f>
        <v/>
      </c>
      <c r="H36" s="9" t="str">
        <f ca="1">IF($G36="","",INDEX(BASE_PRODUTOS!$B$2:$B$1006,$G36))</f>
        <v/>
      </c>
      <c r="I36" s="9" t="str">
        <f ca="1">IF($G36="","",INDEX(BASE_PRODUTOS!$L$2:$L$1006,$G36))</f>
        <v/>
      </c>
      <c r="J36" s="9" t="str">
        <f ca="1">IF($G36="","",INDEX(BASE_PRODUTOS!$A$2:$A$1006,$G36))</f>
        <v/>
      </c>
      <c r="K36" s="9" t="str">
        <f ca="1">IF($G36="","",INDEX(BASE_PRODUTOS!$C$2:$C$1006,$G36))</f>
        <v/>
      </c>
      <c r="L36" s="9" t="str">
        <f ca="1">IF($G36="","",INDEX(BASE_PRODUTOS!$E$2:$E$1006,$G36))</f>
        <v/>
      </c>
      <c r="M36" s="9" t="str">
        <f ca="1">IF($G36="","",INDEX(BASE_PRODUTOS!$F$2:$F$1006,$G36))</f>
        <v/>
      </c>
      <c r="N36" s="9" t="str">
        <f ca="1">IF($G36="","",INDEX(BASE_PRODUTOS!$G$2:$G$1006,$G36))</f>
        <v/>
      </c>
      <c r="O36" s="9" t="str">
        <f ca="1">IF($G36="","",INDEX(BASE_PRODUTOS!$H$2:$H$1006,$G36))</f>
        <v/>
      </c>
      <c r="P36" s="9" t="str">
        <f ca="1">IF($G36="","",INDEX(BASE_PRODUTOS!$I$2:$I$1006,$G36))</f>
        <v/>
      </c>
      <c r="Q36" s="9" t="str">
        <f ca="1">IF($G36="","",INDEX(BASE_PRODUTOS!$J$2:$J$1006,$G36))</f>
        <v/>
      </c>
      <c r="R36" s="9" t="str">
        <f ca="1">IF($G36="","",INDEX(BASE_PRODUTOS!$M$2:$M$1006,$G36))</f>
        <v/>
      </c>
      <c r="S36" s="9" t="str">
        <f ca="1">IF($G36="","",INDEX(BASE_PRODUTOS!$N$2:$N$1006,$G36))</f>
        <v/>
      </c>
      <c r="T36" s="9" t="str">
        <f ca="1">IF($G36="","",INDEX(BASE_PRODUTOS!$D$2:$D$1006,$G36))</f>
        <v/>
      </c>
    </row>
    <row r="37" spans="1:30" ht="18.75" customHeight="1" x14ac:dyDescent="0.35">
      <c r="A37" s="8">
        <v>28</v>
      </c>
      <c r="B37" s="9"/>
      <c r="C37" s="9"/>
      <c r="D37" s="9" t="str">
        <f>IFERROR(VLOOKUP(B37,LISTAS!$A:$C,2,FALSE()),"")</f>
        <v/>
      </c>
      <c r="E37" s="9">
        <f>IFERROR(VLOOKUP(B37,LISTAS!$A:$C,3,FALSE()),0)</f>
        <v>0</v>
      </c>
      <c r="F37" s="9">
        <f t="shared" si="0"/>
        <v>0</v>
      </c>
      <c r="G37" t="str">
        <f ca="1">IFERROR(_xludf.aggregate(15,6,(ROW(BASE_PRODUTOS!$L$2:$L$1006)-ROW(BASE_PRODUTOS!$L$2)+1)/(BASE_PRODUTOS!$L$2:$L$1006&gt;0),ROWS($G$10:G37)),"")</f>
        <v/>
      </c>
      <c r="H37" s="9" t="str">
        <f ca="1">IF($G37="","",INDEX(BASE_PRODUTOS!$B$2:$B$1006,$G37))</f>
        <v/>
      </c>
      <c r="I37" s="9" t="str">
        <f ca="1">IF($G37="","",INDEX(BASE_PRODUTOS!$L$2:$L$1006,$G37))</f>
        <v/>
      </c>
      <c r="J37" s="9" t="str">
        <f ca="1">IF($G37="","",INDEX(BASE_PRODUTOS!$A$2:$A$1006,$G37))</f>
        <v/>
      </c>
      <c r="K37" s="9" t="str">
        <f ca="1">IF($G37="","",INDEX(BASE_PRODUTOS!$C$2:$C$1006,$G37))</f>
        <v/>
      </c>
      <c r="L37" s="9" t="str">
        <f ca="1">IF($G37="","",INDEX(BASE_PRODUTOS!$E$2:$E$1006,$G37))</f>
        <v/>
      </c>
      <c r="M37" s="9" t="str">
        <f ca="1">IF($G37="","",INDEX(BASE_PRODUTOS!$F$2:$F$1006,$G37))</f>
        <v/>
      </c>
      <c r="N37" s="9" t="str">
        <f ca="1">IF($G37="","",INDEX(BASE_PRODUTOS!$G$2:$G$1006,$G37))</f>
        <v/>
      </c>
      <c r="O37" s="9" t="str">
        <f ca="1">IF($G37="","",INDEX(BASE_PRODUTOS!$H$2:$H$1006,$G37))</f>
        <v/>
      </c>
      <c r="P37" s="9" t="str">
        <f ca="1">IF($G37="","",INDEX(BASE_PRODUTOS!$I$2:$I$1006,$G37))</f>
        <v/>
      </c>
      <c r="Q37" s="9" t="str">
        <f ca="1">IF($G37="","",INDEX(BASE_PRODUTOS!$J$2:$J$1006,$G37))</f>
        <v/>
      </c>
      <c r="R37" s="9" t="str">
        <f ca="1">IF($G37="","",INDEX(BASE_PRODUTOS!$M$2:$M$1006,$G37))</f>
        <v/>
      </c>
      <c r="S37" s="9" t="str">
        <f ca="1">IF($G37="","",INDEX(BASE_PRODUTOS!$N$2:$N$1006,$G37))</f>
        <v/>
      </c>
      <c r="T37" s="9" t="str">
        <f ca="1">IF($G37="","",INDEX(BASE_PRODUTOS!$D$2:$D$1006,$G37))</f>
        <v/>
      </c>
      <c r="V37" s="10"/>
      <c r="W37" s="10"/>
      <c r="X37" s="10"/>
      <c r="Y37" s="10"/>
      <c r="Z37" s="10"/>
      <c r="AA37" s="10"/>
      <c r="AB37" s="10"/>
      <c r="AC37" s="10"/>
      <c r="AD37" s="10"/>
    </row>
    <row r="38" spans="1:30" ht="18.75" customHeight="1" x14ac:dyDescent="0.35">
      <c r="A38" s="8">
        <v>29</v>
      </c>
      <c r="B38" s="9"/>
      <c r="C38" s="9"/>
      <c r="D38" s="9" t="str">
        <f>IFERROR(VLOOKUP(B38,LISTAS!$A:$C,2,FALSE()),"")</f>
        <v/>
      </c>
      <c r="E38" s="9">
        <f>IFERROR(VLOOKUP(B38,LISTAS!$A:$C,3,FALSE()),0)</f>
        <v>0</v>
      </c>
      <c r="F38" s="9">
        <f t="shared" si="0"/>
        <v>0</v>
      </c>
      <c r="G38" t="str">
        <f ca="1">IFERROR(_xludf.aggregate(15,6,(ROW(BASE_PRODUTOS!$L$2:$L$1006)-ROW(BASE_PRODUTOS!$L$2)+1)/(BASE_PRODUTOS!$L$2:$L$1006&gt;0),ROWS($G$10:G38)),"")</f>
        <v/>
      </c>
      <c r="H38" s="9" t="str">
        <f ca="1">IF($G38="","",INDEX(BASE_PRODUTOS!$B$2:$B$1006,$G38))</f>
        <v/>
      </c>
      <c r="I38" s="9" t="str">
        <f ca="1">IF($G38="","",INDEX(BASE_PRODUTOS!$L$2:$L$1006,$G38))</f>
        <v/>
      </c>
      <c r="J38" s="9" t="str">
        <f ca="1">IF($G38="","",INDEX(BASE_PRODUTOS!$A$2:$A$1006,$G38))</f>
        <v/>
      </c>
      <c r="K38" s="9" t="str">
        <f ca="1">IF($G38="","",INDEX(BASE_PRODUTOS!$C$2:$C$1006,$G38))</f>
        <v/>
      </c>
      <c r="L38" s="9" t="str">
        <f ca="1">IF($G38="","",INDEX(BASE_PRODUTOS!$E$2:$E$1006,$G38))</f>
        <v/>
      </c>
      <c r="M38" s="9" t="str">
        <f ca="1">IF($G38="","",INDEX(BASE_PRODUTOS!$F$2:$F$1006,$G38))</f>
        <v/>
      </c>
      <c r="N38" s="9" t="str">
        <f ca="1">IF($G38="","",INDEX(BASE_PRODUTOS!$G$2:$G$1006,$G38))</f>
        <v/>
      </c>
      <c r="O38" s="9" t="str">
        <f ca="1">IF($G38="","",INDEX(BASE_PRODUTOS!$H$2:$H$1006,$G38))</f>
        <v/>
      </c>
      <c r="P38" s="9" t="str">
        <f ca="1">IF($G38="","",INDEX(BASE_PRODUTOS!$I$2:$I$1006,$G38))</f>
        <v/>
      </c>
      <c r="Q38" s="9" t="str">
        <f ca="1">IF($G38="","",INDEX(BASE_PRODUTOS!$J$2:$J$1006,$G38))</f>
        <v/>
      </c>
      <c r="R38" s="9" t="str">
        <f ca="1">IF($G38="","",INDEX(BASE_PRODUTOS!$M$2:$M$1006,$G38))</f>
        <v/>
      </c>
      <c r="S38" s="9" t="str">
        <f ca="1">IF($G38="","",INDEX(BASE_PRODUTOS!$N$2:$N$1006,$G38))</f>
        <v/>
      </c>
      <c r="T38" s="9" t="str">
        <f ca="1">IF($G38="","",INDEX(BASE_PRODUTOS!$D$2:$D$1006,$G38))</f>
        <v/>
      </c>
      <c r="V38" s="10"/>
      <c r="W38" s="10"/>
      <c r="X38" s="10"/>
      <c r="Y38" s="10"/>
      <c r="Z38" s="10"/>
      <c r="AA38" s="10"/>
      <c r="AB38" s="10"/>
      <c r="AC38" s="10"/>
      <c r="AD38" s="10"/>
    </row>
    <row r="39" spans="1:30" ht="18.75" customHeight="1" x14ac:dyDescent="0.35">
      <c r="A39" s="8">
        <v>30</v>
      </c>
      <c r="B39" s="9"/>
      <c r="C39" s="9"/>
      <c r="D39" s="9" t="str">
        <f>IFERROR(VLOOKUP(B39,LISTAS!$A:$C,2,FALSE()),"")</f>
        <v/>
      </c>
      <c r="E39" s="9">
        <f>IFERROR(VLOOKUP(B39,LISTAS!$A:$C,3,FALSE()),0)</f>
        <v>0</v>
      </c>
      <c r="F39" s="9">
        <f t="shared" si="0"/>
        <v>0</v>
      </c>
      <c r="G39" t="str">
        <f ca="1">IFERROR(_xludf.aggregate(15,6,(ROW(BASE_PRODUTOS!$L$2:$L$1006)-ROW(BASE_PRODUTOS!$L$2)+1)/(BASE_PRODUTOS!$L$2:$L$1006&gt;0),ROWS($G$10:G39)),"")</f>
        <v/>
      </c>
      <c r="H39" s="9" t="str">
        <f ca="1">IF($G39="","",INDEX(BASE_PRODUTOS!$B$2:$B$1006,$G39))</f>
        <v/>
      </c>
      <c r="I39" s="9" t="str">
        <f ca="1">IF($G39="","",INDEX(BASE_PRODUTOS!$L$2:$L$1006,$G39))</f>
        <v/>
      </c>
      <c r="J39" s="9" t="str">
        <f ca="1">IF($G39="","",INDEX(BASE_PRODUTOS!$A$2:$A$1006,$G39))</f>
        <v/>
      </c>
      <c r="K39" s="9" t="str">
        <f ca="1">IF($G39="","",INDEX(BASE_PRODUTOS!$C$2:$C$1006,$G39))</f>
        <v/>
      </c>
      <c r="L39" s="9" t="str">
        <f ca="1">IF($G39="","",INDEX(BASE_PRODUTOS!$E$2:$E$1006,$G39))</f>
        <v/>
      </c>
      <c r="M39" s="9" t="str">
        <f ca="1">IF($G39="","",INDEX(BASE_PRODUTOS!$F$2:$F$1006,$G39))</f>
        <v/>
      </c>
      <c r="N39" s="9" t="str">
        <f ca="1">IF($G39="","",INDEX(BASE_PRODUTOS!$G$2:$G$1006,$G39))</f>
        <v/>
      </c>
      <c r="O39" s="9" t="str">
        <f ca="1">IF($G39="","",INDEX(BASE_PRODUTOS!$H$2:$H$1006,$G39))</f>
        <v/>
      </c>
      <c r="P39" s="9" t="str">
        <f ca="1">IF($G39="","",INDEX(BASE_PRODUTOS!$I$2:$I$1006,$G39))</f>
        <v/>
      </c>
      <c r="Q39" s="9" t="str">
        <f ca="1">IF($G39="","",INDEX(BASE_PRODUTOS!$J$2:$J$1006,$G39))</f>
        <v/>
      </c>
      <c r="R39" s="9" t="str">
        <f ca="1">IF($G39="","",INDEX(BASE_PRODUTOS!$M$2:$M$1006,$G39))</f>
        <v/>
      </c>
      <c r="S39" s="9" t="str">
        <f ca="1">IF($G39="","",INDEX(BASE_PRODUTOS!$N$2:$N$1006,$G39))</f>
        <v/>
      </c>
      <c r="T39" s="9" t="str">
        <f ca="1">IF($G39="","",INDEX(BASE_PRODUTOS!$D$2:$D$1006,$G39))</f>
        <v/>
      </c>
      <c r="V39" s="10"/>
      <c r="W39" s="10"/>
      <c r="X39" s="10"/>
      <c r="Y39" s="10"/>
      <c r="Z39" s="10"/>
      <c r="AA39" s="10"/>
      <c r="AB39" s="10"/>
      <c r="AC39" s="10"/>
      <c r="AD39" s="10"/>
    </row>
    <row r="40" spans="1:30" ht="18.75" customHeight="1" x14ac:dyDescent="0.35">
      <c r="A40" s="8">
        <v>31</v>
      </c>
      <c r="B40" s="9"/>
      <c r="C40" s="9"/>
      <c r="D40" s="9" t="str">
        <f>IFERROR(VLOOKUP(B40,LISTAS!$A:$C,2,FALSE()),"")</f>
        <v/>
      </c>
      <c r="E40" s="9">
        <f>IFERROR(VLOOKUP(B40,LISTAS!$A:$C,3,FALSE()),0)</f>
        <v>0</v>
      </c>
      <c r="F40" s="9">
        <f t="shared" si="0"/>
        <v>0</v>
      </c>
      <c r="G40" t="str">
        <f ca="1">IFERROR(_xludf.aggregate(15,6,(ROW(BASE_PRODUTOS!$L$2:$L$1006)-ROW(BASE_PRODUTOS!$L$2)+1)/(BASE_PRODUTOS!$L$2:$L$1006&gt;0),ROWS($G$10:G40)),"")</f>
        <v/>
      </c>
      <c r="H40" s="9" t="str">
        <f ca="1">IF($G40="","",INDEX(BASE_PRODUTOS!$B$2:$B$1006,$G40))</f>
        <v/>
      </c>
      <c r="I40" s="9" t="str">
        <f ca="1">IF($G40="","",INDEX(BASE_PRODUTOS!$L$2:$L$1006,$G40))</f>
        <v/>
      </c>
      <c r="J40" s="9" t="str">
        <f ca="1">IF($G40="","",INDEX(BASE_PRODUTOS!$A$2:$A$1006,$G40))</f>
        <v/>
      </c>
      <c r="K40" s="9" t="str">
        <f ca="1">IF($G40="","",INDEX(BASE_PRODUTOS!$C$2:$C$1006,$G40))</f>
        <v/>
      </c>
      <c r="L40" s="9" t="str">
        <f ca="1">IF($G40="","",INDEX(BASE_PRODUTOS!$E$2:$E$1006,$G40))</f>
        <v/>
      </c>
      <c r="M40" s="9" t="str">
        <f ca="1">IF($G40="","",INDEX(BASE_PRODUTOS!$F$2:$F$1006,$G40))</f>
        <v/>
      </c>
      <c r="N40" s="9" t="str">
        <f ca="1">IF($G40="","",INDEX(BASE_PRODUTOS!$G$2:$G$1006,$G40))</f>
        <v/>
      </c>
      <c r="O40" s="9" t="str">
        <f ca="1">IF($G40="","",INDEX(BASE_PRODUTOS!$H$2:$H$1006,$G40))</f>
        <v/>
      </c>
      <c r="P40" s="9" t="str">
        <f ca="1">IF($G40="","",INDEX(BASE_PRODUTOS!$I$2:$I$1006,$G40))</f>
        <v/>
      </c>
      <c r="Q40" s="9" t="str">
        <f ca="1">IF($G40="","",INDEX(BASE_PRODUTOS!$J$2:$J$1006,$G40))</f>
        <v/>
      </c>
      <c r="R40" s="9" t="str">
        <f ca="1">IF($G40="","",INDEX(BASE_PRODUTOS!$M$2:$M$1006,$G40))</f>
        <v/>
      </c>
      <c r="S40" s="9" t="str">
        <f ca="1">IF($G40="","",INDEX(BASE_PRODUTOS!$N$2:$N$1006,$G40))</f>
        <v/>
      </c>
      <c r="T40" s="9" t="str">
        <f ca="1">IF($G40="","",INDEX(BASE_PRODUTOS!$D$2:$D$1006,$G40))</f>
        <v/>
      </c>
    </row>
    <row r="41" spans="1:30" ht="18.75" customHeight="1" x14ac:dyDescent="0.35">
      <c r="A41" s="8">
        <v>32</v>
      </c>
      <c r="B41" s="9"/>
      <c r="C41" s="9"/>
      <c r="D41" s="9" t="str">
        <f>IFERROR(VLOOKUP(B41,LISTAS!$A:$C,2,FALSE()),"")</f>
        <v/>
      </c>
      <c r="E41" s="9">
        <f>IFERROR(VLOOKUP(B41,LISTAS!$A:$C,3,FALSE()),0)</f>
        <v>0</v>
      </c>
      <c r="F41" s="9">
        <f t="shared" si="0"/>
        <v>0</v>
      </c>
      <c r="G41" t="str">
        <f ca="1">IFERROR(_xludf.aggregate(15,6,(ROW(BASE_PRODUTOS!$L$2:$L$1006)-ROW(BASE_PRODUTOS!$L$2)+1)/(BASE_PRODUTOS!$L$2:$L$1006&gt;0),ROWS($G$10:G41)),"")</f>
        <v/>
      </c>
      <c r="H41" s="9" t="str">
        <f ca="1">IF($G41="","",INDEX(BASE_PRODUTOS!$B$2:$B$1006,$G41))</f>
        <v/>
      </c>
      <c r="I41" s="9" t="str">
        <f ca="1">IF($G41="","",INDEX(BASE_PRODUTOS!$L$2:$L$1006,$G41))</f>
        <v/>
      </c>
      <c r="J41" s="9" t="str">
        <f ca="1">IF($G41="","",INDEX(BASE_PRODUTOS!$A$2:$A$1006,$G41))</f>
        <v/>
      </c>
      <c r="K41" s="9" t="str">
        <f ca="1">IF($G41="","",INDEX(BASE_PRODUTOS!$C$2:$C$1006,$G41))</f>
        <v/>
      </c>
      <c r="L41" s="9" t="str">
        <f ca="1">IF($G41="","",INDEX(BASE_PRODUTOS!$E$2:$E$1006,$G41))</f>
        <v/>
      </c>
      <c r="M41" s="9" t="str">
        <f ca="1">IF($G41="","",INDEX(BASE_PRODUTOS!$F$2:$F$1006,$G41))</f>
        <v/>
      </c>
      <c r="N41" s="9" t="str">
        <f ca="1">IF($G41="","",INDEX(BASE_PRODUTOS!$G$2:$G$1006,$G41))</f>
        <v/>
      </c>
      <c r="O41" s="9" t="str">
        <f ca="1">IF($G41="","",INDEX(BASE_PRODUTOS!$H$2:$H$1006,$G41))</f>
        <v/>
      </c>
      <c r="P41" s="9" t="str">
        <f ca="1">IF($G41="","",INDEX(BASE_PRODUTOS!$I$2:$I$1006,$G41))</f>
        <v/>
      </c>
      <c r="Q41" s="9" t="str">
        <f ca="1">IF($G41="","",INDEX(BASE_PRODUTOS!$J$2:$J$1006,$G41))</f>
        <v/>
      </c>
      <c r="R41" s="9" t="str">
        <f ca="1">IF($G41="","",INDEX(BASE_PRODUTOS!$M$2:$M$1006,$G41))</f>
        <v/>
      </c>
      <c r="S41" s="9" t="str">
        <f ca="1">IF($G41="","",INDEX(BASE_PRODUTOS!$N$2:$N$1006,$G41))</f>
        <v/>
      </c>
      <c r="T41" s="9" t="str">
        <f ca="1">IF($G41="","",INDEX(BASE_PRODUTOS!$D$2:$D$1006,$G41))</f>
        <v/>
      </c>
    </row>
    <row r="42" spans="1:30" ht="18.75" customHeight="1" x14ac:dyDescent="0.35">
      <c r="A42" s="8">
        <v>33</v>
      </c>
      <c r="B42" s="9"/>
      <c r="C42" s="9"/>
      <c r="D42" s="9" t="str">
        <f>IFERROR(VLOOKUP(B42,LISTAS!$A:$C,2,FALSE()),"")</f>
        <v/>
      </c>
      <c r="E42" s="9">
        <f>IFERROR(VLOOKUP(B42,LISTAS!$A:$C,3,FALSE()),0)</f>
        <v>0</v>
      </c>
      <c r="F42" s="9">
        <f t="shared" ref="F42:F59" si="4">IFERROR(C42*E42,0)</f>
        <v>0</v>
      </c>
      <c r="G42" t="str">
        <f ca="1">IFERROR(_xludf.aggregate(15,6,(ROW(BASE_PRODUTOS!$L$2:$L$1006)-ROW(BASE_PRODUTOS!$L$2)+1)/(BASE_PRODUTOS!$L$2:$L$1006&gt;0),ROWS($G$10:G42)),"")</f>
        <v/>
      </c>
      <c r="H42" s="9" t="str">
        <f ca="1">IF($G42="","",INDEX(BASE_PRODUTOS!$B$2:$B$1006,$G42))</f>
        <v/>
      </c>
      <c r="I42" s="9" t="str">
        <f ca="1">IF($G42="","",INDEX(BASE_PRODUTOS!$L$2:$L$1006,$G42))</f>
        <v/>
      </c>
      <c r="J42" s="9" t="str">
        <f ca="1">IF($G42="","",INDEX(BASE_PRODUTOS!$A$2:$A$1006,$G42))</f>
        <v/>
      </c>
      <c r="K42" s="9" t="str">
        <f ca="1">IF($G42="","",INDEX(BASE_PRODUTOS!$C$2:$C$1006,$G42))</f>
        <v/>
      </c>
      <c r="L42" s="9" t="str">
        <f ca="1">IF($G42="","",INDEX(BASE_PRODUTOS!$E$2:$E$1006,$G42))</f>
        <v/>
      </c>
      <c r="M42" s="9" t="str">
        <f ca="1">IF($G42="","",INDEX(BASE_PRODUTOS!$F$2:$F$1006,$G42))</f>
        <v/>
      </c>
      <c r="N42" s="9" t="str">
        <f ca="1">IF($G42="","",INDEX(BASE_PRODUTOS!$G$2:$G$1006,$G42))</f>
        <v/>
      </c>
      <c r="O42" s="9" t="str">
        <f ca="1">IF($G42="","",INDEX(BASE_PRODUTOS!$H$2:$H$1006,$G42))</f>
        <v/>
      </c>
      <c r="P42" s="9" t="str">
        <f ca="1">IF($G42="","",INDEX(BASE_PRODUTOS!$I$2:$I$1006,$G42))</f>
        <v/>
      </c>
      <c r="Q42" s="9" t="str">
        <f ca="1">IF($G42="","",INDEX(BASE_PRODUTOS!$J$2:$J$1006,$G42))</f>
        <v/>
      </c>
      <c r="R42" s="9" t="str">
        <f ca="1">IF($G42="","",INDEX(BASE_PRODUTOS!$M$2:$M$1006,$G42))</f>
        <v/>
      </c>
      <c r="S42" s="9" t="str">
        <f ca="1">IF($G42="","",INDEX(BASE_PRODUTOS!$N$2:$N$1006,$G42))</f>
        <v/>
      </c>
      <c r="T42" s="9" t="str">
        <f ca="1">IF($G42="","",INDEX(BASE_PRODUTOS!$D$2:$D$1006,$G42))</f>
        <v/>
      </c>
    </row>
    <row r="43" spans="1:30" ht="18.75" customHeight="1" x14ac:dyDescent="0.35">
      <c r="A43" s="8">
        <v>34</v>
      </c>
      <c r="B43" s="9"/>
      <c r="C43" s="9"/>
      <c r="D43" s="9" t="str">
        <f>IFERROR(VLOOKUP(B43,LISTAS!$A:$C,2,FALSE()),"")</f>
        <v/>
      </c>
      <c r="E43" s="9">
        <f>IFERROR(VLOOKUP(B43,LISTAS!$A:$C,3,FALSE()),0)</f>
        <v>0</v>
      </c>
      <c r="F43" s="9">
        <f t="shared" si="4"/>
        <v>0</v>
      </c>
      <c r="G43" t="str">
        <f ca="1">IFERROR(_xludf.aggregate(15,6,(ROW(BASE_PRODUTOS!$L$2:$L$1006)-ROW(BASE_PRODUTOS!$L$2)+1)/(BASE_PRODUTOS!$L$2:$L$1006&gt;0),ROWS($G$10:G43)),"")</f>
        <v/>
      </c>
      <c r="H43" s="9" t="str">
        <f ca="1">IF($G43="","",INDEX(BASE_PRODUTOS!$B$2:$B$1006,$G43))</f>
        <v/>
      </c>
      <c r="I43" s="9" t="str">
        <f ca="1">IF($G43="","",INDEX(BASE_PRODUTOS!$L$2:$L$1006,$G43))</f>
        <v/>
      </c>
      <c r="J43" s="9" t="str">
        <f ca="1">IF($G43="","",INDEX(BASE_PRODUTOS!$A$2:$A$1006,$G43))</f>
        <v/>
      </c>
      <c r="K43" s="9" t="str">
        <f ca="1">IF($G43="","",INDEX(BASE_PRODUTOS!$C$2:$C$1006,$G43))</f>
        <v/>
      </c>
      <c r="L43" s="9" t="str">
        <f ca="1">IF($G43="","",INDEX(BASE_PRODUTOS!$E$2:$E$1006,$G43))</f>
        <v/>
      </c>
      <c r="M43" s="9" t="str">
        <f ca="1">IF($G43="","",INDEX(BASE_PRODUTOS!$F$2:$F$1006,$G43))</f>
        <v/>
      </c>
      <c r="N43" s="9" t="str">
        <f ca="1">IF($G43="","",INDEX(BASE_PRODUTOS!$G$2:$G$1006,$G43))</f>
        <v/>
      </c>
      <c r="O43" s="9" t="str">
        <f ca="1">IF($G43="","",INDEX(BASE_PRODUTOS!$H$2:$H$1006,$G43))</f>
        <v/>
      </c>
      <c r="P43" s="9" t="str">
        <f ca="1">IF($G43="","",INDEX(BASE_PRODUTOS!$I$2:$I$1006,$G43))</f>
        <v/>
      </c>
      <c r="Q43" s="9" t="str">
        <f ca="1">IF($G43="","",INDEX(BASE_PRODUTOS!$J$2:$J$1006,$G43))</f>
        <v/>
      </c>
      <c r="R43" s="9" t="str">
        <f ca="1">IF($G43="","",INDEX(BASE_PRODUTOS!$M$2:$M$1006,$G43))</f>
        <v/>
      </c>
      <c r="S43" s="9" t="str">
        <f ca="1">IF($G43="","",INDEX(BASE_PRODUTOS!$N$2:$N$1006,$G43))</f>
        <v/>
      </c>
      <c r="T43" s="9" t="str">
        <f ca="1">IF($G43="","",INDEX(BASE_PRODUTOS!$D$2:$D$1006,$G43))</f>
        <v/>
      </c>
    </row>
    <row r="44" spans="1:30" ht="18.75" customHeight="1" x14ac:dyDescent="0.35">
      <c r="A44" s="8">
        <v>35</v>
      </c>
      <c r="B44" s="9"/>
      <c r="C44" s="9"/>
      <c r="D44" s="9" t="str">
        <f>IFERROR(VLOOKUP(B44,LISTAS!$A:$C,2,FALSE()),"")</f>
        <v/>
      </c>
      <c r="E44" s="9">
        <f>IFERROR(VLOOKUP(B44,LISTAS!$A:$C,3,FALSE()),0)</f>
        <v>0</v>
      </c>
      <c r="F44" s="9">
        <f t="shared" si="4"/>
        <v>0</v>
      </c>
      <c r="G44" t="str">
        <f ca="1">IFERROR(_xludf.aggregate(15,6,(ROW(BASE_PRODUTOS!$L$2:$L$1006)-ROW(BASE_PRODUTOS!$L$2)+1)/(BASE_PRODUTOS!$L$2:$L$1006&gt;0),ROWS($G$10:G44)),"")</f>
        <v/>
      </c>
      <c r="H44" s="9" t="str">
        <f ca="1">IF($G44="","",INDEX(BASE_PRODUTOS!$B$2:$B$1006,$G44))</f>
        <v/>
      </c>
      <c r="I44" s="9" t="str">
        <f ca="1">IF($G44="","",INDEX(BASE_PRODUTOS!$L$2:$L$1006,$G44))</f>
        <v/>
      </c>
      <c r="J44" s="9" t="str">
        <f ca="1">IF($G44="","",INDEX(BASE_PRODUTOS!$A$2:$A$1006,$G44))</f>
        <v/>
      </c>
      <c r="K44" s="9" t="str">
        <f ca="1">IF($G44="","",INDEX(BASE_PRODUTOS!$C$2:$C$1006,$G44))</f>
        <v/>
      </c>
      <c r="L44" s="9" t="str">
        <f ca="1">IF($G44="","",INDEX(BASE_PRODUTOS!$E$2:$E$1006,$G44))</f>
        <v/>
      </c>
      <c r="M44" s="9" t="str">
        <f ca="1">IF($G44="","",INDEX(BASE_PRODUTOS!$F$2:$F$1006,$G44))</f>
        <v/>
      </c>
      <c r="N44" s="9" t="str">
        <f ca="1">IF($G44="","",INDEX(BASE_PRODUTOS!$G$2:$G$1006,$G44))</f>
        <v/>
      </c>
      <c r="O44" s="9" t="str">
        <f ca="1">IF($G44="","",INDEX(BASE_PRODUTOS!$H$2:$H$1006,$G44))</f>
        <v/>
      </c>
      <c r="P44" s="9" t="str">
        <f ca="1">IF($G44="","",INDEX(BASE_PRODUTOS!$I$2:$I$1006,$G44))</f>
        <v/>
      </c>
      <c r="Q44" s="9" t="str">
        <f ca="1">IF($G44="","",INDEX(BASE_PRODUTOS!$J$2:$J$1006,$G44))</f>
        <v/>
      </c>
      <c r="R44" s="9" t="str">
        <f ca="1">IF($G44="","",INDEX(BASE_PRODUTOS!$M$2:$M$1006,$G44))</f>
        <v/>
      </c>
      <c r="S44" s="9" t="str">
        <f ca="1">IF($G44="","",INDEX(BASE_PRODUTOS!$N$2:$N$1006,$G44))</f>
        <v/>
      </c>
      <c r="T44" s="9" t="str">
        <f ca="1">IF($G44="","",INDEX(BASE_PRODUTOS!$D$2:$D$1006,$G44))</f>
        <v/>
      </c>
      <c r="V44" s="10"/>
      <c r="W44" s="10"/>
      <c r="X44" s="10"/>
      <c r="Y44" s="10"/>
      <c r="Z44" s="10"/>
      <c r="AA44" s="10"/>
      <c r="AB44" s="10"/>
      <c r="AC44" s="10"/>
      <c r="AD44" s="10"/>
    </row>
    <row r="45" spans="1:30" ht="18.75" customHeight="1" x14ac:dyDescent="0.35">
      <c r="A45" s="8">
        <v>36</v>
      </c>
      <c r="B45" s="9"/>
      <c r="C45" s="9"/>
      <c r="D45" s="9" t="str">
        <f>IFERROR(VLOOKUP(B45,LISTAS!$A:$C,2,FALSE()),"")</f>
        <v/>
      </c>
      <c r="E45" s="9">
        <f>IFERROR(VLOOKUP(B45,LISTAS!$A:$C,3,FALSE()),0)</f>
        <v>0</v>
      </c>
      <c r="F45" s="9">
        <f t="shared" si="4"/>
        <v>0</v>
      </c>
      <c r="G45" t="str">
        <f ca="1">IFERROR(_xludf.aggregate(15,6,(ROW(BASE_PRODUTOS!$L$2:$L$1006)-ROW(BASE_PRODUTOS!$L$2)+1)/(BASE_PRODUTOS!$L$2:$L$1006&gt;0),ROWS($G$10:G45)),"")</f>
        <v/>
      </c>
      <c r="H45" s="9" t="str">
        <f ca="1">IF($G45="","",INDEX(BASE_PRODUTOS!$B$2:$B$1006,$G45))</f>
        <v/>
      </c>
      <c r="I45" s="9" t="str">
        <f ca="1">IF($G45="","",INDEX(BASE_PRODUTOS!$L$2:$L$1006,$G45))</f>
        <v/>
      </c>
      <c r="J45" s="9" t="str">
        <f ca="1">IF($G45="","",INDEX(BASE_PRODUTOS!$A$2:$A$1006,$G45))</f>
        <v/>
      </c>
      <c r="K45" s="9" t="str">
        <f ca="1">IF($G45="","",INDEX(BASE_PRODUTOS!$C$2:$C$1006,$G45))</f>
        <v/>
      </c>
      <c r="L45" s="9" t="str">
        <f ca="1">IF($G45="","",INDEX(BASE_PRODUTOS!$E$2:$E$1006,$G45))</f>
        <v/>
      </c>
      <c r="M45" s="9" t="str">
        <f ca="1">IF($G45="","",INDEX(BASE_PRODUTOS!$F$2:$F$1006,$G45))</f>
        <v/>
      </c>
      <c r="N45" s="9" t="str">
        <f ca="1">IF($G45="","",INDEX(BASE_PRODUTOS!$G$2:$G$1006,$G45))</f>
        <v/>
      </c>
      <c r="O45" s="9" t="str">
        <f ca="1">IF($G45="","",INDEX(BASE_PRODUTOS!$H$2:$H$1006,$G45))</f>
        <v/>
      </c>
      <c r="P45" s="9" t="str">
        <f ca="1">IF($G45="","",INDEX(BASE_PRODUTOS!$I$2:$I$1006,$G45))</f>
        <v/>
      </c>
      <c r="Q45" s="9" t="str">
        <f ca="1">IF($G45="","",INDEX(BASE_PRODUTOS!$J$2:$J$1006,$G45))</f>
        <v/>
      </c>
      <c r="R45" s="9" t="str">
        <f ca="1">IF($G45="","",INDEX(BASE_PRODUTOS!$M$2:$M$1006,$G45))</f>
        <v/>
      </c>
      <c r="S45" s="9" t="str">
        <f ca="1">IF($G45="","",INDEX(BASE_PRODUTOS!$N$2:$N$1006,$G45))</f>
        <v/>
      </c>
      <c r="T45" s="9" t="str">
        <f ca="1">IF($G45="","",INDEX(BASE_PRODUTOS!$D$2:$D$1006,$G45))</f>
        <v/>
      </c>
    </row>
    <row r="46" spans="1:30" ht="18.75" customHeight="1" x14ac:dyDescent="0.35">
      <c r="A46" s="8">
        <v>37</v>
      </c>
      <c r="B46" s="9"/>
      <c r="C46" s="9"/>
      <c r="D46" s="9" t="str">
        <f>IFERROR(VLOOKUP(B46,LISTAS!$A:$C,2,FALSE()),"")</f>
        <v/>
      </c>
      <c r="E46" s="9">
        <f>IFERROR(VLOOKUP(B46,LISTAS!$A:$C,3,FALSE()),0)</f>
        <v>0</v>
      </c>
      <c r="F46" s="9">
        <f t="shared" si="4"/>
        <v>0</v>
      </c>
      <c r="G46" t="str">
        <f ca="1">IFERROR(_xludf.aggregate(15,6,(ROW(BASE_PRODUTOS!$L$2:$L$1006)-ROW(BASE_PRODUTOS!$L$2)+1)/(BASE_PRODUTOS!$L$2:$L$1006&gt;0),ROWS($G$10:G46)),"")</f>
        <v/>
      </c>
      <c r="H46" s="9" t="str">
        <f ca="1">IF($G46="","",INDEX(BASE_PRODUTOS!$B$2:$B$1006,$G46))</f>
        <v/>
      </c>
      <c r="I46" s="9" t="str">
        <f ca="1">IF($G46="","",INDEX(BASE_PRODUTOS!$L$2:$L$1006,$G46))</f>
        <v/>
      </c>
      <c r="J46" s="9" t="str">
        <f ca="1">IF($G46="","",INDEX(BASE_PRODUTOS!$A$2:$A$1006,$G46))</f>
        <v/>
      </c>
      <c r="K46" s="9" t="str">
        <f ca="1">IF($G46="","",INDEX(BASE_PRODUTOS!$C$2:$C$1006,$G46))</f>
        <v/>
      </c>
      <c r="L46" s="9" t="str">
        <f ca="1">IF($G46="","",INDEX(BASE_PRODUTOS!$E$2:$E$1006,$G46))</f>
        <v/>
      </c>
      <c r="M46" s="9" t="str">
        <f ca="1">IF($G46="","",INDEX(BASE_PRODUTOS!$F$2:$F$1006,$G46))</f>
        <v/>
      </c>
      <c r="N46" s="9" t="str">
        <f ca="1">IF($G46="","",INDEX(BASE_PRODUTOS!$G$2:$G$1006,$G46))</f>
        <v/>
      </c>
      <c r="O46" s="9" t="str">
        <f ca="1">IF($G46="","",INDEX(BASE_PRODUTOS!$H$2:$H$1006,$G46))</f>
        <v/>
      </c>
      <c r="P46" s="9" t="str">
        <f ca="1">IF($G46="","",INDEX(BASE_PRODUTOS!$I$2:$I$1006,$G46))</f>
        <v/>
      </c>
      <c r="Q46" s="9" t="str">
        <f ca="1">IF($G46="","",INDEX(BASE_PRODUTOS!$J$2:$J$1006,$G46))</f>
        <v/>
      </c>
      <c r="R46" s="9" t="str">
        <f ca="1">IF($G46="","",INDEX(BASE_PRODUTOS!$M$2:$M$1006,$G46))</f>
        <v/>
      </c>
      <c r="S46" s="9" t="str">
        <f ca="1">IF($G46="","",INDEX(BASE_PRODUTOS!$N$2:$N$1006,$G46))</f>
        <v/>
      </c>
      <c r="T46" s="9" t="str">
        <f ca="1">IF($G46="","",INDEX(BASE_PRODUTOS!$D$2:$D$1006,$G46))</f>
        <v/>
      </c>
      <c r="V46" s="10"/>
      <c r="W46" s="10"/>
      <c r="X46" s="10"/>
      <c r="Y46" s="10"/>
      <c r="Z46" s="10"/>
      <c r="AA46" s="10"/>
      <c r="AB46" s="10"/>
      <c r="AC46" s="10"/>
      <c r="AD46" s="10"/>
    </row>
    <row r="47" spans="1:30" ht="18.75" customHeight="1" x14ac:dyDescent="0.35">
      <c r="A47" s="8">
        <v>38</v>
      </c>
      <c r="B47" s="9"/>
      <c r="C47" s="9"/>
      <c r="D47" s="9" t="str">
        <f>IFERROR(VLOOKUP(B47,LISTAS!$A:$C,2,FALSE()),"")</f>
        <v/>
      </c>
      <c r="E47" s="9">
        <f>IFERROR(VLOOKUP(B47,LISTAS!$A:$C,3,FALSE()),0)</f>
        <v>0</v>
      </c>
      <c r="F47" s="9">
        <f t="shared" si="4"/>
        <v>0</v>
      </c>
      <c r="G47" t="str">
        <f ca="1">IFERROR(_xludf.aggregate(15,6,(ROW(BASE_PRODUTOS!$L$2:$L$1006)-ROW(BASE_PRODUTOS!$L$2)+1)/(BASE_PRODUTOS!$L$2:$L$1006&gt;0),ROWS($G$10:G47)),"")</f>
        <v/>
      </c>
      <c r="H47" s="9" t="str">
        <f ca="1">IF($G47="","",INDEX(BASE_PRODUTOS!$B$2:$B$1006,$G47))</f>
        <v/>
      </c>
      <c r="I47" s="9" t="str">
        <f ca="1">IF($G47="","",INDEX(BASE_PRODUTOS!$L$2:$L$1006,$G47))</f>
        <v/>
      </c>
      <c r="J47" s="9" t="str">
        <f ca="1">IF($G47="","",INDEX(BASE_PRODUTOS!$A$2:$A$1006,$G47))</f>
        <v/>
      </c>
      <c r="K47" s="9" t="str">
        <f ca="1">IF($G47="","",INDEX(BASE_PRODUTOS!$C$2:$C$1006,$G47))</f>
        <v/>
      </c>
      <c r="L47" s="9" t="str">
        <f ca="1">IF($G47="","",INDEX(BASE_PRODUTOS!$E$2:$E$1006,$G47))</f>
        <v/>
      </c>
      <c r="M47" s="9" t="str">
        <f ca="1">IF($G47="","",INDEX(BASE_PRODUTOS!$F$2:$F$1006,$G47))</f>
        <v/>
      </c>
      <c r="N47" s="9" t="str">
        <f ca="1">IF($G47="","",INDEX(BASE_PRODUTOS!$G$2:$G$1006,$G47))</f>
        <v/>
      </c>
      <c r="O47" s="9" t="str">
        <f ca="1">IF($G47="","",INDEX(BASE_PRODUTOS!$H$2:$H$1006,$G47))</f>
        <v/>
      </c>
      <c r="P47" s="9" t="str">
        <f ca="1">IF($G47="","",INDEX(BASE_PRODUTOS!$I$2:$I$1006,$G47))</f>
        <v/>
      </c>
      <c r="Q47" s="9" t="str">
        <f ca="1">IF($G47="","",INDEX(BASE_PRODUTOS!$J$2:$J$1006,$G47))</f>
        <v/>
      </c>
      <c r="R47" s="9" t="str">
        <f ca="1">IF($G47="","",INDEX(BASE_PRODUTOS!$M$2:$M$1006,$G47))</f>
        <v/>
      </c>
      <c r="S47" s="9" t="str">
        <f ca="1">IF($G47="","",INDEX(BASE_PRODUTOS!$N$2:$N$1006,$G47))</f>
        <v/>
      </c>
      <c r="T47" s="9" t="str">
        <f ca="1">IF($G47="","",INDEX(BASE_PRODUTOS!$D$2:$D$1006,$G47))</f>
        <v/>
      </c>
      <c r="V47" s="10"/>
      <c r="W47" s="10"/>
      <c r="X47" s="10"/>
      <c r="Y47" s="10"/>
      <c r="Z47" s="10"/>
      <c r="AA47" s="10"/>
      <c r="AB47" s="10"/>
      <c r="AC47" s="10"/>
      <c r="AD47" s="10"/>
    </row>
    <row r="48" spans="1:30" ht="18.75" customHeight="1" x14ac:dyDescent="0.35">
      <c r="A48" s="8">
        <v>39</v>
      </c>
      <c r="B48" s="9"/>
      <c r="C48" s="9"/>
      <c r="D48" s="9" t="str">
        <f>IFERROR(VLOOKUP(B48,LISTAS!$A:$C,2,FALSE()),"")</f>
        <v/>
      </c>
      <c r="E48" s="9">
        <f>IFERROR(VLOOKUP(B48,LISTAS!$A:$C,3,FALSE()),0)</f>
        <v>0</v>
      </c>
      <c r="F48" s="9">
        <f t="shared" si="4"/>
        <v>0</v>
      </c>
      <c r="G48" t="str">
        <f ca="1">IFERROR(_xludf.aggregate(15,6,(ROW(BASE_PRODUTOS!$L$2:$L$1006)-ROW(BASE_PRODUTOS!$L$2)+1)/(BASE_PRODUTOS!$L$2:$L$1006&gt;0),ROWS($G$10:G48)),"")</f>
        <v/>
      </c>
      <c r="H48" s="9" t="str">
        <f ca="1">IF($G48="","",INDEX(BASE_PRODUTOS!$B$2:$B$1006,$G48))</f>
        <v/>
      </c>
      <c r="I48" s="9" t="str">
        <f ca="1">IF($G48="","",INDEX(BASE_PRODUTOS!$L$2:$L$1006,$G48))</f>
        <v/>
      </c>
      <c r="J48" s="9" t="str">
        <f ca="1">IF($G48="","",INDEX(BASE_PRODUTOS!$A$2:$A$1006,$G48))</f>
        <v/>
      </c>
      <c r="K48" s="9" t="str">
        <f ca="1">IF($G48="","",INDEX(BASE_PRODUTOS!$C$2:$C$1006,$G48))</f>
        <v/>
      </c>
      <c r="L48" s="9" t="str">
        <f ca="1">IF($G48="","",INDEX(BASE_PRODUTOS!$E$2:$E$1006,$G48))</f>
        <v/>
      </c>
      <c r="M48" s="9" t="str">
        <f ca="1">IF($G48="","",INDEX(BASE_PRODUTOS!$F$2:$F$1006,$G48))</f>
        <v/>
      </c>
      <c r="N48" s="9" t="str">
        <f ca="1">IF($G48="","",INDEX(BASE_PRODUTOS!$G$2:$G$1006,$G48))</f>
        <v/>
      </c>
      <c r="O48" s="9" t="str">
        <f ca="1">IF($G48="","",INDEX(BASE_PRODUTOS!$H$2:$H$1006,$G48))</f>
        <v/>
      </c>
      <c r="P48" s="9" t="str">
        <f ca="1">IF($G48="","",INDEX(BASE_PRODUTOS!$I$2:$I$1006,$G48))</f>
        <v/>
      </c>
      <c r="Q48" s="9" t="str">
        <f ca="1">IF($G48="","",INDEX(BASE_PRODUTOS!$J$2:$J$1006,$G48))</f>
        <v/>
      </c>
      <c r="R48" s="9" t="str">
        <f ca="1">IF($G48="","",INDEX(BASE_PRODUTOS!$M$2:$M$1006,$G48))</f>
        <v/>
      </c>
      <c r="S48" s="9" t="str">
        <f ca="1">IF($G48="","",INDEX(BASE_PRODUTOS!$N$2:$N$1006,$G48))</f>
        <v/>
      </c>
      <c r="T48" s="9" t="str">
        <f ca="1">IF($G48="","",INDEX(BASE_PRODUTOS!$D$2:$D$1006,$G48))</f>
        <v/>
      </c>
      <c r="V48" s="10"/>
      <c r="W48" s="10"/>
      <c r="X48" s="10"/>
      <c r="Y48" s="10"/>
      <c r="Z48" s="10"/>
      <c r="AA48" s="10"/>
      <c r="AB48" s="10"/>
      <c r="AC48" s="10"/>
      <c r="AD48" s="10"/>
    </row>
    <row r="49" spans="1:30" ht="18.75" customHeight="1" x14ac:dyDescent="0.35">
      <c r="A49" s="8">
        <v>40</v>
      </c>
      <c r="B49" s="9"/>
      <c r="C49" s="9"/>
      <c r="D49" s="9" t="str">
        <f>IFERROR(VLOOKUP(B49,LISTAS!$A:$C,2,FALSE()),"")</f>
        <v/>
      </c>
      <c r="E49" s="9">
        <f>IFERROR(VLOOKUP(B49,LISTAS!$A:$C,3,FALSE()),0)</f>
        <v>0</v>
      </c>
      <c r="F49" s="9">
        <f t="shared" si="4"/>
        <v>0</v>
      </c>
      <c r="G49" t="str">
        <f ca="1">IFERROR(_xludf.aggregate(15,6,(ROW(BASE_PRODUTOS!$L$2:$L$1006)-ROW(BASE_PRODUTOS!$L$2)+1)/(BASE_PRODUTOS!$L$2:$L$1006&gt;0),ROWS($G$10:G49)),"")</f>
        <v/>
      </c>
      <c r="H49" s="9" t="str">
        <f ca="1">IF($G49="","",INDEX(BASE_PRODUTOS!$B$2:$B$1006,$G49))</f>
        <v/>
      </c>
      <c r="I49" s="9" t="str">
        <f ca="1">IF($G49="","",INDEX(BASE_PRODUTOS!$L$2:$L$1006,$G49))</f>
        <v/>
      </c>
      <c r="J49" s="9" t="str">
        <f ca="1">IF($G49="","",INDEX(BASE_PRODUTOS!$A$2:$A$1006,$G49))</f>
        <v/>
      </c>
      <c r="K49" s="9" t="str">
        <f ca="1">IF($G49="","",INDEX(BASE_PRODUTOS!$C$2:$C$1006,$G49))</f>
        <v/>
      </c>
      <c r="L49" s="9" t="str">
        <f ca="1">IF($G49="","",INDEX(BASE_PRODUTOS!$E$2:$E$1006,$G49))</f>
        <v/>
      </c>
      <c r="M49" s="9" t="str">
        <f ca="1">IF($G49="","",INDEX(BASE_PRODUTOS!$F$2:$F$1006,$G49))</f>
        <v/>
      </c>
      <c r="N49" s="9" t="str">
        <f ca="1">IF($G49="","",INDEX(BASE_PRODUTOS!$G$2:$G$1006,$G49))</f>
        <v/>
      </c>
      <c r="O49" s="9" t="str">
        <f ca="1">IF($G49="","",INDEX(BASE_PRODUTOS!$H$2:$H$1006,$G49))</f>
        <v/>
      </c>
      <c r="P49" s="9" t="str">
        <f ca="1">IF($G49="","",INDEX(BASE_PRODUTOS!$I$2:$I$1006,$G49))</f>
        <v/>
      </c>
      <c r="Q49" s="9" t="str">
        <f ca="1">IF($G49="","",INDEX(BASE_PRODUTOS!$J$2:$J$1006,$G49))</f>
        <v/>
      </c>
      <c r="R49" s="9" t="str">
        <f ca="1">IF($G49="","",INDEX(BASE_PRODUTOS!$M$2:$M$1006,$G49))</f>
        <v/>
      </c>
      <c r="S49" s="9" t="str">
        <f ca="1">IF($G49="","",INDEX(BASE_PRODUTOS!$N$2:$N$1006,$G49))</f>
        <v/>
      </c>
      <c r="T49" s="9" t="str">
        <f ca="1">IF($G49="","",INDEX(BASE_PRODUTOS!$D$2:$D$1006,$G49))</f>
        <v/>
      </c>
      <c r="V49" s="10"/>
      <c r="W49" s="10"/>
      <c r="X49" s="10"/>
      <c r="Y49" s="10"/>
      <c r="Z49" s="10"/>
      <c r="AA49" s="10"/>
      <c r="AB49" s="10"/>
      <c r="AC49" s="10"/>
      <c r="AD49" s="10"/>
    </row>
    <row r="50" spans="1:30" ht="18.75" customHeight="1" x14ac:dyDescent="0.35">
      <c r="A50" s="8">
        <v>41</v>
      </c>
      <c r="B50" s="9"/>
      <c r="C50" s="9"/>
      <c r="D50" s="9" t="str">
        <f>IFERROR(VLOOKUP(B50,LISTAS!$A:$C,2,FALSE()),"")</f>
        <v/>
      </c>
      <c r="E50" s="9">
        <f>IFERROR(VLOOKUP(B50,LISTAS!$A:$C,3,FALSE()),0)</f>
        <v>0</v>
      </c>
      <c r="F50" s="9">
        <f t="shared" si="4"/>
        <v>0</v>
      </c>
      <c r="G50" t="str">
        <f ca="1">IFERROR(_xludf.aggregate(15,6,(ROW(BASE_PRODUTOS!$L$2:$L$1006)-ROW(BASE_PRODUTOS!$L$2)+1)/(BASE_PRODUTOS!$L$2:$L$1006&gt;0),ROWS($G$10:G50)),"")</f>
        <v/>
      </c>
      <c r="H50" s="9" t="str">
        <f ca="1">IF($G50="","",INDEX(BASE_PRODUTOS!$B$2:$B$1006,$G50))</f>
        <v/>
      </c>
      <c r="I50" s="9" t="str">
        <f ca="1">IF($G50="","",INDEX(BASE_PRODUTOS!$L$2:$L$1006,$G50))</f>
        <v/>
      </c>
      <c r="J50" s="9" t="str">
        <f ca="1">IF($G50="","",INDEX(BASE_PRODUTOS!$A$2:$A$1006,$G50))</f>
        <v/>
      </c>
      <c r="K50" s="9" t="str">
        <f ca="1">IF($G50="","",INDEX(BASE_PRODUTOS!$C$2:$C$1006,$G50))</f>
        <v/>
      </c>
      <c r="L50" s="9" t="str">
        <f ca="1">IF($G50="","",INDEX(BASE_PRODUTOS!$E$2:$E$1006,$G50))</f>
        <v/>
      </c>
      <c r="M50" s="9" t="str">
        <f ca="1">IF($G50="","",INDEX(BASE_PRODUTOS!$F$2:$F$1006,$G50))</f>
        <v/>
      </c>
      <c r="N50" s="9" t="str">
        <f ca="1">IF($G50="","",INDEX(BASE_PRODUTOS!$G$2:$G$1006,$G50))</f>
        <v/>
      </c>
      <c r="O50" s="9" t="str">
        <f ca="1">IF($G50="","",INDEX(BASE_PRODUTOS!$H$2:$H$1006,$G50))</f>
        <v/>
      </c>
      <c r="P50" s="9" t="str">
        <f ca="1">IF($G50="","",INDEX(BASE_PRODUTOS!$I$2:$I$1006,$G50))</f>
        <v/>
      </c>
      <c r="Q50" s="9" t="str">
        <f ca="1">IF($G50="","",INDEX(BASE_PRODUTOS!$J$2:$J$1006,$G50))</f>
        <v/>
      </c>
      <c r="R50" s="9" t="str">
        <f ca="1">IF($G50="","",INDEX(BASE_PRODUTOS!$M$2:$M$1006,$G50))</f>
        <v/>
      </c>
      <c r="S50" s="9" t="str">
        <f ca="1">IF($G50="","",INDEX(BASE_PRODUTOS!$N$2:$N$1006,$G50))</f>
        <v/>
      </c>
      <c r="T50" s="9" t="str">
        <f ca="1">IF($G50="","",INDEX(BASE_PRODUTOS!$D$2:$D$1006,$G50))</f>
        <v/>
      </c>
      <c r="V50" s="10"/>
      <c r="W50" s="10"/>
      <c r="X50" s="10"/>
      <c r="Y50" s="10"/>
      <c r="Z50" s="10"/>
      <c r="AA50" s="10"/>
      <c r="AB50" s="10"/>
      <c r="AC50" s="10"/>
      <c r="AD50" s="10"/>
    </row>
    <row r="51" spans="1:30" ht="18.75" customHeight="1" x14ac:dyDescent="0.35">
      <c r="A51" s="8">
        <v>42</v>
      </c>
      <c r="B51" s="9"/>
      <c r="C51" s="9"/>
      <c r="D51" s="9" t="str">
        <f>IFERROR(VLOOKUP(B51,LISTAS!$A:$C,2,FALSE()),"")</f>
        <v/>
      </c>
      <c r="E51" s="9">
        <f>IFERROR(VLOOKUP(B51,LISTAS!$A:$C,3,FALSE()),0)</f>
        <v>0</v>
      </c>
      <c r="F51" s="9">
        <f t="shared" si="4"/>
        <v>0</v>
      </c>
      <c r="G51" t="str">
        <f ca="1">IFERROR(_xludf.aggregate(15,6,(ROW(BASE_PRODUTOS!$L$2:$L$1006)-ROW(BASE_PRODUTOS!$L$2)+1)/(BASE_PRODUTOS!$L$2:$L$1006&gt;0),ROWS($G$10:G51)),"")</f>
        <v/>
      </c>
      <c r="H51" s="9" t="str">
        <f ca="1">IF($G51="","",INDEX(BASE_PRODUTOS!$B$2:$B$1006,$G51))</f>
        <v/>
      </c>
      <c r="I51" s="9" t="str">
        <f ca="1">IF($G51="","",INDEX(BASE_PRODUTOS!$L$2:$L$1006,$G51))</f>
        <v/>
      </c>
      <c r="J51" s="9" t="str">
        <f ca="1">IF($G51="","",INDEX(BASE_PRODUTOS!$A$2:$A$1006,$G51))</f>
        <v/>
      </c>
      <c r="K51" s="9" t="str">
        <f ca="1">IF($G51="","",INDEX(BASE_PRODUTOS!$C$2:$C$1006,$G51))</f>
        <v/>
      </c>
      <c r="L51" s="9" t="str">
        <f ca="1">IF($G51="","",INDEX(BASE_PRODUTOS!$E$2:$E$1006,$G51))</f>
        <v/>
      </c>
      <c r="M51" s="9" t="str">
        <f ca="1">IF($G51="","",INDEX(BASE_PRODUTOS!$F$2:$F$1006,$G51))</f>
        <v/>
      </c>
      <c r="N51" s="9" t="str">
        <f ca="1">IF($G51="","",INDEX(BASE_PRODUTOS!$G$2:$G$1006,$G51))</f>
        <v/>
      </c>
      <c r="O51" s="9" t="str">
        <f ca="1">IF($G51="","",INDEX(BASE_PRODUTOS!$H$2:$H$1006,$G51))</f>
        <v/>
      </c>
      <c r="P51" s="9" t="str">
        <f ca="1">IF($G51="","",INDEX(BASE_PRODUTOS!$I$2:$I$1006,$G51))</f>
        <v/>
      </c>
      <c r="Q51" s="9" t="str">
        <f ca="1">IF($G51="","",INDEX(BASE_PRODUTOS!$J$2:$J$1006,$G51))</f>
        <v/>
      </c>
      <c r="R51" s="9" t="str">
        <f ca="1">IF($G51="","",INDEX(BASE_PRODUTOS!$M$2:$M$1006,$G51))</f>
        <v/>
      </c>
      <c r="S51" s="9" t="str">
        <f ca="1">IF($G51="","",INDEX(BASE_PRODUTOS!$N$2:$N$1006,$G51))</f>
        <v/>
      </c>
      <c r="T51" s="9" t="str">
        <f ca="1">IF($G51="","",INDEX(BASE_PRODUTOS!$D$2:$D$1006,$G51))</f>
        <v/>
      </c>
      <c r="V51" s="10"/>
      <c r="W51" s="10"/>
      <c r="X51" s="10"/>
      <c r="Y51" s="10"/>
      <c r="Z51" s="10"/>
      <c r="AA51" s="10"/>
      <c r="AB51" s="10"/>
      <c r="AC51" s="10"/>
      <c r="AD51" s="10"/>
    </row>
    <row r="52" spans="1:30" ht="18.75" customHeight="1" x14ac:dyDescent="0.35">
      <c r="A52" s="8">
        <v>43</v>
      </c>
      <c r="B52" s="9"/>
      <c r="C52" s="9"/>
      <c r="D52" s="9" t="str">
        <f>IFERROR(VLOOKUP(B52,LISTAS!$A:$C,2,FALSE()),"")</f>
        <v/>
      </c>
      <c r="E52" s="9">
        <f>IFERROR(VLOOKUP(B52,LISTAS!$A:$C,3,FALSE()),0)</f>
        <v>0</v>
      </c>
      <c r="F52" s="9">
        <f t="shared" si="4"/>
        <v>0</v>
      </c>
      <c r="G52" t="str">
        <f ca="1">IFERROR(_xludf.aggregate(15,6,(ROW(BASE_PRODUTOS!$L$2:$L$1006)-ROW(BASE_PRODUTOS!$L$2)+1)/(BASE_PRODUTOS!$L$2:$L$1006&gt;0),ROWS($G$10:G52)),"")</f>
        <v/>
      </c>
      <c r="H52" s="9" t="str">
        <f ca="1">IF($G52="","",INDEX(BASE_PRODUTOS!$B$2:$B$1006,$G52))</f>
        <v/>
      </c>
      <c r="I52" s="9" t="str">
        <f ca="1">IF($G52="","",INDEX(BASE_PRODUTOS!$L$2:$L$1006,$G52))</f>
        <v/>
      </c>
      <c r="J52" s="9" t="str">
        <f ca="1">IF($G52="","",INDEX(BASE_PRODUTOS!$A$2:$A$1006,$G52))</f>
        <v/>
      </c>
      <c r="K52" s="9" t="str">
        <f ca="1">IF($G52="","",INDEX(BASE_PRODUTOS!$C$2:$C$1006,$G52))</f>
        <v/>
      </c>
      <c r="L52" s="9" t="str">
        <f ca="1">IF($G52="","",INDEX(BASE_PRODUTOS!$E$2:$E$1006,$G52))</f>
        <v/>
      </c>
      <c r="M52" s="9" t="str">
        <f ca="1">IF($G52="","",INDEX(BASE_PRODUTOS!$F$2:$F$1006,$G52))</f>
        <v/>
      </c>
      <c r="N52" s="9" t="str">
        <f ca="1">IF($G52="","",INDEX(BASE_PRODUTOS!$G$2:$G$1006,$G52))</f>
        <v/>
      </c>
      <c r="O52" s="9" t="str">
        <f ca="1">IF($G52="","",INDEX(BASE_PRODUTOS!$H$2:$H$1006,$G52))</f>
        <v/>
      </c>
      <c r="P52" s="9" t="str">
        <f ca="1">IF($G52="","",INDEX(BASE_PRODUTOS!$I$2:$I$1006,$G52))</f>
        <v/>
      </c>
      <c r="Q52" s="9" t="str">
        <f ca="1">IF($G52="","",INDEX(BASE_PRODUTOS!$J$2:$J$1006,$G52))</f>
        <v/>
      </c>
      <c r="R52" s="9" t="str">
        <f ca="1">IF($G52="","",INDEX(BASE_PRODUTOS!$M$2:$M$1006,$G52))</f>
        <v/>
      </c>
      <c r="S52" s="9" t="str">
        <f ca="1">IF($G52="","",INDEX(BASE_PRODUTOS!$N$2:$N$1006,$G52))</f>
        <v/>
      </c>
      <c r="T52" s="9" t="str">
        <f ca="1">IF($G52="","",INDEX(BASE_PRODUTOS!$D$2:$D$1006,$G52))</f>
        <v/>
      </c>
      <c r="V52" s="10"/>
      <c r="W52" s="10"/>
      <c r="X52" s="10"/>
      <c r="Y52" s="10"/>
      <c r="Z52" s="10"/>
      <c r="AA52" s="10"/>
      <c r="AB52" s="10"/>
      <c r="AC52" s="10"/>
      <c r="AD52" s="10"/>
    </row>
    <row r="53" spans="1:30" ht="18.75" customHeight="1" x14ac:dyDescent="0.35">
      <c r="A53" s="8">
        <v>44</v>
      </c>
      <c r="B53" s="9"/>
      <c r="C53" s="9"/>
      <c r="D53" s="9" t="str">
        <f>IFERROR(VLOOKUP(B53,LISTAS!$A:$C,2,FALSE()),"")</f>
        <v/>
      </c>
      <c r="E53" s="9">
        <f>IFERROR(VLOOKUP(B53,LISTAS!$A:$C,3,FALSE()),0)</f>
        <v>0</v>
      </c>
      <c r="F53" s="9">
        <f t="shared" si="4"/>
        <v>0</v>
      </c>
      <c r="G53" t="str">
        <f ca="1">IFERROR(_xludf.aggregate(15,6,(ROW(BASE_PRODUTOS!$L$2:$L$1006)-ROW(BASE_PRODUTOS!$L$2)+1)/(BASE_PRODUTOS!$L$2:$L$1006&gt;0),ROWS($G$10:G53)),"")</f>
        <v/>
      </c>
      <c r="H53" s="9" t="str">
        <f ca="1">IF($G53="","",INDEX(BASE_PRODUTOS!$B$2:$B$1006,$G53))</f>
        <v/>
      </c>
      <c r="I53" s="9" t="str">
        <f ca="1">IF($G53="","",INDEX(BASE_PRODUTOS!$L$2:$L$1006,$G53))</f>
        <v/>
      </c>
      <c r="J53" s="9" t="str">
        <f ca="1">IF($G53="","",INDEX(BASE_PRODUTOS!$A$2:$A$1006,$G53))</f>
        <v/>
      </c>
      <c r="K53" s="9" t="str">
        <f ca="1">IF($G53="","",INDEX(BASE_PRODUTOS!$C$2:$C$1006,$G53))</f>
        <v/>
      </c>
      <c r="L53" s="9" t="str">
        <f ca="1">IF($G53="","",INDEX(BASE_PRODUTOS!$E$2:$E$1006,$G53))</f>
        <v/>
      </c>
      <c r="M53" s="9" t="str">
        <f ca="1">IF($G53="","",INDEX(BASE_PRODUTOS!$F$2:$F$1006,$G53))</f>
        <v/>
      </c>
      <c r="N53" s="9" t="str">
        <f ca="1">IF($G53="","",INDEX(BASE_PRODUTOS!$G$2:$G$1006,$G53))</f>
        <v/>
      </c>
      <c r="O53" s="9" t="str">
        <f ca="1">IF($G53="","",INDEX(BASE_PRODUTOS!$H$2:$H$1006,$G53))</f>
        <v/>
      </c>
      <c r="P53" s="9" t="str">
        <f ca="1">IF($G53="","",INDEX(BASE_PRODUTOS!$I$2:$I$1006,$G53))</f>
        <v/>
      </c>
      <c r="Q53" s="9" t="str">
        <f ca="1">IF($G53="","",INDEX(BASE_PRODUTOS!$J$2:$J$1006,$G53))</f>
        <v/>
      </c>
      <c r="R53" s="9" t="str">
        <f ca="1">IF($G53="","",INDEX(BASE_PRODUTOS!$M$2:$M$1006,$G53))</f>
        <v/>
      </c>
      <c r="S53" s="9" t="str">
        <f ca="1">IF($G53="","",INDEX(BASE_PRODUTOS!$N$2:$N$1006,$G53))</f>
        <v/>
      </c>
      <c r="T53" s="9" t="str">
        <f ca="1">IF($G53="","",INDEX(BASE_PRODUTOS!$D$2:$D$1006,$G53))</f>
        <v/>
      </c>
      <c r="V53" s="10"/>
      <c r="W53" s="10"/>
      <c r="X53" s="10"/>
      <c r="Y53" s="10"/>
      <c r="Z53" s="10"/>
      <c r="AA53" s="10"/>
      <c r="AB53" s="10"/>
      <c r="AC53" s="10"/>
      <c r="AD53" s="10"/>
    </row>
    <row r="54" spans="1:30" ht="18.75" customHeight="1" x14ac:dyDescent="0.35">
      <c r="A54" s="8">
        <v>45</v>
      </c>
      <c r="B54" s="9"/>
      <c r="C54" s="9"/>
      <c r="D54" s="9" t="str">
        <f>IFERROR(VLOOKUP(B54,LISTAS!$A:$C,2,FALSE()),"")</f>
        <v/>
      </c>
      <c r="E54" s="9">
        <f>IFERROR(VLOOKUP(B54,LISTAS!$A:$C,3,FALSE()),0)</f>
        <v>0</v>
      </c>
      <c r="F54" s="9">
        <f t="shared" si="4"/>
        <v>0</v>
      </c>
      <c r="G54" t="str">
        <f ca="1">IFERROR(_xludf.aggregate(15,6,(ROW(BASE_PRODUTOS!$L$2:$L$1006)-ROW(BASE_PRODUTOS!$L$2)+1)/(BASE_PRODUTOS!$L$2:$L$1006&gt;0),ROWS($G$10:G54)),"")</f>
        <v/>
      </c>
      <c r="H54" s="9" t="str">
        <f ca="1">IF($G54="","",INDEX(BASE_PRODUTOS!$B$2:$B$1006,$G54))</f>
        <v/>
      </c>
      <c r="I54" s="9" t="str">
        <f ca="1">IF($G54="","",INDEX(BASE_PRODUTOS!$L$2:$L$1006,$G54))</f>
        <v/>
      </c>
      <c r="J54" s="9" t="str">
        <f ca="1">IF($G54="","",INDEX(BASE_PRODUTOS!$A$2:$A$1006,$G54))</f>
        <v/>
      </c>
      <c r="K54" s="9" t="str">
        <f ca="1">IF($G54="","",INDEX(BASE_PRODUTOS!$C$2:$C$1006,$G54))</f>
        <v/>
      </c>
      <c r="L54" s="9" t="str">
        <f ca="1">IF($G54="","",INDEX(BASE_PRODUTOS!$E$2:$E$1006,$G54))</f>
        <v/>
      </c>
      <c r="M54" s="9" t="str">
        <f ca="1">IF($G54="","",INDEX(BASE_PRODUTOS!$F$2:$F$1006,$G54))</f>
        <v/>
      </c>
      <c r="N54" s="9" t="str">
        <f ca="1">IF($G54="","",INDEX(BASE_PRODUTOS!$G$2:$G$1006,$G54))</f>
        <v/>
      </c>
      <c r="O54" s="9" t="str">
        <f ca="1">IF($G54="","",INDEX(BASE_PRODUTOS!$H$2:$H$1006,$G54))</f>
        <v/>
      </c>
      <c r="P54" s="9" t="str">
        <f ca="1">IF($G54="","",INDEX(BASE_PRODUTOS!$I$2:$I$1006,$G54))</f>
        <v/>
      </c>
      <c r="Q54" s="9" t="str">
        <f ca="1">IF($G54="","",INDEX(BASE_PRODUTOS!$J$2:$J$1006,$G54))</f>
        <v/>
      </c>
      <c r="R54" s="9" t="str">
        <f ca="1">IF($G54="","",INDEX(BASE_PRODUTOS!$M$2:$M$1006,$G54))</f>
        <v/>
      </c>
      <c r="S54" s="9" t="str">
        <f ca="1">IF($G54="","",INDEX(BASE_PRODUTOS!$N$2:$N$1006,$G54))</f>
        <v/>
      </c>
      <c r="T54" s="9" t="str">
        <f ca="1">IF($G54="","",INDEX(BASE_PRODUTOS!$D$2:$D$1006,$G54))</f>
        <v/>
      </c>
      <c r="V54" s="10"/>
      <c r="W54" s="10"/>
      <c r="X54" s="10"/>
      <c r="Y54" s="10"/>
      <c r="Z54" s="10"/>
      <c r="AA54" s="10"/>
      <c r="AB54" s="10"/>
      <c r="AC54" s="10"/>
      <c r="AD54" s="10"/>
    </row>
    <row r="55" spans="1:30" ht="18.75" customHeight="1" x14ac:dyDescent="0.35">
      <c r="A55" s="8">
        <v>46</v>
      </c>
      <c r="B55" s="9"/>
      <c r="C55" s="9"/>
      <c r="D55" s="9" t="str">
        <f>IFERROR(VLOOKUP(B55,LISTAS!$A:$C,2,FALSE()),"")</f>
        <v/>
      </c>
      <c r="E55" s="9">
        <f>IFERROR(VLOOKUP(B55,LISTAS!$A:$C,3,FALSE()),0)</f>
        <v>0</v>
      </c>
      <c r="F55" s="9">
        <f t="shared" si="4"/>
        <v>0</v>
      </c>
      <c r="G55" t="str">
        <f ca="1">IFERROR(_xludf.aggregate(15,6,(ROW(BASE_PRODUTOS!$L$2:$L$1006)-ROW(BASE_PRODUTOS!$L$2)+1)/(BASE_PRODUTOS!$L$2:$L$1006&gt;0),ROWS($G$10:G55)),"")</f>
        <v/>
      </c>
      <c r="H55" s="9" t="str">
        <f ca="1">IF($G55="","",INDEX(BASE_PRODUTOS!$B$2:$B$1006,$G55))</f>
        <v/>
      </c>
      <c r="I55" s="9" t="str">
        <f ca="1">IF($G55="","",INDEX(BASE_PRODUTOS!$L$2:$L$1006,$G55))</f>
        <v/>
      </c>
      <c r="J55" s="9" t="str">
        <f ca="1">IF($G55="","",INDEX(BASE_PRODUTOS!$A$2:$A$1006,$G55))</f>
        <v/>
      </c>
      <c r="K55" s="9" t="str">
        <f ca="1">IF($G55="","",INDEX(BASE_PRODUTOS!$C$2:$C$1006,$G55))</f>
        <v/>
      </c>
      <c r="L55" s="9" t="str">
        <f ca="1">IF($G55="","",INDEX(BASE_PRODUTOS!$E$2:$E$1006,$G55))</f>
        <v/>
      </c>
      <c r="M55" s="9" t="str">
        <f ca="1">IF($G55="","",INDEX(BASE_PRODUTOS!$F$2:$F$1006,$G55))</f>
        <v/>
      </c>
      <c r="N55" s="9" t="str">
        <f ca="1">IF($G55="","",INDEX(BASE_PRODUTOS!$G$2:$G$1006,$G55))</f>
        <v/>
      </c>
      <c r="O55" s="9" t="str">
        <f ca="1">IF($G55="","",INDEX(BASE_PRODUTOS!$H$2:$H$1006,$G55))</f>
        <v/>
      </c>
      <c r="P55" s="9" t="str">
        <f ca="1">IF($G55="","",INDEX(BASE_PRODUTOS!$I$2:$I$1006,$G55))</f>
        <v/>
      </c>
      <c r="Q55" s="9" t="str">
        <f ca="1">IF($G55="","",INDEX(BASE_PRODUTOS!$J$2:$J$1006,$G55))</f>
        <v/>
      </c>
      <c r="R55" s="9" t="str">
        <f ca="1">IF($G55="","",INDEX(BASE_PRODUTOS!$M$2:$M$1006,$G55))</f>
        <v/>
      </c>
      <c r="S55" s="9" t="str">
        <f ca="1">IF($G55="","",INDEX(BASE_PRODUTOS!$N$2:$N$1006,$G55))</f>
        <v/>
      </c>
      <c r="T55" s="9" t="str">
        <f ca="1">IF($G55="","",INDEX(BASE_PRODUTOS!$D$2:$D$1006,$G55))</f>
        <v/>
      </c>
      <c r="V55" s="10"/>
      <c r="W55" s="10"/>
      <c r="X55" s="10"/>
      <c r="Y55" s="10"/>
      <c r="Z55" s="10"/>
      <c r="AA55" s="10"/>
      <c r="AB55" s="10"/>
      <c r="AC55" s="10"/>
      <c r="AD55" s="10"/>
    </row>
    <row r="56" spans="1:30" ht="18.75" customHeight="1" x14ac:dyDescent="0.35">
      <c r="A56" s="8">
        <v>47</v>
      </c>
      <c r="B56" s="9"/>
      <c r="C56" s="9"/>
      <c r="D56" s="9" t="str">
        <f>IFERROR(VLOOKUP(B56,LISTAS!$A:$C,2,FALSE()),"")</f>
        <v/>
      </c>
      <c r="E56" s="9">
        <f>IFERROR(VLOOKUP(B56,LISTAS!$A:$C,3,FALSE()),0)</f>
        <v>0</v>
      </c>
      <c r="F56" s="9">
        <f t="shared" si="4"/>
        <v>0</v>
      </c>
      <c r="G56" t="str">
        <f ca="1">IFERROR(_xludf.aggregate(15,6,(ROW(BASE_PRODUTOS!$L$2:$L$1006)-ROW(BASE_PRODUTOS!$L$2)+1)/(BASE_PRODUTOS!$L$2:$L$1006&gt;0),ROWS($G$10:G56)),"")</f>
        <v/>
      </c>
      <c r="H56" s="9" t="str">
        <f ca="1">IF($G56="","",INDEX(BASE_PRODUTOS!$B$2:$B$1006,$G56))</f>
        <v/>
      </c>
      <c r="I56" s="9" t="str">
        <f ca="1">IF($G56="","",INDEX(BASE_PRODUTOS!$L$2:$L$1006,$G56))</f>
        <v/>
      </c>
      <c r="J56" s="9" t="str">
        <f ca="1">IF($G56="","",INDEX(BASE_PRODUTOS!$A$2:$A$1006,$G56))</f>
        <v/>
      </c>
      <c r="K56" s="9" t="str">
        <f ca="1">IF($G56="","",INDEX(BASE_PRODUTOS!$C$2:$C$1006,$G56))</f>
        <v/>
      </c>
      <c r="L56" s="9" t="str">
        <f ca="1">IF($G56="","",INDEX(BASE_PRODUTOS!$E$2:$E$1006,$G56))</f>
        <v/>
      </c>
      <c r="M56" s="9" t="str">
        <f ca="1">IF($G56="","",INDEX(BASE_PRODUTOS!$F$2:$F$1006,$G56))</f>
        <v/>
      </c>
      <c r="N56" s="9" t="str">
        <f ca="1">IF($G56="","",INDEX(BASE_PRODUTOS!$G$2:$G$1006,$G56))</f>
        <v/>
      </c>
      <c r="O56" s="9" t="str">
        <f ca="1">IF($G56="","",INDEX(BASE_PRODUTOS!$H$2:$H$1006,$G56))</f>
        <v/>
      </c>
      <c r="P56" s="9" t="str">
        <f ca="1">IF($G56="","",INDEX(BASE_PRODUTOS!$I$2:$I$1006,$G56))</f>
        <v/>
      </c>
      <c r="Q56" s="9" t="str">
        <f ca="1">IF($G56="","",INDEX(BASE_PRODUTOS!$J$2:$J$1006,$G56))</f>
        <v/>
      </c>
      <c r="R56" s="9" t="str">
        <f ca="1">IF($G56="","",INDEX(BASE_PRODUTOS!$M$2:$M$1006,$G56))</f>
        <v/>
      </c>
      <c r="S56" s="9" t="str">
        <f ca="1">IF($G56="","",INDEX(BASE_PRODUTOS!$N$2:$N$1006,$G56))</f>
        <v/>
      </c>
      <c r="T56" s="9" t="str">
        <f ca="1">IF($G56="","",INDEX(BASE_PRODUTOS!$D$2:$D$1006,$G56))</f>
        <v/>
      </c>
      <c r="V56" s="10"/>
      <c r="W56" s="10"/>
      <c r="X56" s="10"/>
      <c r="Y56" s="10"/>
      <c r="Z56" s="10"/>
      <c r="AA56" s="10"/>
      <c r="AB56" s="10"/>
      <c r="AC56" s="10"/>
      <c r="AD56" s="10"/>
    </row>
    <row r="57" spans="1:30" ht="18.75" customHeight="1" x14ac:dyDescent="0.35">
      <c r="A57" s="8">
        <v>48</v>
      </c>
      <c r="B57" s="9"/>
      <c r="C57" s="9"/>
      <c r="D57" s="9" t="str">
        <f>IFERROR(VLOOKUP(B57,LISTAS!$A:$C,2,FALSE()),"")</f>
        <v/>
      </c>
      <c r="E57" s="9">
        <f>IFERROR(VLOOKUP(B57,LISTAS!$A:$C,3,FALSE()),0)</f>
        <v>0</v>
      </c>
      <c r="F57" s="9">
        <f t="shared" si="4"/>
        <v>0</v>
      </c>
      <c r="G57" t="str">
        <f ca="1">IFERROR(_xludf.aggregate(15,6,(ROW(BASE_PRODUTOS!$L$2:$L$1006)-ROW(BASE_PRODUTOS!$L$2)+1)/(BASE_PRODUTOS!$L$2:$L$1006&gt;0),ROWS($G$10:G57)),"")</f>
        <v/>
      </c>
      <c r="H57" s="9" t="str">
        <f ca="1">IF($G57="","",INDEX(BASE_PRODUTOS!$B$2:$B$1006,$G57))</f>
        <v/>
      </c>
      <c r="I57" s="9" t="str">
        <f ca="1">IF($G57="","",INDEX(BASE_PRODUTOS!$L$2:$L$1006,$G57))</f>
        <v/>
      </c>
      <c r="J57" s="9" t="str">
        <f ca="1">IF($G57="","",INDEX(BASE_PRODUTOS!$A$2:$A$1006,$G57))</f>
        <v/>
      </c>
      <c r="K57" s="9" t="str">
        <f ca="1">IF($G57="","",INDEX(BASE_PRODUTOS!$C$2:$C$1006,$G57))</f>
        <v/>
      </c>
      <c r="L57" s="9" t="str">
        <f ca="1">IF($G57="","",INDEX(BASE_PRODUTOS!$E$2:$E$1006,$G57))</f>
        <v/>
      </c>
      <c r="M57" s="9" t="str">
        <f ca="1">IF($G57="","",INDEX(BASE_PRODUTOS!$F$2:$F$1006,$G57))</f>
        <v/>
      </c>
      <c r="N57" s="9" t="str">
        <f ca="1">IF($G57="","",INDEX(BASE_PRODUTOS!$G$2:$G$1006,$G57))</f>
        <v/>
      </c>
      <c r="O57" s="9" t="str">
        <f ca="1">IF($G57="","",INDEX(BASE_PRODUTOS!$H$2:$H$1006,$G57))</f>
        <v/>
      </c>
      <c r="P57" s="9" t="str">
        <f ca="1">IF($G57="","",INDEX(BASE_PRODUTOS!$I$2:$I$1006,$G57))</f>
        <v/>
      </c>
      <c r="Q57" s="9" t="str">
        <f ca="1">IF($G57="","",INDEX(BASE_PRODUTOS!$J$2:$J$1006,$G57))</f>
        <v/>
      </c>
      <c r="R57" s="9" t="str">
        <f ca="1">IF($G57="","",INDEX(BASE_PRODUTOS!$M$2:$M$1006,$G57))</f>
        <v/>
      </c>
      <c r="S57" s="9" t="str">
        <f ca="1">IF($G57="","",INDEX(BASE_PRODUTOS!$N$2:$N$1006,$G57))</f>
        <v/>
      </c>
      <c r="T57" s="9" t="str">
        <f ca="1">IF($G57="","",INDEX(BASE_PRODUTOS!$D$2:$D$1006,$G57))</f>
        <v/>
      </c>
      <c r="V57" s="10"/>
      <c r="W57" s="10"/>
      <c r="X57" s="10"/>
      <c r="Y57" s="10"/>
      <c r="Z57" s="10"/>
      <c r="AA57" s="10"/>
      <c r="AB57" s="10"/>
      <c r="AC57" s="10"/>
      <c r="AD57" s="10"/>
    </row>
    <row r="58" spans="1:30" ht="18.75" customHeight="1" x14ac:dyDescent="0.35">
      <c r="A58" s="8">
        <v>49</v>
      </c>
      <c r="B58" s="9"/>
      <c r="C58" s="9"/>
      <c r="D58" s="9" t="str">
        <f>IFERROR(VLOOKUP(B58,LISTAS!$A:$C,2,FALSE()),"")</f>
        <v/>
      </c>
      <c r="E58" s="9">
        <f>IFERROR(VLOOKUP(B58,LISTAS!$A:$C,3,FALSE()),0)</f>
        <v>0</v>
      </c>
      <c r="F58" s="9">
        <f t="shared" si="4"/>
        <v>0</v>
      </c>
      <c r="G58" t="str">
        <f ca="1">IFERROR(_xludf.aggregate(15,6,(ROW(BASE_PRODUTOS!$L$2:$L$1006)-ROW(BASE_PRODUTOS!$L$2)+1)/(BASE_PRODUTOS!$L$2:$L$1006&gt;0),ROWS($G$10:G58)),"")</f>
        <v/>
      </c>
      <c r="H58" s="9" t="str">
        <f ca="1">IF($G58="","",INDEX(BASE_PRODUTOS!$B$2:$B$1006,$G58))</f>
        <v/>
      </c>
      <c r="I58" s="9" t="str">
        <f ca="1">IF($G58="","",INDEX(BASE_PRODUTOS!$L$2:$L$1006,$G58))</f>
        <v/>
      </c>
      <c r="J58" s="9" t="str">
        <f ca="1">IF($G58="","",INDEX(BASE_PRODUTOS!$A$2:$A$1006,$G58))</f>
        <v/>
      </c>
      <c r="K58" s="9" t="str">
        <f ca="1">IF($G58="","",INDEX(BASE_PRODUTOS!$C$2:$C$1006,$G58))</f>
        <v/>
      </c>
      <c r="L58" s="9" t="str">
        <f ca="1">IF($G58="","",INDEX(BASE_PRODUTOS!$E$2:$E$1006,$G58))</f>
        <v/>
      </c>
      <c r="M58" s="9" t="str">
        <f ca="1">IF($G58="","",INDEX(BASE_PRODUTOS!$F$2:$F$1006,$G58))</f>
        <v/>
      </c>
      <c r="N58" s="9" t="str">
        <f ca="1">IF($G58="","",INDEX(BASE_PRODUTOS!$G$2:$G$1006,$G58))</f>
        <v/>
      </c>
      <c r="O58" s="9" t="str">
        <f ca="1">IF($G58="","",INDEX(BASE_PRODUTOS!$H$2:$H$1006,$G58))</f>
        <v/>
      </c>
      <c r="P58" s="9" t="str">
        <f ca="1">IF($G58="","",INDEX(BASE_PRODUTOS!$I$2:$I$1006,$G58))</f>
        <v/>
      </c>
      <c r="Q58" s="9" t="str">
        <f ca="1">IF($G58="","",INDEX(BASE_PRODUTOS!$J$2:$J$1006,$G58))</f>
        <v/>
      </c>
      <c r="R58" s="9" t="str">
        <f ca="1">IF($G58="","",INDEX(BASE_PRODUTOS!$M$2:$M$1006,$G58))</f>
        <v/>
      </c>
      <c r="S58" s="9" t="str">
        <f ca="1">IF($G58="","",INDEX(BASE_PRODUTOS!$N$2:$N$1006,$G58))</f>
        <v/>
      </c>
      <c r="T58" s="9" t="str">
        <f ca="1">IF($G58="","",INDEX(BASE_PRODUTOS!$D$2:$D$1006,$G58))</f>
        <v/>
      </c>
      <c r="V58" s="10"/>
      <c r="W58" s="10"/>
      <c r="X58" s="10"/>
      <c r="Y58" s="10"/>
      <c r="Z58" s="10"/>
      <c r="AA58" s="10"/>
      <c r="AB58" s="10"/>
      <c r="AC58" s="10"/>
      <c r="AD58" s="10"/>
    </row>
    <row r="59" spans="1:30" ht="18.75" customHeight="1" x14ac:dyDescent="0.35">
      <c r="A59" s="8">
        <v>50</v>
      </c>
      <c r="B59" s="9"/>
      <c r="C59" s="9"/>
      <c r="D59" s="9" t="str">
        <f>IFERROR(VLOOKUP(B59,LISTAS!$A:$C,2,FALSE()),"")</f>
        <v/>
      </c>
      <c r="E59" s="9">
        <f>IFERROR(VLOOKUP(B59,LISTAS!$A:$C,3,FALSE()),0)</f>
        <v>0</v>
      </c>
      <c r="F59" s="9">
        <f t="shared" si="4"/>
        <v>0</v>
      </c>
      <c r="G59" t="str">
        <f ca="1">IFERROR(_xludf.aggregate(15,6,(ROW(BASE_PRODUTOS!$L$2:$L$1006)-ROW(BASE_PRODUTOS!$L$2)+1)/(BASE_PRODUTOS!$L$2:$L$1006&gt;0),ROWS($G$10:G59)),"")</f>
        <v/>
      </c>
      <c r="H59" s="9" t="str">
        <f ca="1">IF($G59="","",INDEX(BASE_PRODUTOS!$B$2:$B$1006,$G59))</f>
        <v/>
      </c>
      <c r="I59" s="9" t="str">
        <f ca="1">IF($G59="","",INDEX(BASE_PRODUTOS!$L$2:$L$1006,$G59))</f>
        <v/>
      </c>
      <c r="J59" s="9" t="str">
        <f ca="1">IF($G59="","",INDEX(BASE_PRODUTOS!$A$2:$A$1006,$G59))</f>
        <v/>
      </c>
      <c r="K59" s="9" t="str">
        <f ca="1">IF($G59="","",INDEX(BASE_PRODUTOS!$C$2:$C$1006,$G59))</f>
        <v/>
      </c>
      <c r="L59" s="9" t="str">
        <f ca="1">IF($G59="","",INDEX(BASE_PRODUTOS!$E$2:$E$1006,$G59))</f>
        <v/>
      </c>
      <c r="M59" s="9" t="str">
        <f ca="1">IF($G59="","",INDEX(BASE_PRODUTOS!$F$2:$F$1006,$G59))</f>
        <v/>
      </c>
      <c r="N59" s="9" t="str">
        <f ca="1">IF($G59="","",INDEX(BASE_PRODUTOS!$G$2:$G$1006,$G59))</f>
        <v/>
      </c>
      <c r="O59" s="9" t="str">
        <f ca="1">IF($G59="","",INDEX(BASE_PRODUTOS!$H$2:$H$1006,$G59))</f>
        <v/>
      </c>
      <c r="P59" s="9" t="str">
        <f ca="1">IF($G59="","",INDEX(BASE_PRODUTOS!$I$2:$I$1006,$G59))</f>
        <v/>
      </c>
      <c r="Q59" s="9" t="str">
        <f ca="1">IF($G59="","",INDEX(BASE_PRODUTOS!$J$2:$J$1006,$G59))</f>
        <v/>
      </c>
      <c r="R59" s="9" t="str">
        <f ca="1">IF($G59="","",INDEX(BASE_PRODUTOS!$M$2:$M$1006,$G59))</f>
        <v/>
      </c>
      <c r="S59" s="9" t="str">
        <f ca="1">IF($G59="","",INDEX(BASE_PRODUTOS!$N$2:$N$1006,$G59))</f>
        <v/>
      </c>
      <c r="T59" s="9" t="str">
        <f ca="1">IF($G59="","",INDEX(BASE_PRODUTOS!$D$2:$D$1006,$G59))</f>
        <v/>
      </c>
      <c r="V59" s="10"/>
      <c r="W59" s="10"/>
      <c r="X59" s="10"/>
      <c r="Y59" s="10"/>
      <c r="Z59" s="10"/>
      <c r="AA59" s="10"/>
      <c r="AB59" s="10"/>
      <c r="AC59" s="10"/>
      <c r="AD59" s="10"/>
    </row>
    <row r="60" spans="1:30" ht="18.75" customHeight="1" x14ac:dyDescent="0.35">
      <c r="G60" t="str">
        <f ca="1">IFERROR(_xludf.aggregate(15,6,(ROW(BASE_PRODUTOS!$L$2:$L$1006)-ROW(BASE_PRODUTOS!$L$2)+1)/(BASE_PRODUTOS!$L$2:$L$1006&gt;0),ROWS($G$10:G60)),"")</f>
        <v/>
      </c>
      <c r="H60" s="9" t="str">
        <f ca="1">IF($G60="","",INDEX(BASE_PRODUTOS!$B$2:$B$1006,$G60))</f>
        <v/>
      </c>
      <c r="I60" s="9" t="str">
        <f ca="1">IF($G60="","",INDEX(BASE_PRODUTOS!$L$2:$L$1006,$G60))</f>
        <v/>
      </c>
      <c r="J60" s="9" t="str">
        <f ca="1">IF($G60="","",INDEX(BASE_PRODUTOS!$A$2:$A$1006,$G60))</f>
        <v/>
      </c>
      <c r="K60" s="9" t="str">
        <f ca="1">IF($G60="","",INDEX(BASE_PRODUTOS!$C$2:$C$1006,$G60))</f>
        <v/>
      </c>
      <c r="L60" s="9" t="str">
        <f ca="1">IF($G60="","",INDEX(BASE_PRODUTOS!$E$2:$E$1006,$G60))</f>
        <v/>
      </c>
      <c r="M60" s="9" t="str">
        <f ca="1">IF($G60="","",INDEX(BASE_PRODUTOS!$F$2:$F$1006,$G60))</f>
        <v/>
      </c>
      <c r="N60" s="9" t="str">
        <f ca="1">IF($G60="","",INDEX(BASE_PRODUTOS!$G$2:$G$1006,$G60))</f>
        <v/>
      </c>
      <c r="O60" s="9" t="str">
        <f ca="1">IF($G60="","",INDEX(BASE_PRODUTOS!$H$2:$H$1006,$G60))</f>
        <v/>
      </c>
      <c r="P60" s="9" t="str">
        <f ca="1">IF($G60="","",INDEX(BASE_PRODUTOS!$I$2:$I$1006,$G60))</f>
        <v/>
      </c>
      <c r="Q60" s="9" t="str">
        <f ca="1">IF($G60="","",INDEX(BASE_PRODUTOS!$J$2:$J$1006,$G60))</f>
        <v/>
      </c>
      <c r="R60" s="9" t="str">
        <f ca="1">IF($G60="","",INDEX(BASE_PRODUTOS!$M$2:$M$1006,$G60))</f>
        <v/>
      </c>
      <c r="S60" s="9" t="str">
        <f ca="1">IF($G60="","",INDEX(BASE_PRODUTOS!$N$2:$N$1006,$G60))</f>
        <v/>
      </c>
      <c r="T60" s="9" t="str">
        <f ca="1">IF($G60="","",INDEX(BASE_PRODUTOS!$D$2:$D$1006,$G60))</f>
        <v/>
      </c>
      <c r="V60" s="10"/>
      <c r="W60" s="10"/>
      <c r="X60" s="10"/>
      <c r="Y60" s="10"/>
      <c r="Z60" s="10"/>
      <c r="AA60" s="10"/>
      <c r="AB60" s="10"/>
      <c r="AC60" s="10"/>
      <c r="AD60" s="10"/>
    </row>
    <row r="61" spans="1:30" ht="18.75" customHeight="1" x14ac:dyDescent="0.35">
      <c r="G61" t="str">
        <f ca="1">IFERROR(_xludf.aggregate(15,6,(ROW(BASE_PRODUTOS!$L$2:$L$1006)-ROW(BASE_PRODUTOS!$L$2)+1)/(BASE_PRODUTOS!$L$2:$L$1006&gt;0),ROWS($G$10:G61)),"")</f>
        <v/>
      </c>
      <c r="H61" s="9" t="str">
        <f ca="1">IF($G61="","",INDEX(BASE_PRODUTOS!$B$2:$B$1006,$G61))</f>
        <v/>
      </c>
      <c r="I61" s="9" t="str">
        <f ca="1">IF($G61="","",INDEX(BASE_PRODUTOS!$L$2:$L$1006,$G61))</f>
        <v/>
      </c>
      <c r="J61" s="9" t="str">
        <f ca="1">IF($G61="","",INDEX(BASE_PRODUTOS!$A$2:$A$1006,$G61))</f>
        <v/>
      </c>
      <c r="K61" s="9" t="str">
        <f ca="1">IF($G61="","",INDEX(BASE_PRODUTOS!$C$2:$C$1006,$G61))</f>
        <v/>
      </c>
      <c r="L61" s="9" t="str">
        <f ca="1">IF($G61="","",INDEX(BASE_PRODUTOS!$E$2:$E$1006,$G61))</f>
        <v/>
      </c>
      <c r="M61" s="9" t="str">
        <f ca="1">IF($G61="","",INDEX(BASE_PRODUTOS!$F$2:$F$1006,$G61))</f>
        <v/>
      </c>
      <c r="N61" s="9" t="str">
        <f ca="1">IF($G61="","",INDEX(BASE_PRODUTOS!$G$2:$G$1006,$G61))</f>
        <v/>
      </c>
      <c r="O61" s="9" t="str">
        <f ca="1">IF($G61="","",INDEX(BASE_PRODUTOS!$H$2:$H$1006,$G61))</f>
        <v/>
      </c>
      <c r="P61" s="9" t="str">
        <f ca="1">IF($G61="","",INDEX(BASE_PRODUTOS!$I$2:$I$1006,$G61))</f>
        <v/>
      </c>
      <c r="Q61" s="9" t="str">
        <f ca="1">IF($G61="","",INDEX(BASE_PRODUTOS!$J$2:$J$1006,$G61))</f>
        <v/>
      </c>
      <c r="R61" s="9" t="str">
        <f ca="1">IF($G61="","",INDEX(BASE_PRODUTOS!$M$2:$M$1006,$G61))</f>
        <v/>
      </c>
      <c r="S61" s="9" t="str">
        <f ca="1">IF($G61="","",INDEX(BASE_PRODUTOS!$N$2:$N$1006,$G61))</f>
        <v/>
      </c>
      <c r="T61" s="9" t="str">
        <f ca="1">IF($G61="","",INDEX(BASE_PRODUTOS!$D$2:$D$1006,$G61))</f>
        <v/>
      </c>
      <c r="V61" s="10"/>
      <c r="W61" s="10"/>
      <c r="X61" s="10"/>
      <c r="Y61" s="10"/>
      <c r="Z61" s="10"/>
      <c r="AA61" s="10"/>
      <c r="AB61" s="10"/>
      <c r="AC61" s="10"/>
      <c r="AD61" s="10"/>
    </row>
    <row r="62" spans="1:30" ht="18.75" customHeight="1" x14ac:dyDescent="0.35">
      <c r="G62" t="str">
        <f ca="1">IFERROR(_xludf.aggregate(15,6,(ROW(BASE_PRODUTOS!$L$2:$L$1006)-ROW(BASE_PRODUTOS!$L$2)+1)/(BASE_PRODUTOS!$L$2:$L$1006&gt;0),ROWS($G$10:G62)),"")</f>
        <v/>
      </c>
      <c r="H62" s="9" t="str">
        <f ca="1">IF($G62="","",INDEX(BASE_PRODUTOS!$B$2:$B$1006,$G62))</f>
        <v/>
      </c>
      <c r="I62" s="9" t="str">
        <f ca="1">IF($G62="","",INDEX(BASE_PRODUTOS!$L$2:$L$1006,$G62))</f>
        <v/>
      </c>
      <c r="J62" s="9" t="str">
        <f ca="1">IF($G62="","",INDEX(BASE_PRODUTOS!$A$2:$A$1006,$G62))</f>
        <v/>
      </c>
      <c r="K62" s="9" t="str">
        <f ca="1">IF($G62="","",INDEX(BASE_PRODUTOS!$C$2:$C$1006,$G62))</f>
        <v/>
      </c>
      <c r="L62" s="9" t="str">
        <f ca="1">IF($G62="","",INDEX(BASE_PRODUTOS!$E$2:$E$1006,$G62))</f>
        <v/>
      </c>
      <c r="M62" s="9" t="str">
        <f ca="1">IF($G62="","",INDEX(BASE_PRODUTOS!$F$2:$F$1006,$G62))</f>
        <v/>
      </c>
      <c r="N62" s="9" t="str">
        <f ca="1">IF($G62="","",INDEX(BASE_PRODUTOS!$G$2:$G$1006,$G62))</f>
        <v/>
      </c>
      <c r="O62" s="9" t="str">
        <f ca="1">IF($G62="","",INDEX(BASE_PRODUTOS!$H$2:$H$1006,$G62))</f>
        <v/>
      </c>
      <c r="P62" s="9" t="str">
        <f ca="1">IF($G62="","",INDEX(BASE_PRODUTOS!$I$2:$I$1006,$G62))</f>
        <v/>
      </c>
      <c r="Q62" s="9" t="str">
        <f ca="1">IF($G62="","",INDEX(BASE_PRODUTOS!$J$2:$J$1006,$G62))</f>
        <v/>
      </c>
      <c r="R62" s="9" t="str">
        <f ca="1">IF($G62="","",INDEX(BASE_PRODUTOS!$M$2:$M$1006,$G62))</f>
        <v/>
      </c>
      <c r="S62" s="9" t="str">
        <f ca="1">IF($G62="","",INDEX(BASE_PRODUTOS!$N$2:$N$1006,$G62))</f>
        <v/>
      </c>
      <c r="T62" s="9" t="str">
        <f ca="1">IF($G62="","",INDEX(BASE_PRODUTOS!$D$2:$D$1006,$G62))</f>
        <v/>
      </c>
      <c r="V62" s="10"/>
      <c r="W62" s="10"/>
      <c r="X62" s="10"/>
      <c r="Y62" s="10"/>
      <c r="Z62" s="10"/>
      <c r="AA62" s="10"/>
      <c r="AB62" s="10"/>
      <c r="AC62" s="10"/>
      <c r="AD62" s="10"/>
    </row>
    <row r="63" spans="1:30" ht="18.75" customHeight="1" x14ac:dyDescent="0.35">
      <c r="G63" t="str">
        <f ca="1">IFERROR(_xludf.aggregate(15,6,(ROW(BASE_PRODUTOS!$L$2:$L$1006)-ROW(BASE_PRODUTOS!$L$2)+1)/(BASE_PRODUTOS!$L$2:$L$1006&gt;0),ROWS($G$10:G63)),"")</f>
        <v/>
      </c>
      <c r="H63" s="9" t="str">
        <f ca="1">IF($G63="","",INDEX(BASE_PRODUTOS!$B$2:$B$1006,$G63))</f>
        <v/>
      </c>
      <c r="I63" s="9" t="str">
        <f ca="1">IF($G63="","",INDEX(BASE_PRODUTOS!$L$2:$L$1006,$G63))</f>
        <v/>
      </c>
      <c r="J63" s="9" t="str">
        <f ca="1">IF($G63="","",INDEX(BASE_PRODUTOS!$A$2:$A$1006,$G63))</f>
        <v/>
      </c>
      <c r="K63" s="9" t="str">
        <f ca="1">IF($G63="","",INDEX(BASE_PRODUTOS!$C$2:$C$1006,$G63))</f>
        <v/>
      </c>
      <c r="L63" s="9" t="str">
        <f ca="1">IF($G63="","",INDEX(BASE_PRODUTOS!$E$2:$E$1006,$G63))</f>
        <v/>
      </c>
      <c r="M63" s="9" t="str">
        <f ca="1">IF($G63="","",INDEX(BASE_PRODUTOS!$F$2:$F$1006,$G63))</f>
        <v/>
      </c>
      <c r="N63" s="9" t="str">
        <f ca="1">IF($G63="","",INDEX(BASE_PRODUTOS!$G$2:$G$1006,$G63))</f>
        <v/>
      </c>
      <c r="O63" s="9" t="str">
        <f ca="1">IF($G63="","",INDEX(BASE_PRODUTOS!$H$2:$H$1006,$G63))</f>
        <v/>
      </c>
      <c r="P63" s="9" t="str">
        <f ca="1">IF($G63="","",INDEX(BASE_PRODUTOS!$I$2:$I$1006,$G63))</f>
        <v/>
      </c>
      <c r="Q63" s="9" t="str">
        <f ca="1">IF($G63="","",INDEX(BASE_PRODUTOS!$J$2:$J$1006,$G63))</f>
        <v/>
      </c>
      <c r="R63" s="9" t="str">
        <f ca="1">IF($G63="","",INDEX(BASE_PRODUTOS!$M$2:$M$1006,$G63))</f>
        <v/>
      </c>
      <c r="S63" s="9" t="str">
        <f ca="1">IF($G63="","",INDEX(BASE_PRODUTOS!$N$2:$N$1006,$G63))</f>
        <v/>
      </c>
      <c r="T63" s="9" t="str">
        <f ca="1">IF($G63="","",INDEX(BASE_PRODUTOS!$D$2:$D$1006,$G63))</f>
        <v/>
      </c>
      <c r="V63" s="10"/>
      <c r="W63" s="10"/>
      <c r="X63" s="10"/>
      <c r="Y63" s="10"/>
      <c r="Z63" s="10"/>
      <c r="AA63" s="10"/>
      <c r="AB63" s="10"/>
      <c r="AC63" s="10"/>
      <c r="AD63" s="10"/>
    </row>
    <row r="64" spans="1:30" ht="18.75" customHeight="1" x14ac:dyDescent="0.35">
      <c r="G64" t="str">
        <f ca="1">IFERROR(_xludf.aggregate(15,6,(ROW(BASE_PRODUTOS!$L$2:$L$1006)-ROW(BASE_PRODUTOS!$L$2)+1)/(BASE_PRODUTOS!$L$2:$L$1006&gt;0),ROWS($G$10:G64)),"")</f>
        <v/>
      </c>
      <c r="H64" s="9" t="str">
        <f ca="1">IF($G64="","",INDEX(BASE_PRODUTOS!$B$2:$B$1006,$G64))</f>
        <v/>
      </c>
      <c r="I64" s="9" t="str">
        <f ca="1">IF($G64="","",INDEX(BASE_PRODUTOS!$L$2:$L$1006,$G64))</f>
        <v/>
      </c>
      <c r="J64" s="9" t="str">
        <f ca="1">IF($G64="","",INDEX(BASE_PRODUTOS!$A$2:$A$1006,$G64))</f>
        <v/>
      </c>
      <c r="K64" s="9" t="str">
        <f ca="1">IF($G64="","",INDEX(BASE_PRODUTOS!$C$2:$C$1006,$G64))</f>
        <v/>
      </c>
      <c r="L64" s="9" t="str">
        <f ca="1">IF($G64="","",INDEX(BASE_PRODUTOS!$E$2:$E$1006,$G64))</f>
        <v/>
      </c>
      <c r="M64" s="9" t="str">
        <f ca="1">IF($G64="","",INDEX(BASE_PRODUTOS!$F$2:$F$1006,$G64))</f>
        <v/>
      </c>
      <c r="N64" s="9" t="str">
        <f ca="1">IF($G64="","",INDEX(BASE_PRODUTOS!$G$2:$G$1006,$G64))</f>
        <v/>
      </c>
      <c r="O64" s="9" t="str">
        <f ca="1">IF($G64="","",INDEX(BASE_PRODUTOS!$H$2:$H$1006,$G64))</f>
        <v/>
      </c>
      <c r="P64" s="9" t="str">
        <f ca="1">IF($G64="","",INDEX(BASE_PRODUTOS!$I$2:$I$1006,$G64))</f>
        <v/>
      </c>
      <c r="Q64" s="9" t="str">
        <f ca="1">IF($G64="","",INDEX(BASE_PRODUTOS!$J$2:$J$1006,$G64))</f>
        <v/>
      </c>
      <c r="R64" s="9" t="str">
        <f ca="1">IF($G64="","",INDEX(BASE_PRODUTOS!$M$2:$M$1006,$G64))</f>
        <v/>
      </c>
      <c r="S64" s="9" t="str">
        <f ca="1">IF($G64="","",INDEX(BASE_PRODUTOS!$N$2:$N$1006,$G64))</f>
        <v/>
      </c>
      <c r="T64" s="9" t="str">
        <f ca="1">IF($G64="","",INDEX(BASE_PRODUTOS!$D$2:$D$1006,$G64))</f>
        <v/>
      </c>
      <c r="V64" s="10"/>
      <c r="W64" s="10"/>
      <c r="X64" s="10"/>
      <c r="Y64" s="10"/>
      <c r="Z64" s="10"/>
      <c r="AA64" s="10"/>
      <c r="AB64" s="10"/>
      <c r="AC64" s="10"/>
      <c r="AD64" s="10"/>
    </row>
    <row r="65" spans="7:30" ht="18.75" customHeight="1" x14ac:dyDescent="0.35">
      <c r="G65" t="str">
        <f ca="1">IFERROR(_xludf.aggregate(15,6,(ROW(BASE_PRODUTOS!$L$2:$L$1006)-ROW(BASE_PRODUTOS!$L$2)+1)/(BASE_PRODUTOS!$L$2:$L$1006&gt;0),ROWS($G$10:G65)),"")</f>
        <v/>
      </c>
      <c r="H65" s="9" t="str">
        <f ca="1">IF($G65="","",INDEX(BASE_PRODUTOS!$B$2:$B$1006,$G65))</f>
        <v/>
      </c>
      <c r="I65" s="9" t="str">
        <f ca="1">IF($G65="","",INDEX(BASE_PRODUTOS!$L$2:$L$1006,$G65))</f>
        <v/>
      </c>
      <c r="J65" s="9" t="str">
        <f ca="1">IF($G65="","",INDEX(BASE_PRODUTOS!$A$2:$A$1006,$G65))</f>
        <v/>
      </c>
      <c r="K65" s="9" t="str">
        <f ca="1">IF($G65="","",INDEX(BASE_PRODUTOS!$C$2:$C$1006,$G65))</f>
        <v/>
      </c>
      <c r="L65" s="9" t="str">
        <f ca="1">IF($G65="","",INDEX(BASE_PRODUTOS!$E$2:$E$1006,$G65))</f>
        <v/>
      </c>
      <c r="M65" s="9" t="str">
        <f ca="1">IF($G65="","",INDEX(BASE_PRODUTOS!$F$2:$F$1006,$G65))</f>
        <v/>
      </c>
      <c r="N65" s="9" t="str">
        <f ca="1">IF($G65="","",INDEX(BASE_PRODUTOS!$G$2:$G$1006,$G65))</f>
        <v/>
      </c>
      <c r="O65" s="9" t="str">
        <f ca="1">IF($G65="","",INDEX(BASE_PRODUTOS!$H$2:$H$1006,$G65))</f>
        <v/>
      </c>
      <c r="P65" s="9" t="str">
        <f ca="1">IF($G65="","",INDEX(BASE_PRODUTOS!$I$2:$I$1006,$G65))</f>
        <v/>
      </c>
      <c r="Q65" s="9" t="str">
        <f ca="1">IF($G65="","",INDEX(BASE_PRODUTOS!$J$2:$J$1006,$G65))</f>
        <v/>
      </c>
      <c r="R65" s="9" t="str">
        <f ca="1">IF($G65="","",INDEX(BASE_PRODUTOS!$M$2:$M$1006,$G65))</f>
        <v/>
      </c>
      <c r="S65" s="9" t="str">
        <f ca="1">IF($G65="","",INDEX(BASE_PRODUTOS!$N$2:$N$1006,$G65))</f>
        <v/>
      </c>
      <c r="T65" s="9" t="str">
        <f ca="1">IF($G65="","",INDEX(BASE_PRODUTOS!$D$2:$D$1006,$G65))</f>
        <v/>
      </c>
      <c r="V65" s="10"/>
      <c r="W65" s="10"/>
      <c r="X65" s="10"/>
      <c r="Y65" s="10"/>
      <c r="Z65" s="10"/>
      <c r="AA65" s="10"/>
      <c r="AB65" s="10"/>
      <c r="AC65" s="10"/>
      <c r="AD65" s="10"/>
    </row>
    <row r="66" spans="7:30" ht="18.75" customHeight="1" x14ac:dyDescent="0.35">
      <c r="G66" t="str">
        <f ca="1">IFERROR(_xludf.aggregate(15,6,(ROW(BASE_PRODUTOS!$L$2:$L$1006)-ROW(BASE_PRODUTOS!$L$2)+1)/(BASE_PRODUTOS!$L$2:$L$1006&gt;0),ROWS($G$10:G66)),"")</f>
        <v/>
      </c>
      <c r="H66" s="9" t="str">
        <f ca="1">IF($G66="","",INDEX(BASE_PRODUTOS!$B$2:$B$1006,$G66))</f>
        <v/>
      </c>
      <c r="I66" s="9" t="str">
        <f ca="1">IF($G66="","",INDEX(BASE_PRODUTOS!$L$2:$L$1006,$G66))</f>
        <v/>
      </c>
      <c r="J66" s="9" t="str">
        <f ca="1">IF($G66="","",INDEX(BASE_PRODUTOS!$A$2:$A$1006,$G66))</f>
        <v/>
      </c>
      <c r="K66" s="9" t="str">
        <f ca="1">IF($G66="","",INDEX(BASE_PRODUTOS!$C$2:$C$1006,$G66))</f>
        <v/>
      </c>
      <c r="L66" s="9" t="str">
        <f ca="1">IF($G66="","",INDEX(BASE_PRODUTOS!$E$2:$E$1006,$G66))</f>
        <v/>
      </c>
      <c r="M66" s="9" t="str">
        <f ca="1">IF($G66="","",INDEX(BASE_PRODUTOS!$F$2:$F$1006,$G66))</f>
        <v/>
      </c>
      <c r="N66" s="9" t="str">
        <f ca="1">IF($G66="","",INDEX(BASE_PRODUTOS!$G$2:$G$1006,$G66))</f>
        <v/>
      </c>
      <c r="O66" s="9" t="str">
        <f ca="1">IF($G66="","",INDEX(BASE_PRODUTOS!$H$2:$H$1006,$G66))</f>
        <v/>
      </c>
      <c r="P66" s="9" t="str">
        <f ca="1">IF($G66="","",INDEX(BASE_PRODUTOS!$I$2:$I$1006,$G66))</f>
        <v/>
      </c>
      <c r="Q66" s="9" t="str">
        <f ca="1">IF($G66="","",INDEX(BASE_PRODUTOS!$J$2:$J$1006,$G66))</f>
        <v/>
      </c>
      <c r="R66" s="9" t="str">
        <f ca="1">IF($G66="","",INDEX(BASE_PRODUTOS!$M$2:$M$1006,$G66))</f>
        <v/>
      </c>
      <c r="S66" s="9" t="str">
        <f ca="1">IF($G66="","",INDEX(BASE_PRODUTOS!$N$2:$N$1006,$G66))</f>
        <v/>
      </c>
      <c r="T66" s="9" t="str">
        <f ca="1">IF($G66="","",INDEX(BASE_PRODUTOS!$D$2:$D$1006,$G66))</f>
        <v/>
      </c>
      <c r="V66" s="10"/>
      <c r="W66" s="10"/>
      <c r="X66" s="10"/>
      <c r="Y66" s="10"/>
      <c r="Z66" s="10"/>
      <c r="AA66" s="10"/>
      <c r="AB66" s="10"/>
      <c r="AC66" s="10"/>
      <c r="AD66" s="10"/>
    </row>
    <row r="67" spans="7:30" ht="18.75" customHeight="1" x14ac:dyDescent="0.35">
      <c r="G67" t="str">
        <f ca="1">IFERROR(_xludf.aggregate(15,6,(ROW(BASE_PRODUTOS!$L$2:$L$1006)-ROW(BASE_PRODUTOS!$L$2)+1)/(BASE_PRODUTOS!$L$2:$L$1006&gt;0),ROWS($G$10:G67)),"")</f>
        <v/>
      </c>
      <c r="H67" s="9" t="str">
        <f ca="1">IF($G67="","",INDEX(BASE_PRODUTOS!$B$2:$B$1006,$G67))</f>
        <v/>
      </c>
      <c r="I67" s="9" t="str">
        <f ca="1">IF($G67="","",INDEX(BASE_PRODUTOS!$L$2:$L$1006,$G67))</f>
        <v/>
      </c>
      <c r="J67" s="9" t="str">
        <f ca="1">IF($G67="","",INDEX(BASE_PRODUTOS!$A$2:$A$1006,$G67))</f>
        <v/>
      </c>
      <c r="K67" s="9" t="str">
        <f ca="1">IF($G67="","",INDEX(BASE_PRODUTOS!$C$2:$C$1006,$G67))</f>
        <v/>
      </c>
      <c r="L67" s="9" t="str">
        <f ca="1">IF($G67="","",INDEX(BASE_PRODUTOS!$E$2:$E$1006,$G67))</f>
        <v/>
      </c>
      <c r="M67" s="9" t="str">
        <f ca="1">IF($G67="","",INDEX(BASE_PRODUTOS!$F$2:$F$1006,$G67))</f>
        <v/>
      </c>
      <c r="N67" s="9" t="str">
        <f ca="1">IF($G67="","",INDEX(BASE_PRODUTOS!$G$2:$G$1006,$G67))</f>
        <v/>
      </c>
      <c r="O67" s="9" t="str">
        <f ca="1">IF($G67="","",INDEX(BASE_PRODUTOS!$H$2:$H$1006,$G67))</f>
        <v/>
      </c>
      <c r="P67" s="9" t="str">
        <f ca="1">IF($G67="","",INDEX(BASE_PRODUTOS!$I$2:$I$1006,$G67))</f>
        <v/>
      </c>
      <c r="Q67" s="9" t="str">
        <f ca="1">IF($G67="","",INDEX(BASE_PRODUTOS!$J$2:$J$1006,$G67))</f>
        <v/>
      </c>
      <c r="R67" s="9" t="str">
        <f ca="1">IF($G67="","",INDEX(BASE_PRODUTOS!$M$2:$M$1006,$G67))</f>
        <v/>
      </c>
      <c r="S67" s="9" t="str">
        <f ca="1">IF($G67="","",INDEX(BASE_PRODUTOS!$N$2:$N$1006,$G67))</f>
        <v/>
      </c>
      <c r="T67" s="9" t="str">
        <f ca="1">IF($G67="","",INDEX(BASE_PRODUTOS!$D$2:$D$1006,$G67))</f>
        <v/>
      </c>
      <c r="V67" s="10"/>
      <c r="W67" s="10"/>
      <c r="X67" s="10"/>
      <c r="Y67" s="10"/>
      <c r="Z67" s="10"/>
      <c r="AA67" s="10"/>
      <c r="AB67" s="10"/>
      <c r="AC67" s="10"/>
      <c r="AD67" s="10"/>
    </row>
    <row r="68" spans="7:30" ht="18.75" customHeight="1" x14ac:dyDescent="0.35">
      <c r="G68" t="str">
        <f ca="1">IFERROR(_xludf.aggregate(15,6,(ROW(BASE_PRODUTOS!$L$2:$L$1006)-ROW(BASE_PRODUTOS!$L$2)+1)/(BASE_PRODUTOS!$L$2:$L$1006&gt;0),ROWS($G$10:G68)),"")</f>
        <v/>
      </c>
      <c r="H68" s="9" t="str">
        <f ca="1">IF($G68="","",INDEX(BASE_PRODUTOS!$B$2:$B$1006,$G68))</f>
        <v/>
      </c>
      <c r="I68" s="9" t="str">
        <f ca="1">IF($G68="","",INDEX(BASE_PRODUTOS!$L$2:$L$1006,$G68))</f>
        <v/>
      </c>
      <c r="J68" s="9" t="str">
        <f ca="1">IF($G68="","",INDEX(BASE_PRODUTOS!$A$2:$A$1006,$G68))</f>
        <v/>
      </c>
      <c r="K68" s="9" t="str">
        <f ca="1">IF($G68="","",INDEX(BASE_PRODUTOS!$C$2:$C$1006,$G68))</f>
        <v/>
      </c>
      <c r="L68" s="9" t="str">
        <f ca="1">IF($G68="","",INDEX(BASE_PRODUTOS!$E$2:$E$1006,$G68))</f>
        <v/>
      </c>
      <c r="M68" s="9" t="str">
        <f ca="1">IF($G68="","",INDEX(BASE_PRODUTOS!$F$2:$F$1006,$G68))</f>
        <v/>
      </c>
      <c r="N68" s="9" t="str">
        <f ca="1">IF($G68="","",INDEX(BASE_PRODUTOS!$G$2:$G$1006,$G68))</f>
        <v/>
      </c>
      <c r="O68" s="9" t="str">
        <f ca="1">IF($G68="","",INDEX(BASE_PRODUTOS!$H$2:$H$1006,$G68))</f>
        <v/>
      </c>
      <c r="P68" s="9" t="str">
        <f ca="1">IF($G68="","",INDEX(BASE_PRODUTOS!$I$2:$I$1006,$G68))</f>
        <v/>
      </c>
      <c r="Q68" s="9" t="str">
        <f ca="1">IF($G68="","",INDEX(BASE_PRODUTOS!$J$2:$J$1006,$G68))</f>
        <v/>
      </c>
      <c r="R68" s="9" t="str">
        <f ca="1">IF($G68="","",INDEX(BASE_PRODUTOS!$M$2:$M$1006,$G68))</f>
        <v/>
      </c>
      <c r="S68" s="9" t="str">
        <f ca="1">IF($G68="","",INDEX(BASE_PRODUTOS!$N$2:$N$1006,$G68))</f>
        <v/>
      </c>
      <c r="T68" s="9" t="str">
        <f ca="1">IF($G68="","",INDEX(BASE_PRODUTOS!$D$2:$D$1006,$G68))</f>
        <v/>
      </c>
      <c r="V68" s="10"/>
      <c r="W68" s="10"/>
      <c r="X68" s="10"/>
      <c r="Y68" s="10"/>
      <c r="Z68" s="10"/>
      <c r="AA68" s="10"/>
      <c r="AB68" s="10"/>
      <c r="AC68" s="10"/>
      <c r="AD68" s="10"/>
    </row>
    <row r="69" spans="7:30" ht="18.75" customHeight="1" x14ac:dyDescent="0.35">
      <c r="G69" t="str">
        <f ca="1">IFERROR(_xludf.aggregate(15,6,(ROW(BASE_PRODUTOS!$L$2:$L$1006)-ROW(BASE_PRODUTOS!$L$2)+1)/(BASE_PRODUTOS!$L$2:$L$1006&gt;0),ROWS($G$10:G69)),"")</f>
        <v/>
      </c>
      <c r="H69" s="9" t="str">
        <f ca="1">IF($G69="","",INDEX(BASE_PRODUTOS!$B$2:$B$1006,$G69))</f>
        <v/>
      </c>
      <c r="I69" s="9" t="str">
        <f ca="1">IF($G69="","",INDEX(BASE_PRODUTOS!$L$2:$L$1006,$G69))</f>
        <v/>
      </c>
      <c r="J69" s="9" t="str">
        <f ca="1">IF($G69="","",INDEX(BASE_PRODUTOS!$A$2:$A$1006,$G69))</f>
        <v/>
      </c>
      <c r="K69" s="9" t="str">
        <f ca="1">IF($G69="","",INDEX(BASE_PRODUTOS!$C$2:$C$1006,$G69))</f>
        <v/>
      </c>
      <c r="L69" s="9" t="str">
        <f ca="1">IF($G69="","",INDEX(BASE_PRODUTOS!$E$2:$E$1006,$G69))</f>
        <v/>
      </c>
      <c r="M69" s="9" t="str">
        <f ca="1">IF($G69="","",INDEX(BASE_PRODUTOS!$F$2:$F$1006,$G69))</f>
        <v/>
      </c>
      <c r="N69" s="9" t="str">
        <f ca="1">IF($G69="","",INDEX(BASE_PRODUTOS!$G$2:$G$1006,$G69))</f>
        <v/>
      </c>
      <c r="O69" s="9" t="str">
        <f ca="1">IF($G69="","",INDEX(BASE_PRODUTOS!$H$2:$H$1006,$G69))</f>
        <v/>
      </c>
      <c r="P69" s="9" t="str">
        <f ca="1">IF($G69="","",INDEX(BASE_PRODUTOS!$I$2:$I$1006,$G69))</f>
        <v/>
      </c>
      <c r="Q69" s="9" t="str">
        <f ca="1">IF($G69="","",INDEX(BASE_PRODUTOS!$J$2:$J$1006,$G69))</f>
        <v/>
      </c>
      <c r="R69" s="9" t="str">
        <f ca="1">IF($G69="","",INDEX(BASE_PRODUTOS!$M$2:$M$1006,$G69))</f>
        <v/>
      </c>
      <c r="S69" s="9" t="str">
        <f ca="1">IF($G69="","",INDEX(BASE_PRODUTOS!$N$2:$N$1006,$G69))</f>
        <v/>
      </c>
      <c r="T69" s="9" t="str">
        <f ca="1">IF($G69="","",INDEX(BASE_PRODUTOS!$D$2:$D$1006,$G69))</f>
        <v/>
      </c>
      <c r="V69" s="10"/>
      <c r="W69" s="10"/>
      <c r="X69" s="10"/>
      <c r="Y69" s="10"/>
      <c r="Z69" s="10"/>
      <c r="AA69" s="10"/>
      <c r="AB69" s="10"/>
      <c r="AC69" s="10"/>
      <c r="AD69" s="10"/>
    </row>
    <row r="70" spans="7:30" ht="18.75" customHeight="1" x14ac:dyDescent="0.35">
      <c r="G70" t="str">
        <f ca="1">IFERROR(_xludf.aggregate(15,6,(ROW(BASE_PRODUTOS!$L$2:$L$1006)-ROW(BASE_PRODUTOS!$L$2)+1)/(BASE_PRODUTOS!$L$2:$L$1006&gt;0),ROWS($G$10:G70)),"")</f>
        <v/>
      </c>
      <c r="H70" s="9" t="str">
        <f ca="1">IF($G70="","",INDEX(BASE_PRODUTOS!$B$2:$B$1006,$G70))</f>
        <v/>
      </c>
      <c r="I70" s="9" t="str">
        <f ca="1">IF($G70="","",INDEX(BASE_PRODUTOS!$L$2:$L$1006,$G70))</f>
        <v/>
      </c>
      <c r="J70" s="9" t="str">
        <f ca="1">IF($G70="","",INDEX(BASE_PRODUTOS!$A$2:$A$1006,$G70))</f>
        <v/>
      </c>
      <c r="K70" s="9" t="str">
        <f ca="1">IF($G70="","",INDEX(BASE_PRODUTOS!$C$2:$C$1006,$G70))</f>
        <v/>
      </c>
      <c r="L70" s="9" t="str">
        <f ca="1">IF($G70="","",INDEX(BASE_PRODUTOS!$E$2:$E$1006,$G70))</f>
        <v/>
      </c>
      <c r="M70" s="9" t="str">
        <f ca="1">IF($G70="","",INDEX(BASE_PRODUTOS!$F$2:$F$1006,$G70))</f>
        <v/>
      </c>
      <c r="N70" s="9" t="str">
        <f ca="1">IF($G70="","",INDEX(BASE_PRODUTOS!$G$2:$G$1006,$G70))</f>
        <v/>
      </c>
      <c r="O70" s="9" t="str">
        <f ca="1">IF($G70="","",INDEX(BASE_PRODUTOS!$H$2:$H$1006,$G70))</f>
        <v/>
      </c>
      <c r="P70" s="9" t="str">
        <f ca="1">IF($G70="","",INDEX(BASE_PRODUTOS!$I$2:$I$1006,$G70))</f>
        <v/>
      </c>
      <c r="Q70" s="9" t="str">
        <f ca="1">IF($G70="","",INDEX(BASE_PRODUTOS!$J$2:$J$1006,$G70))</f>
        <v/>
      </c>
      <c r="R70" s="9" t="str">
        <f ca="1">IF($G70="","",INDEX(BASE_PRODUTOS!$M$2:$M$1006,$G70))</f>
        <v/>
      </c>
      <c r="S70" s="9" t="str">
        <f ca="1">IF($G70="","",INDEX(BASE_PRODUTOS!$N$2:$N$1006,$G70))</f>
        <v/>
      </c>
      <c r="T70" s="9" t="str">
        <f ca="1">IF($G70="","",INDEX(BASE_PRODUTOS!$D$2:$D$1006,$G70))</f>
        <v/>
      </c>
      <c r="V70" s="10"/>
      <c r="W70" s="10"/>
      <c r="X70" s="10"/>
      <c r="Y70" s="10"/>
      <c r="Z70" s="10"/>
      <c r="AA70" s="10"/>
      <c r="AB70" s="10"/>
      <c r="AC70" s="10"/>
      <c r="AD70" s="10"/>
    </row>
    <row r="71" spans="7:30" ht="21" customHeight="1" x14ac:dyDescent="0.35">
      <c r="G71" t="str">
        <f ca="1">IFERROR(_xludf.aggregate(15,6,(ROW(BASE_PRODUTOS!$L$2:$L$1006)-ROW(BASE_PRODUTOS!$L$2)+1)/(BASE_PRODUTOS!$L$2:$L$1006&gt;0),ROWS($G$10:G71)),"")</f>
        <v/>
      </c>
      <c r="H71" s="9" t="str">
        <f ca="1">IF($G71="","",INDEX(BASE_PRODUTOS!$B$2:$B$1006,$G71))</f>
        <v/>
      </c>
      <c r="I71" s="9" t="str">
        <f ca="1">IF($G71="","",INDEX(BASE_PRODUTOS!$L$2:$L$1006,$G71))</f>
        <v/>
      </c>
      <c r="J71" s="9" t="str">
        <f ca="1">IF($G71="","",INDEX(BASE_PRODUTOS!$A$2:$A$1006,$G71))</f>
        <v/>
      </c>
      <c r="K71" s="9" t="str">
        <f ca="1">IF($G71="","",INDEX(BASE_PRODUTOS!$C$2:$C$1006,$G71))</f>
        <v/>
      </c>
      <c r="L71" s="9" t="str">
        <f ca="1">IF($G71="","",INDEX(BASE_PRODUTOS!$E$2:$E$1006,$G71))</f>
        <v/>
      </c>
      <c r="M71" s="9" t="str">
        <f ca="1">IF($G71="","",INDEX(BASE_PRODUTOS!$F$2:$F$1006,$G71))</f>
        <v/>
      </c>
      <c r="N71" s="9" t="str">
        <f ca="1">IF($G71="","",INDEX(BASE_PRODUTOS!$G$2:$G$1006,$G71))</f>
        <v/>
      </c>
      <c r="O71" s="9" t="str">
        <f ca="1">IF($G71="","",INDEX(BASE_PRODUTOS!$H$2:$H$1006,$G71))</f>
        <v/>
      </c>
      <c r="P71" s="9" t="str">
        <f ca="1">IF($G71="","",INDEX(BASE_PRODUTOS!$I$2:$I$1006,$G71))</f>
        <v/>
      </c>
      <c r="Q71" s="9" t="str">
        <f ca="1">IF($G71="","",INDEX(BASE_PRODUTOS!$J$2:$J$1006,$G71))</f>
        <v/>
      </c>
      <c r="R71" s="9" t="str">
        <f ca="1">IF($G71="","",INDEX(BASE_PRODUTOS!$M$2:$M$1006,$G71))</f>
        <v/>
      </c>
      <c r="S71" s="9" t="str">
        <f ca="1">IF($G71="","",INDEX(BASE_PRODUTOS!$N$2:$N$1006,$G71))</f>
        <v/>
      </c>
      <c r="T71" s="9" t="str">
        <f ca="1">IF($G71="","",INDEX(BASE_PRODUTOS!$D$2:$D$1006,$G71))</f>
        <v/>
      </c>
    </row>
    <row r="72" spans="7:30" ht="18.75" customHeight="1" x14ac:dyDescent="0.35">
      <c r="G72" t="str">
        <f ca="1">IFERROR(_xludf.aggregate(15,6,(ROW(BASE_PRODUTOS!$L$2:$L$1006)-ROW(BASE_PRODUTOS!$L$2)+1)/(BASE_PRODUTOS!$L$2:$L$1006&gt;0),ROWS($G$10:G72)),"")</f>
        <v/>
      </c>
      <c r="H72" s="9" t="str">
        <f ca="1">IF($G72="","",INDEX(BASE_PRODUTOS!$B$2:$B$1006,$G72))</f>
        <v/>
      </c>
      <c r="I72" s="9" t="str">
        <f ca="1">IF($G72="","",INDEX(BASE_PRODUTOS!$L$2:$L$1006,$G72))</f>
        <v/>
      </c>
      <c r="J72" s="9" t="str">
        <f ca="1">IF($G72="","",INDEX(BASE_PRODUTOS!$A$2:$A$1006,$G72))</f>
        <v/>
      </c>
      <c r="K72" s="9" t="str">
        <f ca="1">IF($G72="","",INDEX(BASE_PRODUTOS!$C$2:$C$1006,$G72))</f>
        <v/>
      </c>
      <c r="L72" s="9" t="str">
        <f ca="1">IF($G72="","",INDEX(BASE_PRODUTOS!$E$2:$E$1006,$G72))</f>
        <v/>
      </c>
      <c r="M72" s="9" t="str">
        <f ca="1">IF($G72="","",INDEX(BASE_PRODUTOS!$F$2:$F$1006,$G72))</f>
        <v/>
      </c>
      <c r="N72" s="9" t="str">
        <f ca="1">IF($G72="","",INDEX(BASE_PRODUTOS!$G$2:$G$1006,$G72))</f>
        <v/>
      </c>
      <c r="O72" s="9" t="str">
        <f ca="1">IF($G72="","",INDEX(BASE_PRODUTOS!$H$2:$H$1006,$G72))</f>
        <v/>
      </c>
      <c r="P72" s="9" t="str">
        <f ca="1">IF($G72="","",INDEX(BASE_PRODUTOS!$I$2:$I$1006,$G72))</f>
        <v/>
      </c>
      <c r="Q72" s="9" t="str">
        <f ca="1">IF($G72="","",INDEX(BASE_PRODUTOS!$J$2:$J$1006,$G72))</f>
        <v/>
      </c>
      <c r="R72" s="9" t="str">
        <f ca="1">IF($G72="","",INDEX(BASE_PRODUTOS!$M$2:$M$1006,$G72))</f>
        <v/>
      </c>
      <c r="S72" s="9" t="str">
        <f ca="1">IF($G72="","",INDEX(BASE_PRODUTOS!$N$2:$N$1006,$G72))</f>
        <v/>
      </c>
      <c r="T72" s="9" t="str">
        <f ca="1">IF($G72="","",INDEX(BASE_PRODUTOS!$D$2:$D$1006,$G72))</f>
        <v/>
      </c>
      <c r="V72" s="4"/>
      <c r="W72" s="4"/>
      <c r="X72" s="4"/>
      <c r="Y72" s="4"/>
      <c r="Z72" s="4"/>
      <c r="AA72" s="4"/>
      <c r="AB72" s="4"/>
      <c r="AC72" s="4"/>
      <c r="AD72" s="4"/>
    </row>
    <row r="73" spans="7:30" ht="18.75" customHeight="1" x14ac:dyDescent="0.35">
      <c r="G73" t="str">
        <f ca="1">IFERROR(_xludf.aggregate(15,6,(ROW(BASE_PRODUTOS!$L$2:$L$1006)-ROW(BASE_PRODUTOS!$L$2)+1)/(BASE_PRODUTOS!$L$2:$L$1006&gt;0),ROWS($G$10:G73)),"")</f>
        <v/>
      </c>
      <c r="H73" s="9" t="str">
        <f ca="1">IF($G73="","",INDEX(BASE_PRODUTOS!$B$2:$B$1006,$G73))</f>
        <v/>
      </c>
      <c r="I73" s="9" t="str">
        <f ca="1">IF($G73="","",INDEX(BASE_PRODUTOS!$L$2:$L$1006,$G73))</f>
        <v/>
      </c>
      <c r="J73" s="9" t="str">
        <f ca="1">IF($G73="","",INDEX(BASE_PRODUTOS!$A$2:$A$1006,$G73))</f>
        <v/>
      </c>
      <c r="K73" s="9" t="str">
        <f ca="1">IF($G73="","",INDEX(BASE_PRODUTOS!$C$2:$C$1006,$G73))</f>
        <v/>
      </c>
      <c r="L73" s="9" t="str">
        <f ca="1">IF($G73="","",INDEX(BASE_PRODUTOS!$E$2:$E$1006,$G73))</f>
        <v/>
      </c>
      <c r="M73" s="9" t="str">
        <f ca="1">IF($G73="","",INDEX(BASE_PRODUTOS!$F$2:$F$1006,$G73))</f>
        <v/>
      </c>
      <c r="N73" s="9" t="str">
        <f ca="1">IF($G73="","",INDEX(BASE_PRODUTOS!$G$2:$G$1006,$G73))</f>
        <v/>
      </c>
      <c r="O73" s="9" t="str">
        <f ca="1">IF($G73="","",INDEX(BASE_PRODUTOS!$H$2:$H$1006,$G73))</f>
        <v/>
      </c>
      <c r="P73" s="9" t="str">
        <f ca="1">IF($G73="","",INDEX(BASE_PRODUTOS!$I$2:$I$1006,$G73))</f>
        <v/>
      </c>
      <c r="Q73" s="9" t="str">
        <f ca="1">IF($G73="","",INDEX(BASE_PRODUTOS!$J$2:$J$1006,$G73))</f>
        <v/>
      </c>
      <c r="R73" s="9" t="str">
        <f ca="1">IF($G73="","",INDEX(BASE_PRODUTOS!$M$2:$M$1006,$G73))</f>
        <v/>
      </c>
      <c r="S73" s="9" t="str">
        <f ca="1">IF($G73="","",INDEX(BASE_PRODUTOS!$N$2:$N$1006,$G73))</f>
        <v/>
      </c>
      <c r="T73" s="9" t="str">
        <f ca="1">IF($G73="","",INDEX(BASE_PRODUTOS!$D$2:$D$1006,$G73))</f>
        <v/>
      </c>
      <c r="V73" s="28"/>
      <c r="W73" s="28"/>
      <c r="X73" s="28"/>
      <c r="Y73" s="28"/>
      <c r="Z73" s="28"/>
      <c r="AA73" s="28"/>
      <c r="AB73" s="28"/>
      <c r="AC73" s="28"/>
      <c r="AD73" s="28"/>
    </row>
    <row r="74" spans="7:30" ht="18.75" customHeight="1" x14ac:dyDescent="0.35">
      <c r="G74" t="str">
        <f ca="1">IFERROR(_xludf.aggregate(15,6,(ROW(BASE_PRODUTOS!$L$2:$L$1006)-ROW(BASE_PRODUTOS!$L$2)+1)/(BASE_PRODUTOS!$L$2:$L$1006&gt;0),ROWS($G$10:G74)),"")</f>
        <v/>
      </c>
      <c r="H74" s="9" t="str">
        <f ca="1">IF($G74="","",INDEX(BASE_PRODUTOS!$B$2:$B$1006,$G74))</f>
        <v/>
      </c>
      <c r="I74" s="9" t="str">
        <f ca="1">IF($G74="","",INDEX(BASE_PRODUTOS!$L$2:$L$1006,$G74))</f>
        <v/>
      </c>
      <c r="J74" s="9" t="str">
        <f ca="1">IF($G74="","",INDEX(BASE_PRODUTOS!$A$2:$A$1006,$G74))</f>
        <v/>
      </c>
      <c r="K74" s="9" t="str">
        <f ca="1">IF($G74="","",INDEX(BASE_PRODUTOS!$C$2:$C$1006,$G74))</f>
        <v/>
      </c>
      <c r="L74" s="9" t="str">
        <f ca="1">IF($G74="","",INDEX(BASE_PRODUTOS!$E$2:$E$1006,$G74))</f>
        <v/>
      </c>
      <c r="M74" s="9" t="str">
        <f ca="1">IF($G74="","",INDEX(BASE_PRODUTOS!$F$2:$F$1006,$G74))</f>
        <v/>
      </c>
      <c r="N74" s="9" t="str">
        <f ca="1">IF($G74="","",INDEX(BASE_PRODUTOS!$G$2:$G$1006,$G74))</f>
        <v/>
      </c>
      <c r="O74" s="9" t="str">
        <f ca="1">IF($G74="","",INDEX(BASE_PRODUTOS!$H$2:$H$1006,$G74))</f>
        <v/>
      </c>
      <c r="P74" s="9" t="str">
        <f ca="1">IF($G74="","",INDEX(BASE_PRODUTOS!$I$2:$I$1006,$G74))</f>
        <v/>
      </c>
      <c r="Q74" s="9" t="str">
        <f ca="1">IF($G74="","",INDEX(BASE_PRODUTOS!$J$2:$J$1006,$G74))</f>
        <v/>
      </c>
      <c r="R74" s="9" t="str">
        <f ca="1">IF($G74="","",INDEX(BASE_PRODUTOS!$M$2:$M$1006,$G74))</f>
        <v/>
      </c>
      <c r="S74" s="9" t="str">
        <f ca="1">IF($G74="","",INDEX(BASE_PRODUTOS!$N$2:$N$1006,$G74))</f>
        <v/>
      </c>
      <c r="T74" s="9" t="str">
        <f ca="1">IF($G74="","",INDEX(BASE_PRODUTOS!$D$2:$D$1006,$G74))</f>
        <v/>
      </c>
      <c r="V74" s="28"/>
      <c r="W74" s="28"/>
      <c r="X74" s="28"/>
      <c r="Y74" s="28"/>
      <c r="Z74" s="28"/>
      <c r="AA74" s="28"/>
      <c r="AB74" s="28"/>
      <c r="AC74" s="28"/>
      <c r="AD74" s="28"/>
    </row>
    <row r="75" spans="7:30" ht="18.75" customHeight="1" x14ac:dyDescent="0.35">
      <c r="G75" t="str">
        <f ca="1">IFERROR(_xludf.aggregate(15,6,(ROW(BASE_PRODUTOS!$L$2:$L$1006)-ROW(BASE_PRODUTOS!$L$2)+1)/(BASE_PRODUTOS!$L$2:$L$1006&gt;0),ROWS($G$10:G75)),"")</f>
        <v/>
      </c>
      <c r="H75" s="9" t="str">
        <f ca="1">IF($G75="","",INDEX(BASE_PRODUTOS!$B$2:$B$1006,$G75))</f>
        <v/>
      </c>
      <c r="I75" s="9" t="str">
        <f ca="1">IF($G75="","",INDEX(BASE_PRODUTOS!$L$2:$L$1006,$G75))</f>
        <v/>
      </c>
      <c r="J75" s="9" t="str">
        <f ca="1">IF($G75="","",INDEX(BASE_PRODUTOS!$A$2:$A$1006,$G75))</f>
        <v/>
      </c>
      <c r="K75" s="9" t="str">
        <f ca="1">IF($G75="","",INDEX(BASE_PRODUTOS!$C$2:$C$1006,$G75))</f>
        <v/>
      </c>
      <c r="L75" s="9" t="str">
        <f ca="1">IF($G75="","",INDEX(BASE_PRODUTOS!$E$2:$E$1006,$G75))</f>
        <v/>
      </c>
      <c r="M75" s="9" t="str">
        <f ca="1">IF($G75="","",INDEX(BASE_PRODUTOS!$F$2:$F$1006,$G75))</f>
        <v/>
      </c>
      <c r="N75" s="9" t="str">
        <f ca="1">IF($G75="","",INDEX(BASE_PRODUTOS!$G$2:$G$1006,$G75))</f>
        <v/>
      </c>
      <c r="O75" s="9" t="str">
        <f ca="1">IF($G75="","",INDEX(BASE_PRODUTOS!$H$2:$H$1006,$G75))</f>
        <v/>
      </c>
      <c r="P75" s="9" t="str">
        <f ca="1">IF($G75="","",INDEX(BASE_PRODUTOS!$I$2:$I$1006,$G75))</f>
        <v/>
      </c>
      <c r="Q75" s="9" t="str">
        <f ca="1">IF($G75="","",INDEX(BASE_PRODUTOS!$J$2:$J$1006,$G75))</f>
        <v/>
      </c>
      <c r="R75" s="9" t="str">
        <f ca="1">IF($G75="","",INDEX(BASE_PRODUTOS!$M$2:$M$1006,$G75))</f>
        <v/>
      </c>
      <c r="S75" s="9" t="str">
        <f ca="1">IF($G75="","",INDEX(BASE_PRODUTOS!$N$2:$N$1006,$G75))</f>
        <v/>
      </c>
      <c r="T75" s="9" t="str">
        <f ca="1">IF($G75="","",INDEX(BASE_PRODUTOS!$D$2:$D$1006,$G75))</f>
        <v/>
      </c>
      <c r="V75" s="28"/>
      <c r="W75" s="28"/>
      <c r="X75" s="28"/>
      <c r="Y75" s="28"/>
      <c r="Z75" s="28"/>
      <c r="AA75" s="28"/>
      <c r="AB75" s="28"/>
      <c r="AC75" s="28"/>
      <c r="AD75" s="28"/>
    </row>
    <row r="76" spans="7:30" ht="18.75" customHeight="1" x14ac:dyDescent="0.35">
      <c r="G76" t="str">
        <f ca="1">IFERROR(_xludf.aggregate(15,6,(ROW(BASE_PRODUTOS!$L$2:$L$1006)-ROW(BASE_PRODUTOS!$L$2)+1)/(BASE_PRODUTOS!$L$2:$L$1006&gt;0),ROWS($G$10:G76)),"")</f>
        <v/>
      </c>
      <c r="H76" s="9" t="str">
        <f ca="1">IF($G76="","",INDEX(BASE_PRODUTOS!$B$2:$B$1006,$G76))</f>
        <v/>
      </c>
      <c r="I76" s="9" t="str">
        <f ca="1">IF($G76="","",INDEX(BASE_PRODUTOS!$L$2:$L$1006,$G76))</f>
        <v/>
      </c>
      <c r="J76" s="9" t="str">
        <f ca="1">IF($G76="","",INDEX(BASE_PRODUTOS!$A$2:$A$1006,$G76))</f>
        <v/>
      </c>
      <c r="K76" s="9" t="str">
        <f ca="1">IF($G76="","",INDEX(BASE_PRODUTOS!$C$2:$C$1006,$G76))</f>
        <v/>
      </c>
      <c r="L76" s="9" t="str">
        <f ca="1">IF($G76="","",INDEX(BASE_PRODUTOS!$E$2:$E$1006,$G76))</f>
        <v/>
      </c>
      <c r="M76" s="9" t="str">
        <f ca="1">IF($G76="","",INDEX(BASE_PRODUTOS!$F$2:$F$1006,$G76))</f>
        <v/>
      </c>
      <c r="N76" s="9" t="str">
        <f ca="1">IF($G76="","",INDEX(BASE_PRODUTOS!$G$2:$G$1006,$G76))</f>
        <v/>
      </c>
      <c r="O76" s="9" t="str">
        <f ca="1">IF($G76="","",INDEX(BASE_PRODUTOS!$H$2:$H$1006,$G76))</f>
        <v/>
      </c>
      <c r="P76" s="9" t="str">
        <f ca="1">IF($G76="","",INDEX(BASE_PRODUTOS!$I$2:$I$1006,$G76))</f>
        <v/>
      </c>
      <c r="Q76" s="9" t="str">
        <f ca="1">IF($G76="","",INDEX(BASE_PRODUTOS!$J$2:$J$1006,$G76))</f>
        <v/>
      </c>
      <c r="R76" s="9" t="str">
        <f ca="1">IF($G76="","",INDEX(BASE_PRODUTOS!$M$2:$M$1006,$G76))</f>
        <v/>
      </c>
      <c r="S76" s="9" t="str">
        <f ca="1">IF($G76="","",INDEX(BASE_PRODUTOS!$N$2:$N$1006,$G76))</f>
        <v/>
      </c>
      <c r="T76" s="9" t="str">
        <f ca="1">IF($G76="","",INDEX(BASE_PRODUTOS!$D$2:$D$1006,$G76))</f>
        <v/>
      </c>
      <c r="V76" s="4"/>
      <c r="W76" s="4"/>
      <c r="X76" s="4"/>
      <c r="Y76" s="4"/>
      <c r="Z76" s="4"/>
      <c r="AA76" s="4"/>
      <c r="AB76" s="4"/>
      <c r="AC76" s="4"/>
      <c r="AD76" s="4"/>
    </row>
    <row r="77" spans="7:30" ht="18" customHeight="1" x14ac:dyDescent="0.35">
      <c r="G77" t="str">
        <f ca="1">IFERROR(_xludf.aggregate(15,6,(ROW(BASE_PRODUTOS!$L$2:$L$1006)-ROW(BASE_PRODUTOS!$L$2)+1)/(BASE_PRODUTOS!$L$2:$L$1006&gt;0),ROWS($G$10:G77)),"")</f>
        <v/>
      </c>
      <c r="H77" s="9" t="str">
        <f ca="1">IF($G77="","",INDEX(BASE_PRODUTOS!$B$2:$B$1006,$G77))</f>
        <v/>
      </c>
      <c r="I77" s="9" t="str">
        <f ca="1">IF($G77="","",INDEX(BASE_PRODUTOS!$L$2:$L$1006,$G77))</f>
        <v/>
      </c>
      <c r="J77" s="9" t="str">
        <f ca="1">IF($G77="","",INDEX(BASE_PRODUTOS!$A$2:$A$1006,$G77))</f>
        <v/>
      </c>
      <c r="K77" s="9" t="str">
        <f ca="1">IF($G77="","",INDEX(BASE_PRODUTOS!$C$2:$C$1006,$G77))</f>
        <v/>
      </c>
      <c r="L77" s="9" t="str">
        <f ca="1">IF($G77="","",INDEX(BASE_PRODUTOS!$E$2:$E$1006,$G77))</f>
        <v/>
      </c>
      <c r="M77" s="9" t="str">
        <f ca="1">IF($G77="","",INDEX(BASE_PRODUTOS!$F$2:$F$1006,$G77))</f>
        <v/>
      </c>
      <c r="N77" s="9" t="str">
        <f ca="1">IF($G77="","",INDEX(BASE_PRODUTOS!$G$2:$G$1006,$G77))</f>
        <v/>
      </c>
      <c r="O77" s="9" t="str">
        <f ca="1">IF($G77="","",INDEX(BASE_PRODUTOS!$H$2:$H$1006,$G77))</f>
        <v/>
      </c>
      <c r="P77" s="9" t="str">
        <f ca="1">IF($G77="","",INDEX(BASE_PRODUTOS!$I$2:$I$1006,$G77))</f>
        <v/>
      </c>
      <c r="Q77" s="9" t="str">
        <f ca="1">IF($G77="","",INDEX(BASE_PRODUTOS!$J$2:$J$1006,$G77))</f>
        <v/>
      </c>
      <c r="R77" s="9" t="str">
        <f ca="1">IF($G77="","",INDEX(BASE_PRODUTOS!$M$2:$M$1006,$G77))</f>
        <v/>
      </c>
      <c r="S77" s="9" t="str">
        <f ca="1">IF($G77="","",INDEX(BASE_PRODUTOS!$N$2:$N$1006,$G77))</f>
        <v/>
      </c>
      <c r="T77" s="9" t="str">
        <f ca="1">IF($G77="","",INDEX(BASE_PRODUTOS!$D$2:$D$1006,$G77))</f>
        <v/>
      </c>
      <c r="V77" s="4"/>
      <c r="W77" s="4"/>
      <c r="X77" s="4"/>
      <c r="Y77" s="4"/>
      <c r="Z77" s="4"/>
      <c r="AA77" s="4"/>
      <c r="AB77" s="4"/>
      <c r="AC77" s="4"/>
      <c r="AD77" s="4"/>
    </row>
    <row r="78" spans="7:30" ht="18" customHeight="1" x14ac:dyDescent="0.35">
      <c r="G78" t="str">
        <f ca="1">IFERROR(_xludf.aggregate(15,6,(ROW(BASE_PRODUTOS!$L$2:$L$1006)-ROW(BASE_PRODUTOS!$L$2)+1)/(BASE_PRODUTOS!$L$2:$L$1006&gt;0),ROWS($G$10:G78)),"")</f>
        <v/>
      </c>
      <c r="H78" s="9" t="str">
        <f ca="1">IF($G78="","",INDEX(BASE_PRODUTOS!$B$2:$B$1006,$G78))</f>
        <v/>
      </c>
      <c r="I78" s="9" t="str">
        <f ca="1">IF($G78="","",INDEX(BASE_PRODUTOS!$L$2:$L$1006,$G78))</f>
        <v/>
      </c>
      <c r="J78" s="9" t="str">
        <f ca="1">IF($G78="","",INDEX(BASE_PRODUTOS!$A$2:$A$1006,$G78))</f>
        <v/>
      </c>
      <c r="K78" s="9" t="str">
        <f ca="1">IF($G78="","",INDEX(BASE_PRODUTOS!$C$2:$C$1006,$G78))</f>
        <v/>
      </c>
      <c r="L78" s="9" t="str">
        <f ca="1">IF($G78="","",INDEX(BASE_PRODUTOS!$E$2:$E$1006,$G78))</f>
        <v/>
      </c>
      <c r="M78" s="9" t="str">
        <f ca="1">IF($G78="","",INDEX(BASE_PRODUTOS!$F$2:$F$1006,$G78))</f>
        <v/>
      </c>
      <c r="N78" s="9" t="str">
        <f ca="1">IF($G78="","",INDEX(BASE_PRODUTOS!$G$2:$G$1006,$G78))</f>
        <v/>
      </c>
      <c r="O78" s="9" t="str">
        <f ca="1">IF($G78="","",INDEX(BASE_PRODUTOS!$H$2:$H$1006,$G78))</f>
        <v/>
      </c>
      <c r="P78" s="9" t="str">
        <f ca="1">IF($G78="","",INDEX(BASE_PRODUTOS!$I$2:$I$1006,$G78))</f>
        <v/>
      </c>
      <c r="Q78" s="9" t="str">
        <f ca="1">IF($G78="","",INDEX(BASE_PRODUTOS!$J$2:$J$1006,$G78))</f>
        <v/>
      </c>
      <c r="R78" s="9" t="str">
        <f ca="1">IF($G78="","",INDEX(BASE_PRODUTOS!$M$2:$M$1006,$G78))</f>
        <v/>
      </c>
      <c r="S78" s="9" t="str">
        <f ca="1">IF($G78="","",INDEX(BASE_PRODUTOS!$N$2:$N$1006,$G78))</f>
        <v/>
      </c>
      <c r="T78" s="9" t="str">
        <f ca="1">IF($G78="","",INDEX(BASE_PRODUTOS!$D$2:$D$1006,$G78))</f>
        <v/>
      </c>
      <c r="V78" s="4"/>
      <c r="W78" s="4"/>
      <c r="X78" s="4"/>
      <c r="Y78" s="4"/>
      <c r="Z78" s="4"/>
      <c r="AA78" s="4"/>
      <c r="AB78" s="4"/>
      <c r="AC78" s="4"/>
      <c r="AD78" s="4"/>
    </row>
    <row r="79" spans="7:30" ht="18" customHeight="1" x14ac:dyDescent="0.35">
      <c r="G79" t="str">
        <f ca="1">IFERROR(_xludf.aggregate(15,6,(ROW(BASE_PRODUTOS!$L$2:$L$1006)-ROW(BASE_PRODUTOS!$L$2)+1)/(BASE_PRODUTOS!$L$2:$L$1006&gt;0),ROWS($G$10:G79)),"")</f>
        <v/>
      </c>
      <c r="H79" s="9" t="str">
        <f ca="1">IF($G79="","",INDEX(BASE_PRODUTOS!$B$2:$B$1006,$G79))</f>
        <v/>
      </c>
      <c r="I79" s="9" t="str">
        <f ca="1">IF($G79="","",INDEX(BASE_PRODUTOS!$L$2:$L$1006,$G79))</f>
        <v/>
      </c>
      <c r="J79" s="9" t="str">
        <f ca="1">IF($G79="","",INDEX(BASE_PRODUTOS!$A$2:$A$1006,$G79))</f>
        <v/>
      </c>
      <c r="K79" s="9" t="str">
        <f ca="1">IF($G79="","",INDEX(BASE_PRODUTOS!$C$2:$C$1006,$G79))</f>
        <v/>
      </c>
      <c r="L79" s="9" t="str">
        <f ca="1">IF($G79="","",INDEX(BASE_PRODUTOS!$E$2:$E$1006,$G79))</f>
        <v/>
      </c>
      <c r="M79" s="9" t="str">
        <f ca="1">IF($G79="","",INDEX(BASE_PRODUTOS!$F$2:$F$1006,$G79))</f>
        <v/>
      </c>
      <c r="N79" s="9" t="str">
        <f ca="1">IF($G79="","",INDEX(BASE_PRODUTOS!$G$2:$G$1006,$G79))</f>
        <v/>
      </c>
      <c r="O79" s="9" t="str">
        <f ca="1">IF($G79="","",INDEX(BASE_PRODUTOS!$H$2:$H$1006,$G79))</f>
        <v/>
      </c>
      <c r="P79" s="9" t="str">
        <f ca="1">IF($G79="","",INDEX(BASE_PRODUTOS!$I$2:$I$1006,$G79))</f>
        <v/>
      </c>
      <c r="Q79" s="9" t="str">
        <f ca="1">IF($G79="","",INDEX(BASE_PRODUTOS!$J$2:$J$1006,$G79))</f>
        <v/>
      </c>
      <c r="R79" s="9" t="str">
        <f ca="1">IF($G79="","",INDEX(BASE_PRODUTOS!$M$2:$M$1006,$G79))</f>
        <v/>
      </c>
      <c r="S79" s="9" t="str">
        <f ca="1">IF($G79="","",INDEX(BASE_PRODUTOS!$N$2:$N$1006,$G79))</f>
        <v/>
      </c>
      <c r="T79" s="9" t="str">
        <f ca="1">IF($G79="","",INDEX(BASE_PRODUTOS!$D$2:$D$1006,$G79))</f>
        <v/>
      </c>
      <c r="V79" s="4"/>
      <c r="W79" s="4"/>
      <c r="X79" s="4"/>
      <c r="Y79" s="4"/>
      <c r="Z79" s="4"/>
      <c r="AA79" s="4"/>
      <c r="AB79" s="4"/>
      <c r="AC79" s="4"/>
      <c r="AD79" s="4"/>
    </row>
    <row r="80" spans="7:30" ht="18" customHeight="1" x14ac:dyDescent="0.35">
      <c r="G80" t="str">
        <f ca="1">IFERROR(_xludf.aggregate(15,6,(ROW(BASE_PRODUTOS!$L$2:$L$1006)-ROW(BASE_PRODUTOS!$L$2)+1)/(BASE_PRODUTOS!$L$2:$L$1006&gt;0),ROWS($G$10:G80)),"")</f>
        <v/>
      </c>
      <c r="H80" s="9" t="str">
        <f ca="1">IF($G80="","",INDEX(BASE_PRODUTOS!$B$2:$B$1006,$G80))</f>
        <v/>
      </c>
      <c r="I80" s="9" t="str">
        <f ca="1">IF($G80="","",INDEX(BASE_PRODUTOS!$L$2:$L$1006,$G80))</f>
        <v/>
      </c>
      <c r="J80" s="9" t="str">
        <f ca="1">IF($G80="","",INDEX(BASE_PRODUTOS!$A$2:$A$1006,$G80))</f>
        <v/>
      </c>
      <c r="K80" s="9" t="str">
        <f ca="1">IF($G80="","",INDEX(BASE_PRODUTOS!$C$2:$C$1006,$G80))</f>
        <v/>
      </c>
      <c r="L80" s="9" t="str">
        <f ca="1">IF($G80="","",INDEX(BASE_PRODUTOS!$E$2:$E$1006,$G80))</f>
        <v/>
      </c>
      <c r="M80" s="9" t="str">
        <f ca="1">IF($G80="","",INDEX(BASE_PRODUTOS!$F$2:$F$1006,$G80))</f>
        <v/>
      </c>
      <c r="N80" s="9" t="str">
        <f ca="1">IF($G80="","",INDEX(BASE_PRODUTOS!$G$2:$G$1006,$G80))</f>
        <v/>
      </c>
      <c r="O80" s="9" t="str">
        <f ca="1">IF($G80="","",INDEX(BASE_PRODUTOS!$H$2:$H$1006,$G80))</f>
        <v/>
      </c>
      <c r="P80" s="9" t="str">
        <f ca="1">IF($G80="","",INDEX(BASE_PRODUTOS!$I$2:$I$1006,$G80))</f>
        <v/>
      </c>
      <c r="Q80" s="9" t="str">
        <f ca="1">IF($G80="","",INDEX(BASE_PRODUTOS!$J$2:$J$1006,$G80))</f>
        <v/>
      </c>
      <c r="R80" s="9" t="str">
        <f ca="1">IF($G80="","",INDEX(BASE_PRODUTOS!$M$2:$M$1006,$G80))</f>
        <v/>
      </c>
      <c r="S80" s="9" t="str">
        <f ca="1">IF($G80="","",INDEX(BASE_PRODUTOS!$N$2:$N$1006,$G80))</f>
        <v/>
      </c>
      <c r="T80" s="9" t="str">
        <f ca="1">IF($G80="","",INDEX(BASE_PRODUTOS!$D$2:$D$1006,$G80))</f>
        <v/>
      </c>
      <c r="V80" s="4"/>
      <c r="W80" s="4"/>
      <c r="X80" s="4"/>
      <c r="Y80" s="4"/>
      <c r="Z80" s="4"/>
      <c r="AA80" s="4"/>
      <c r="AB80" s="4"/>
      <c r="AC80" s="4"/>
      <c r="AD80" s="4"/>
    </row>
    <row r="81" spans="7:30" ht="18" customHeight="1" x14ac:dyDescent="0.35">
      <c r="G81" t="str">
        <f ca="1">IFERROR(_xludf.aggregate(15,6,(ROW(BASE_PRODUTOS!$L$2:$L$1006)-ROW(BASE_PRODUTOS!$L$2)+1)/(BASE_PRODUTOS!$L$2:$L$1006&gt;0),ROWS($G$10:G81)),"")</f>
        <v/>
      </c>
      <c r="H81" s="9" t="str">
        <f ca="1">IF($G81="","",INDEX(BASE_PRODUTOS!$B$2:$B$1006,$G81))</f>
        <v/>
      </c>
      <c r="I81" s="9" t="str">
        <f ca="1">IF($G81="","",INDEX(BASE_PRODUTOS!$L$2:$L$1006,$G81))</f>
        <v/>
      </c>
      <c r="J81" s="9" t="str">
        <f ca="1">IF($G81="","",INDEX(BASE_PRODUTOS!$A$2:$A$1006,$G81))</f>
        <v/>
      </c>
      <c r="K81" s="9" t="str">
        <f ca="1">IF($G81="","",INDEX(BASE_PRODUTOS!$C$2:$C$1006,$G81))</f>
        <v/>
      </c>
      <c r="L81" s="9" t="str">
        <f ca="1">IF($G81="","",INDEX(BASE_PRODUTOS!$E$2:$E$1006,$G81))</f>
        <v/>
      </c>
      <c r="M81" s="9" t="str">
        <f ca="1">IF($G81="","",INDEX(BASE_PRODUTOS!$F$2:$F$1006,$G81))</f>
        <v/>
      </c>
      <c r="N81" s="9" t="str">
        <f ca="1">IF($G81="","",INDEX(BASE_PRODUTOS!$G$2:$G$1006,$G81))</f>
        <v/>
      </c>
      <c r="O81" s="9" t="str">
        <f ca="1">IF($G81="","",INDEX(BASE_PRODUTOS!$H$2:$H$1006,$G81))</f>
        <v/>
      </c>
      <c r="P81" s="9" t="str">
        <f ca="1">IF($G81="","",INDEX(BASE_PRODUTOS!$I$2:$I$1006,$G81))</f>
        <v/>
      </c>
      <c r="Q81" s="9" t="str">
        <f ca="1">IF($G81="","",INDEX(BASE_PRODUTOS!$J$2:$J$1006,$G81))</f>
        <v/>
      </c>
      <c r="R81" s="9" t="str">
        <f ca="1">IF($G81="","",INDEX(BASE_PRODUTOS!$M$2:$M$1006,$G81))</f>
        <v/>
      </c>
      <c r="S81" s="9" t="str">
        <f ca="1">IF($G81="","",INDEX(BASE_PRODUTOS!$N$2:$N$1006,$G81))</f>
        <v/>
      </c>
      <c r="T81" s="9" t="str">
        <f ca="1">IF($G81="","",INDEX(BASE_PRODUTOS!$D$2:$D$1006,$G81))</f>
        <v/>
      </c>
      <c r="V81" s="4"/>
      <c r="W81" s="4"/>
      <c r="X81" s="4"/>
      <c r="Y81" s="4"/>
      <c r="Z81" s="4"/>
      <c r="AA81" s="4"/>
      <c r="AB81" s="4"/>
      <c r="AC81" s="4"/>
      <c r="AD81" s="4"/>
    </row>
    <row r="82" spans="7:30" ht="18" customHeight="1" x14ac:dyDescent="0.35">
      <c r="G82" t="str">
        <f ca="1">IFERROR(_xludf.aggregate(15,6,(ROW(BASE_PRODUTOS!$L$2:$L$1006)-ROW(BASE_PRODUTOS!$L$2)+1)/(BASE_PRODUTOS!$L$2:$L$1006&gt;0),ROWS($G$10:G82)),"")</f>
        <v/>
      </c>
      <c r="H82" s="9" t="str">
        <f ca="1">IF($G82="","",INDEX(BASE_PRODUTOS!$B$2:$B$1006,$G82))</f>
        <v/>
      </c>
      <c r="I82" s="9" t="str">
        <f ca="1">IF($G82="","",INDEX(BASE_PRODUTOS!$L$2:$L$1006,$G82))</f>
        <v/>
      </c>
      <c r="J82" s="9" t="str">
        <f ca="1">IF($G82="","",INDEX(BASE_PRODUTOS!$A$2:$A$1006,$G82))</f>
        <v/>
      </c>
      <c r="K82" s="9" t="str">
        <f ca="1">IF($G82="","",INDEX(BASE_PRODUTOS!$C$2:$C$1006,$G82))</f>
        <v/>
      </c>
      <c r="L82" s="9" t="str">
        <f ca="1">IF($G82="","",INDEX(BASE_PRODUTOS!$E$2:$E$1006,$G82))</f>
        <v/>
      </c>
      <c r="M82" s="9" t="str">
        <f ca="1">IF($G82="","",INDEX(BASE_PRODUTOS!$F$2:$F$1006,$G82))</f>
        <v/>
      </c>
      <c r="N82" s="9" t="str">
        <f ca="1">IF($G82="","",INDEX(BASE_PRODUTOS!$G$2:$G$1006,$G82))</f>
        <v/>
      </c>
      <c r="O82" s="9" t="str">
        <f ca="1">IF($G82="","",INDEX(BASE_PRODUTOS!$H$2:$H$1006,$G82))</f>
        <v/>
      </c>
      <c r="P82" s="9" t="str">
        <f ca="1">IF($G82="","",INDEX(BASE_PRODUTOS!$I$2:$I$1006,$G82))</f>
        <v/>
      </c>
      <c r="Q82" s="9" t="str">
        <f ca="1">IF($G82="","",INDEX(BASE_PRODUTOS!$J$2:$J$1006,$G82))</f>
        <v/>
      </c>
      <c r="R82" s="9" t="str">
        <f ca="1">IF($G82="","",INDEX(BASE_PRODUTOS!$M$2:$M$1006,$G82))</f>
        <v/>
      </c>
      <c r="S82" s="9" t="str">
        <f ca="1">IF($G82="","",INDEX(BASE_PRODUTOS!$N$2:$N$1006,$G82))</f>
        <v/>
      </c>
      <c r="T82" s="9" t="str">
        <f ca="1">IF($G82="","",INDEX(BASE_PRODUTOS!$D$2:$D$1006,$G82))</f>
        <v/>
      </c>
      <c r="V82" s="4"/>
      <c r="W82" s="4"/>
      <c r="X82" s="4"/>
      <c r="Y82" s="4"/>
      <c r="Z82" s="4"/>
      <c r="AA82" s="4"/>
      <c r="AB82" s="4"/>
      <c r="AC82" s="4"/>
      <c r="AD82" s="4"/>
    </row>
    <row r="83" spans="7:30" ht="18" customHeight="1" x14ac:dyDescent="0.35">
      <c r="G83" t="str">
        <f ca="1">IFERROR(_xludf.aggregate(15,6,(ROW(BASE_PRODUTOS!$L$2:$L$1006)-ROW(BASE_PRODUTOS!$L$2)+1)/(BASE_PRODUTOS!$L$2:$L$1006&gt;0),ROWS($G$10:G83)),"")</f>
        <v/>
      </c>
      <c r="H83" s="9" t="str">
        <f ca="1">IF($G83="","",INDEX(BASE_PRODUTOS!$B$2:$B$1006,$G83))</f>
        <v/>
      </c>
      <c r="I83" s="9" t="str">
        <f ca="1">IF($G83="","",INDEX(BASE_PRODUTOS!$L$2:$L$1006,$G83))</f>
        <v/>
      </c>
      <c r="J83" s="9" t="str">
        <f ca="1">IF($G83="","",INDEX(BASE_PRODUTOS!$A$2:$A$1006,$G83))</f>
        <v/>
      </c>
      <c r="K83" s="9" t="str">
        <f ca="1">IF($G83="","",INDEX(BASE_PRODUTOS!$C$2:$C$1006,$G83))</f>
        <v/>
      </c>
      <c r="L83" s="9" t="str">
        <f ca="1">IF($G83="","",INDEX(BASE_PRODUTOS!$E$2:$E$1006,$G83))</f>
        <v/>
      </c>
      <c r="M83" s="9" t="str">
        <f ca="1">IF($G83="","",INDEX(BASE_PRODUTOS!$F$2:$F$1006,$G83))</f>
        <v/>
      </c>
      <c r="N83" s="9" t="str">
        <f ca="1">IF($G83="","",INDEX(BASE_PRODUTOS!$G$2:$G$1006,$G83))</f>
        <v/>
      </c>
      <c r="O83" s="9" t="str">
        <f ca="1">IF($G83="","",INDEX(BASE_PRODUTOS!$H$2:$H$1006,$G83))</f>
        <v/>
      </c>
      <c r="P83" s="9" t="str">
        <f ca="1">IF($G83="","",INDEX(BASE_PRODUTOS!$I$2:$I$1006,$G83))</f>
        <v/>
      </c>
      <c r="Q83" s="9" t="str">
        <f ca="1">IF($G83="","",INDEX(BASE_PRODUTOS!$J$2:$J$1006,$G83))</f>
        <v/>
      </c>
      <c r="R83" s="9" t="str">
        <f ca="1">IF($G83="","",INDEX(BASE_PRODUTOS!$M$2:$M$1006,$G83))</f>
        <v/>
      </c>
      <c r="S83" s="9" t="str">
        <f ca="1">IF($G83="","",INDEX(BASE_PRODUTOS!$N$2:$N$1006,$G83))</f>
        <v/>
      </c>
      <c r="T83" s="9" t="str">
        <f ca="1">IF($G83="","",INDEX(BASE_PRODUTOS!$D$2:$D$1006,$G83))</f>
        <v/>
      </c>
      <c r="V83" s="4"/>
      <c r="W83" s="4"/>
      <c r="X83" s="4"/>
      <c r="Y83" s="4"/>
      <c r="Z83" s="4"/>
      <c r="AA83" s="4"/>
      <c r="AB83" s="4"/>
      <c r="AC83" s="4"/>
      <c r="AD83" s="4"/>
    </row>
    <row r="84" spans="7:30" ht="18" customHeight="1" x14ac:dyDescent="0.35">
      <c r="G84" t="str">
        <f ca="1">IFERROR(_xludf.aggregate(15,6,(ROW(BASE_PRODUTOS!$L$2:$L$1006)-ROW(BASE_PRODUTOS!$L$2)+1)/(BASE_PRODUTOS!$L$2:$L$1006&gt;0),ROWS($G$10:G84)),"")</f>
        <v/>
      </c>
      <c r="H84" s="9" t="str">
        <f ca="1">IF($G84="","",INDEX(BASE_PRODUTOS!$B$2:$B$1006,$G84))</f>
        <v/>
      </c>
      <c r="I84" s="9" t="str">
        <f ca="1">IF($G84="","",INDEX(BASE_PRODUTOS!$L$2:$L$1006,$G84))</f>
        <v/>
      </c>
      <c r="J84" s="9" t="str">
        <f ca="1">IF($G84="","",INDEX(BASE_PRODUTOS!$A$2:$A$1006,$G84))</f>
        <v/>
      </c>
      <c r="K84" s="9" t="str">
        <f ca="1">IF($G84="","",INDEX(BASE_PRODUTOS!$C$2:$C$1006,$G84))</f>
        <v/>
      </c>
      <c r="L84" s="9" t="str">
        <f ca="1">IF($G84="","",INDEX(BASE_PRODUTOS!$E$2:$E$1006,$G84))</f>
        <v/>
      </c>
      <c r="M84" s="9" t="str">
        <f ca="1">IF($G84="","",INDEX(BASE_PRODUTOS!$F$2:$F$1006,$G84))</f>
        <v/>
      </c>
      <c r="N84" s="9" t="str">
        <f ca="1">IF($G84="","",INDEX(BASE_PRODUTOS!$G$2:$G$1006,$G84))</f>
        <v/>
      </c>
      <c r="O84" s="9" t="str">
        <f ca="1">IF($G84="","",INDEX(BASE_PRODUTOS!$H$2:$H$1006,$G84))</f>
        <v/>
      </c>
      <c r="P84" s="9" t="str">
        <f ca="1">IF($G84="","",INDEX(BASE_PRODUTOS!$I$2:$I$1006,$G84))</f>
        <v/>
      </c>
      <c r="Q84" s="9" t="str">
        <f ca="1">IF($G84="","",INDEX(BASE_PRODUTOS!$J$2:$J$1006,$G84))</f>
        <v/>
      </c>
      <c r="R84" s="9" t="str">
        <f ca="1">IF($G84="","",INDEX(BASE_PRODUTOS!$M$2:$M$1006,$G84))</f>
        <v/>
      </c>
      <c r="S84" s="9" t="str">
        <f ca="1">IF($G84="","",INDEX(BASE_PRODUTOS!$N$2:$N$1006,$G84))</f>
        <v/>
      </c>
      <c r="T84" s="9" t="str">
        <f ca="1">IF($G84="","",INDEX(BASE_PRODUTOS!$D$2:$D$1006,$G84))</f>
        <v/>
      </c>
      <c r="V84" s="4"/>
      <c r="W84" s="4"/>
      <c r="X84" s="4"/>
      <c r="Y84" s="4"/>
      <c r="Z84" s="4"/>
      <c r="AA84" s="4"/>
      <c r="AB84" s="4"/>
      <c r="AC84" s="4"/>
      <c r="AD84" s="4"/>
    </row>
    <row r="85" spans="7:30" ht="18" customHeight="1" x14ac:dyDescent="0.35">
      <c r="G85" t="str">
        <f ca="1">IFERROR(_xludf.aggregate(15,6,(ROW(BASE_PRODUTOS!$L$2:$L$1006)-ROW(BASE_PRODUTOS!$L$2)+1)/(BASE_PRODUTOS!$L$2:$L$1006&gt;0),ROWS($G$10:G85)),"")</f>
        <v/>
      </c>
      <c r="H85" s="9" t="str">
        <f ca="1">IF($G85="","",INDEX(BASE_PRODUTOS!$B$2:$B$1006,$G85))</f>
        <v/>
      </c>
      <c r="I85" s="9" t="str">
        <f ca="1">IF($G85="","",INDEX(BASE_PRODUTOS!$L$2:$L$1006,$G85))</f>
        <v/>
      </c>
      <c r="J85" s="9" t="str">
        <f ca="1">IF($G85="","",INDEX(BASE_PRODUTOS!$A$2:$A$1006,$G85))</f>
        <v/>
      </c>
      <c r="K85" s="9" t="str">
        <f ca="1">IF($G85="","",INDEX(BASE_PRODUTOS!$C$2:$C$1006,$G85))</f>
        <v/>
      </c>
      <c r="L85" s="9" t="str">
        <f ca="1">IF($G85="","",INDEX(BASE_PRODUTOS!$E$2:$E$1006,$G85))</f>
        <v/>
      </c>
      <c r="M85" s="9" t="str">
        <f ca="1">IF($G85="","",INDEX(BASE_PRODUTOS!$F$2:$F$1006,$G85))</f>
        <v/>
      </c>
      <c r="N85" s="9" t="str">
        <f ca="1">IF($G85="","",INDEX(BASE_PRODUTOS!$G$2:$G$1006,$G85))</f>
        <v/>
      </c>
      <c r="O85" s="9" t="str">
        <f ca="1">IF($G85="","",INDEX(BASE_PRODUTOS!$H$2:$H$1006,$G85))</f>
        <v/>
      </c>
      <c r="P85" s="9" t="str">
        <f ca="1">IF($G85="","",INDEX(BASE_PRODUTOS!$I$2:$I$1006,$G85))</f>
        <v/>
      </c>
      <c r="Q85" s="9" t="str">
        <f ca="1">IF($G85="","",INDEX(BASE_PRODUTOS!$J$2:$J$1006,$G85))</f>
        <v/>
      </c>
      <c r="R85" s="9" t="str">
        <f ca="1">IF($G85="","",INDEX(BASE_PRODUTOS!$M$2:$M$1006,$G85))</f>
        <v/>
      </c>
      <c r="S85" s="9" t="str">
        <f ca="1">IF($G85="","",INDEX(BASE_PRODUTOS!$N$2:$N$1006,$G85))</f>
        <v/>
      </c>
      <c r="T85" s="9" t="str">
        <f ca="1">IF($G85="","",INDEX(BASE_PRODUTOS!$D$2:$D$1006,$G85))</f>
        <v/>
      </c>
      <c r="V85" s="4"/>
      <c r="W85" s="4"/>
      <c r="X85" s="4"/>
      <c r="Y85" s="4"/>
      <c r="Z85" s="4"/>
      <c r="AA85" s="4"/>
      <c r="AB85" s="4"/>
      <c r="AC85" s="4"/>
      <c r="AD85" s="4"/>
    </row>
    <row r="86" spans="7:30" ht="18" customHeight="1" x14ac:dyDescent="0.35">
      <c r="G86" t="str">
        <f ca="1">IFERROR(_xludf.aggregate(15,6,(ROW(BASE_PRODUTOS!$L$2:$L$1006)-ROW(BASE_PRODUTOS!$L$2)+1)/(BASE_PRODUTOS!$L$2:$L$1006&gt;0),ROWS($G$10:G86)),"")</f>
        <v/>
      </c>
      <c r="H86" s="9" t="str">
        <f ca="1">IF($G86="","",INDEX(BASE_PRODUTOS!$B$2:$B$1006,$G86))</f>
        <v/>
      </c>
      <c r="I86" s="9" t="str">
        <f ca="1">IF($G86="","",INDEX(BASE_PRODUTOS!$L$2:$L$1006,$G86))</f>
        <v/>
      </c>
      <c r="J86" s="9" t="str">
        <f ca="1">IF($G86="","",INDEX(BASE_PRODUTOS!$A$2:$A$1006,$G86))</f>
        <v/>
      </c>
      <c r="K86" s="9" t="str">
        <f ca="1">IF($G86="","",INDEX(BASE_PRODUTOS!$C$2:$C$1006,$G86))</f>
        <v/>
      </c>
      <c r="L86" s="9" t="str">
        <f ca="1">IF($G86="","",INDEX(BASE_PRODUTOS!$E$2:$E$1006,$G86))</f>
        <v/>
      </c>
      <c r="M86" s="9" t="str">
        <f ca="1">IF($G86="","",INDEX(BASE_PRODUTOS!$F$2:$F$1006,$G86))</f>
        <v/>
      </c>
      <c r="N86" s="9" t="str">
        <f ca="1">IF($G86="","",INDEX(BASE_PRODUTOS!$G$2:$G$1006,$G86))</f>
        <v/>
      </c>
      <c r="O86" s="9" t="str">
        <f ca="1">IF($G86="","",INDEX(BASE_PRODUTOS!$H$2:$H$1006,$G86))</f>
        <v/>
      </c>
      <c r="P86" s="9" t="str">
        <f ca="1">IF($G86="","",INDEX(BASE_PRODUTOS!$I$2:$I$1006,$G86))</f>
        <v/>
      </c>
      <c r="Q86" s="9" t="str">
        <f ca="1">IF($G86="","",INDEX(BASE_PRODUTOS!$J$2:$J$1006,$G86))</f>
        <v/>
      </c>
      <c r="R86" s="9" t="str">
        <f ca="1">IF($G86="","",INDEX(BASE_PRODUTOS!$M$2:$M$1006,$G86))</f>
        <v/>
      </c>
      <c r="S86" s="9" t="str">
        <f ca="1">IF($G86="","",INDEX(BASE_PRODUTOS!$N$2:$N$1006,$G86))</f>
        <v/>
      </c>
      <c r="T86" s="9" t="str">
        <f ca="1">IF($G86="","",INDEX(BASE_PRODUTOS!$D$2:$D$1006,$G86))</f>
        <v/>
      </c>
      <c r="V86" s="4"/>
      <c r="W86" s="4"/>
      <c r="X86" s="4"/>
      <c r="Y86" s="4"/>
      <c r="Z86" s="4"/>
      <c r="AA86" s="4"/>
      <c r="AB86" s="4"/>
      <c r="AC86" s="4"/>
      <c r="AD86" s="4"/>
    </row>
    <row r="87" spans="7:30" ht="18" customHeight="1" x14ac:dyDescent="0.35">
      <c r="G87" t="str">
        <f ca="1">IFERROR(_xludf.aggregate(15,6,(ROW(BASE_PRODUTOS!$L$2:$L$1006)-ROW(BASE_PRODUTOS!$L$2)+1)/(BASE_PRODUTOS!$L$2:$L$1006&gt;0),ROWS($G$10:G87)),"")</f>
        <v/>
      </c>
      <c r="H87" s="9" t="str">
        <f ca="1">IF($G87="","",INDEX(BASE_PRODUTOS!$B$2:$B$1006,$G87))</f>
        <v/>
      </c>
      <c r="I87" s="9" t="str">
        <f ca="1">IF($G87="","",INDEX(BASE_PRODUTOS!$L$2:$L$1006,$G87))</f>
        <v/>
      </c>
      <c r="J87" s="9" t="str">
        <f ca="1">IF($G87="","",INDEX(BASE_PRODUTOS!$A$2:$A$1006,$G87))</f>
        <v/>
      </c>
      <c r="K87" s="9" t="str">
        <f ca="1">IF($G87="","",INDEX(BASE_PRODUTOS!$C$2:$C$1006,$G87))</f>
        <v/>
      </c>
      <c r="L87" s="9" t="str">
        <f ca="1">IF($G87="","",INDEX(BASE_PRODUTOS!$E$2:$E$1006,$G87))</f>
        <v/>
      </c>
      <c r="M87" s="9" t="str">
        <f ca="1">IF($G87="","",INDEX(BASE_PRODUTOS!$F$2:$F$1006,$G87))</f>
        <v/>
      </c>
      <c r="N87" s="9" t="str">
        <f ca="1">IF($G87="","",INDEX(BASE_PRODUTOS!$G$2:$G$1006,$G87))</f>
        <v/>
      </c>
      <c r="O87" s="9" t="str">
        <f ca="1">IF($G87="","",INDEX(BASE_PRODUTOS!$H$2:$H$1006,$G87))</f>
        <v/>
      </c>
      <c r="P87" s="9" t="str">
        <f ca="1">IF($G87="","",INDEX(BASE_PRODUTOS!$I$2:$I$1006,$G87))</f>
        <v/>
      </c>
      <c r="Q87" s="9" t="str">
        <f ca="1">IF($G87="","",INDEX(BASE_PRODUTOS!$J$2:$J$1006,$G87))</f>
        <v/>
      </c>
      <c r="R87" s="9" t="str">
        <f ca="1">IF($G87="","",INDEX(BASE_PRODUTOS!$M$2:$M$1006,$G87))</f>
        <v/>
      </c>
      <c r="S87" s="9" t="str">
        <f ca="1">IF($G87="","",INDEX(BASE_PRODUTOS!$N$2:$N$1006,$G87))</f>
        <v/>
      </c>
      <c r="T87" s="9" t="str">
        <f ca="1">IF($G87="","",INDEX(BASE_PRODUTOS!$D$2:$D$1006,$G87))</f>
        <v/>
      </c>
      <c r="V87" s="4"/>
      <c r="W87" s="4"/>
      <c r="X87" s="4"/>
      <c r="Y87" s="4"/>
      <c r="Z87" s="4"/>
      <c r="AA87" s="4"/>
      <c r="AB87" s="4"/>
      <c r="AC87" s="4"/>
      <c r="AD87" s="4"/>
    </row>
    <row r="88" spans="7:30" ht="18" customHeight="1" x14ac:dyDescent="0.35">
      <c r="G88" t="str">
        <f ca="1">IFERROR(_xludf.aggregate(15,6,(ROW(BASE_PRODUTOS!$L$2:$L$1006)-ROW(BASE_PRODUTOS!$L$2)+1)/(BASE_PRODUTOS!$L$2:$L$1006&gt;0),ROWS($G$10:G88)),"")</f>
        <v/>
      </c>
      <c r="H88" s="9" t="str">
        <f ca="1">IF($G88="","",INDEX(BASE_PRODUTOS!$B$2:$B$1006,$G88))</f>
        <v/>
      </c>
      <c r="I88" s="9" t="str">
        <f ca="1">IF($G88="","",INDEX(BASE_PRODUTOS!$L$2:$L$1006,$G88))</f>
        <v/>
      </c>
      <c r="J88" s="9" t="str">
        <f ca="1">IF($G88="","",INDEX(BASE_PRODUTOS!$A$2:$A$1006,$G88))</f>
        <v/>
      </c>
      <c r="K88" s="9" t="str">
        <f ca="1">IF($G88="","",INDEX(BASE_PRODUTOS!$C$2:$C$1006,$G88))</f>
        <v/>
      </c>
      <c r="L88" s="9" t="str">
        <f ca="1">IF($G88="","",INDEX(BASE_PRODUTOS!$E$2:$E$1006,$G88))</f>
        <v/>
      </c>
      <c r="M88" s="9" t="str">
        <f ca="1">IF($G88="","",INDEX(BASE_PRODUTOS!$F$2:$F$1006,$G88))</f>
        <v/>
      </c>
      <c r="N88" s="9" t="str">
        <f ca="1">IF($G88="","",INDEX(BASE_PRODUTOS!$G$2:$G$1006,$G88))</f>
        <v/>
      </c>
      <c r="O88" s="9" t="str">
        <f ca="1">IF($G88="","",INDEX(BASE_PRODUTOS!$H$2:$H$1006,$G88))</f>
        <v/>
      </c>
      <c r="P88" s="9" t="str">
        <f ca="1">IF($G88="","",INDEX(BASE_PRODUTOS!$I$2:$I$1006,$G88))</f>
        <v/>
      </c>
      <c r="Q88" s="9" t="str">
        <f ca="1">IF($G88="","",INDEX(BASE_PRODUTOS!$J$2:$J$1006,$G88))</f>
        <v/>
      </c>
      <c r="R88" s="9" t="str">
        <f ca="1">IF($G88="","",INDEX(BASE_PRODUTOS!$M$2:$M$1006,$G88))</f>
        <v/>
      </c>
      <c r="S88" s="9" t="str">
        <f ca="1">IF($G88="","",INDEX(BASE_PRODUTOS!$N$2:$N$1006,$G88))</f>
        <v/>
      </c>
      <c r="T88" s="9" t="str">
        <f ca="1">IF($G88="","",INDEX(BASE_PRODUTOS!$D$2:$D$1006,$G88))</f>
        <v/>
      </c>
      <c r="V88" s="4"/>
      <c r="W88" s="4"/>
      <c r="X88" s="4"/>
      <c r="Y88" s="4"/>
      <c r="Z88" s="4"/>
      <c r="AA88" s="4"/>
      <c r="AB88" s="4"/>
      <c r="AC88" s="4"/>
      <c r="AD88" s="4"/>
    </row>
    <row r="89" spans="7:30" ht="18" customHeight="1" x14ac:dyDescent="0.35">
      <c r="G89" t="str">
        <f ca="1">IFERROR(_xludf.aggregate(15,6,(ROW(BASE_PRODUTOS!$L$2:$L$1006)-ROW(BASE_PRODUTOS!$L$2)+1)/(BASE_PRODUTOS!$L$2:$L$1006&gt;0),ROWS($G$10:G89)),"")</f>
        <v/>
      </c>
      <c r="H89" s="9" t="str">
        <f ca="1">IF($G89="","",INDEX(BASE_PRODUTOS!$B$2:$B$1006,$G89))</f>
        <v/>
      </c>
      <c r="I89" s="9" t="str">
        <f ca="1">IF($G89="","",INDEX(BASE_PRODUTOS!$L$2:$L$1006,$G89))</f>
        <v/>
      </c>
      <c r="J89" s="9" t="str">
        <f ca="1">IF($G89="","",INDEX(BASE_PRODUTOS!$A$2:$A$1006,$G89))</f>
        <v/>
      </c>
      <c r="K89" s="9" t="str">
        <f ca="1">IF($G89="","",INDEX(BASE_PRODUTOS!$C$2:$C$1006,$G89))</f>
        <v/>
      </c>
      <c r="L89" s="9" t="str">
        <f ca="1">IF($G89="","",INDEX(BASE_PRODUTOS!$E$2:$E$1006,$G89))</f>
        <v/>
      </c>
      <c r="M89" s="9" t="str">
        <f ca="1">IF($G89="","",INDEX(BASE_PRODUTOS!$F$2:$F$1006,$G89))</f>
        <v/>
      </c>
      <c r="N89" s="9" t="str">
        <f ca="1">IF($G89="","",INDEX(BASE_PRODUTOS!$G$2:$G$1006,$G89))</f>
        <v/>
      </c>
      <c r="O89" s="9" t="str">
        <f ca="1">IF($G89="","",INDEX(BASE_PRODUTOS!$H$2:$H$1006,$G89))</f>
        <v/>
      </c>
      <c r="P89" s="9" t="str">
        <f ca="1">IF($G89="","",INDEX(BASE_PRODUTOS!$I$2:$I$1006,$G89))</f>
        <v/>
      </c>
      <c r="Q89" s="9" t="str">
        <f ca="1">IF($G89="","",INDEX(BASE_PRODUTOS!$J$2:$J$1006,$G89))</f>
        <v/>
      </c>
      <c r="R89" s="9" t="str">
        <f ca="1">IF($G89="","",INDEX(BASE_PRODUTOS!$M$2:$M$1006,$G89))</f>
        <v/>
      </c>
      <c r="S89" s="9" t="str">
        <f ca="1">IF($G89="","",INDEX(BASE_PRODUTOS!$N$2:$N$1006,$G89))</f>
        <v/>
      </c>
      <c r="T89" s="9" t="str">
        <f ca="1">IF($G89="","",INDEX(BASE_PRODUTOS!$D$2:$D$1006,$G89))</f>
        <v/>
      </c>
      <c r="V89" s="4"/>
      <c r="W89" s="4"/>
      <c r="X89" s="4"/>
      <c r="Y89" s="4"/>
      <c r="Z89" s="4"/>
      <c r="AA89" s="4"/>
      <c r="AB89" s="4"/>
      <c r="AC89" s="4"/>
      <c r="AD89" s="4"/>
    </row>
    <row r="90" spans="7:30" ht="18" customHeight="1" x14ac:dyDescent="0.35">
      <c r="G90" t="str">
        <f ca="1">IFERROR(_xludf.aggregate(15,6,(ROW(BASE_PRODUTOS!$L$2:$L$1006)-ROW(BASE_PRODUTOS!$L$2)+1)/(BASE_PRODUTOS!$L$2:$L$1006&gt;0),ROWS($G$10:G90)),"")</f>
        <v/>
      </c>
      <c r="H90" s="9" t="str">
        <f ca="1">IF($G90="","",INDEX(BASE_PRODUTOS!$B$2:$B$1006,$G90))</f>
        <v/>
      </c>
      <c r="I90" s="9" t="str">
        <f ca="1">IF($G90="","",INDEX(BASE_PRODUTOS!$L$2:$L$1006,$G90))</f>
        <v/>
      </c>
      <c r="J90" s="9" t="str">
        <f ca="1">IF($G90="","",INDEX(BASE_PRODUTOS!$A$2:$A$1006,$G90))</f>
        <v/>
      </c>
      <c r="K90" s="9" t="str">
        <f ca="1">IF($G90="","",INDEX(BASE_PRODUTOS!$C$2:$C$1006,$G90))</f>
        <v/>
      </c>
      <c r="L90" s="9" t="str">
        <f ca="1">IF($G90="","",INDEX(BASE_PRODUTOS!$E$2:$E$1006,$G90))</f>
        <v/>
      </c>
      <c r="M90" s="9" t="str">
        <f ca="1">IF($G90="","",INDEX(BASE_PRODUTOS!$F$2:$F$1006,$G90))</f>
        <v/>
      </c>
      <c r="N90" s="9" t="str">
        <f ca="1">IF($G90="","",INDEX(BASE_PRODUTOS!$G$2:$G$1006,$G90))</f>
        <v/>
      </c>
      <c r="O90" s="9" t="str">
        <f ca="1">IF($G90="","",INDEX(BASE_PRODUTOS!$H$2:$H$1006,$G90))</f>
        <v/>
      </c>
      <c r="P90" s="9" t="str">
        <f ca="1">IF($G90="","",INDEX(BASE_PRODUTOS!$I$2:$I$1006,$G90))</f>
        <v/>
      </c>
      <c r="Q90" s="9" t="str">
        <f ca="1">IF($G90="","",INDEX(BASE_PRODUTOS!$J$2:$J$1006,$G90))</f>
        <v/>
      </c>
      <c r="R90" s="9" t="str">
        <f ca="1">IF($G90="","",INDEX(BASE_PRODUTOS!$M$2:$M$1006,$G90))</f>
        <v/>
      </c>
      <c r="S90" s="9" t="str">
        <f ca="1">IF($G90="","",INDEX(BASE_PRODUTOS!$N$2:$N$1006,$G90))</f>
        <v/>
      </c>
      <c r="T90" s="9" t="str">
        <f ca="1">IF($G90="","",INDEX(BASE_PRODUTOS!$D$2:$D$1006,$G90))</f>
        <v/>
      </c>
      <c r="V90" s="4"/>
      <c r="W90" s="4"/>
      <c r="X90" s="4"/>
      <c r="Y90" s="4"/>
      <c r="Z90" s="4"/>
      <c r="AA90" s="4"/>
      <c r="AB90" s="4"/>
      <c r="AC90" s="4"/>
      <c r="AD90" s="4"/>
    </row>
    <row r="91" spans="7:30" ht="18" customHeight="1" x14ac:dyDescent="0.35">
      <c r="G91" t="str">
        <f ca="1">IFERROR(_xludf.aggregate(15,6,(ROW(BASE_PRODUTOS!$L$2:$L$1006)-ROW(BASE_PRODUTOS!$L$2)+1)/(BASE_PRODUTOS!$L$2:$L$1006&gt;0),ROWS($G$10:G91)),"")</f>
        <v/>
      </c>
      <c r="H91" s="9" t="str">
        <f ca="1">IF($G91="","",INDEX(BASE_PRODUTOS!$B$2:$B$1006,$G91))</f>
        <v/>
      </c>
      <c r="I91" s="9" t="str">
        <f ca="1">IF($G91="","",INDEX(BASE_PRODUTOS!$L$2:$L$1006,$G91))</f>
        <v/>
      </c>
      <c r="J91" s="9" t="str">
        <f ca="1">IF($G91="","",INDEX(BASE_PRODUTOS!$A$2:$A$1006,$G91))</f>
        <v/>
      </c>
      <c r="K91" s="9" t="str">
        <f ca="1">IF($G91="","",INDEX(BASE_PRODUTOS!$C$2:$C$1006,$G91))</f>
        <v/>
      </c>
      <c r="L91" s="9" t="str">
        <f ca="1">IF($G91="","",INDEX(BASE_PRODUTOS!$E$2:$E$1006,$G91))</f>
        <v/>
      </c>
      <c r="M91" s="9" t="str">
        <f ca="1">IF($G91="","",INDEX(BASE_PRODUTOS!$F$2:$F$1006,$G91))</f>
        <v/>
      </c>
      <c r="N91" s="9" t="str">
        <f ca="1">IF($G91="","",INDEX(BASE_PRODUTOS!$G$2:$G$1006,$G91))</f>
        <v/>
      </c>
      <c r="O91" s="9" t="str">
        <f ca="1">IF($G91="","",INDEX(BASE_PRODUTOS!$H$2:$H$1006,$G91))</f>
        <v/>
      </c>
      <c r="P91" s="9" t="str">
        <f ca="1">IF($G91="","",INDEX(BASE_PRODUTOS!$I$2:$I$1006,$G91))</f>
        <v/>
      </c>
      <c r="Q91" s="9" t="str">
        <f ca="1">IF($G91="","",INDEX(BASE_PRODUTOS!$J$2:$J$1006,$G91))</f>
        <v/>
      </c>
      <c r="R91" s="9" t="str">
        <f ca="1">IF($G91="","",INDEX(BASE_PRODUTOS!$M$2:$M$1006,$G91))</f>
        <v/>
      </c>
      <c r="S91" s="9" t="str">
        <f ca="1">IF($G91="","",INDEX(BASE_PRODUTOS!$N$2:$N$1006,$G91))</f>
        <v/>
      </c>
      <c r="T91" s="9" t="str">
        <f ca="1">IF($G91="","",INDEX(BASE_PRODUTOS!$D$2:$D$1006,$G91))</f>
        <v/>
      </c>
      <c r="V91" s="4"/>
      <c r="W91" s="4"/>
      <c r="X91" s="4"/>
      <c r="Y91" s="4"/>
      <c r="Z91" s="4"/>
      <c r="AA91" s="4"/>
      <c r="AB91" s="4"/>
      <c r="AC91" s="4"/>
      <c r="AD91" s="4"/>
    </row>
    <row r="92" spans="7:30" ht="18" customHeight="1" x14ac:dyDescent="0.35">
      <c r="G92" t="str">
        <f ca="1">IFERROR(_xludf.aggregate(15,6,(ROW(BASE_PRODUTOS!$L$2:$L$1006)-ROW(BASE_PRODUTOS!$L$2)+1)/(BASE_PRODUTOS!$L$2:$L$1006&gt;0),ROWS($G$10:G92)),"")</f>
        <v/>
      </c>
      <c r="H92" s="9" t="str">
        <f ca="1">IF($G92="","",INDEX(BASE_PRODUTOS!$B$2:$B$1006,$G92))</f>
        <v/>
      </c>
      <c r="I92" s="9" t="str">
        <f ca="1">IF($G92="","",INDEX(BASE_PRODUTOS!$L$2:$L$1006,$G92))</f>
        <v/>
      </c>
      <c r="J92" s="9" t="str">
        <f ca="1">IF($G92="","",INDEX(BASE_PRODUTOS!$A$2:$A$1006,$G92))</f>
        <v/>
      </c>
      <c r="K92" s="9" t="str">
        <f ca="1">IF($G92="","",INDEX(BASE_PRODUTOS!$C$2:$C$1006,$G92))</f>
        <v/>
      </c>
      <c r="L92" s="9" t="str">
        <f ca="1">IF($G92="","",INDEX(BASE_PRODUTOS!$E$2:$E$1006,$G92))</f>
        <v/>
      </c>
      <c r="M92" s="9" t="str">
        <f ca="1">IF($G92="","",INDEX(BASE_PRODUTOS!$F$2:$F$1006,$G92))</f>
        <v/>
      </c>
      <c r="N92" s="9" t="str">
        <f ca="1">IF($G92="","",INDEX(BASE_PRODUTOS!$G$2:$G$1006,$G92))</f>
        <v/>
      </c>
      <c r="O92" s="9" t="str">
        <f ca="1">IF($G92="","",INDEX(BASE_PRODUTOS!$H$2:$H$1006,$G92))</f>
        <v/>
      </c>
      <c r="P92" s="9" t="str">
        <f ca="1">IF($G92="","",INDEX(BASE_PRODUTOS!$I$2:$I$1006,$G92))</f>
        <v/>
      </c>
      <c r="Q92" s="9" t="str">
        <f ca="1">IF($G92="","",INDEX(BASE_PRODUTOS!$J$2:$J$1006,$G92))</f>
        <v/>
      </c>
      <c r="R92" s="9" t="str">
        <f ca="1">IF($G92="","",INDEX(BASE_PRODUTOS!$M$2:$M$1006,$G92))</f>
        <v/>
      </c>
      <c r="S92" s="9" t="str">
        <f ca="1">IF($G92="","",INDEX(BASE_PRODUTOS!$N$2:$N$1006,$G92))</f>
        <v/>
      </c>
      <c r="T92" s="9" t="str">
        <f ca="1">IF($G92="","",INDEX(BASE_PRODUTOS!$D$2:$D$1006,$G92))</f>
        <v/>
      </c>
      <c r="V92" s="4"/>
      <c r="W92" s="4"/>
      <c r="X92" s="4"/>
      <c r="Y92" s="4"/>
      <c r="Z92" s="4"/>
      <c r="AA92" s="4"/>
      <c r="AB92" s="4"/>
      <c r="AC92" s="4"/>
      <c r="AD92" s="4"/>
    </row>
    <row r="93" spans="7:30" ht="18" customHeight="1" x14ac:dyDescent="0.35">
      <c r="G93" t="str">
        <f ca="1">IFERROR(_xludf.aggregate(15,6,(ROW(BASE_PRODUTOS!$L$2:$L$1006)-ROW(BASE_PRODUTOS!$L$2)+1)/(BASE_PRODUTOS!$L$2:$L$1006&gt;0),ROWS($G$10:G93)),"")</f>
        <v/>
      </c>
      <c r="H93" s="9" t="str">
        <f ca="1">IF($G93="","",INDEX(BASE_PRODUTOS!$B$2:$B$1006,$G93))</f>
        <v/>
      </c>
      <c r="I93" s="9" t="str">
        <f ca="1">IF($G93="","",INDEX(BASE_PRODUTOS!$L$2:$L$1006,$G93))</f>
        <v/>
      </c>
      <c r="J93" s="9" t="str">
        <f ca="1">IF($G93="","",INDEX(BASE_PRODUTOS!$A$2:$A$1006,$G93))</f>
        <v/>
      </c>
      <c r="K93" s="9" t="str">
        <f ca="1">IF($G93="","",INDEX(BASE_PRODUTOS!$C$2:$C$1006,$G93))</f>
        <v/>
      </c>
      <c r="L93" s="9" t="str">
        <f ca="1">IF($G93="","",INDEX(BASE_PRODUTOS!$E$2:$E$1006,$G93))</f>
        <v/>
      </c>
      <c r="M93" s="9" t="str">
        <f ca="1">IF($G93="","",INDEX(BASE_PRODUTOS!$F$2:$F$1006,$G93))</f>
        <v/>
      </c>
      <c r="N93" s="9" t="str">
        <f ca="1">IF($G93="","",INDEX(BASE_PRODUTOS!$G$2:$G$1006,$G93))</f>
        <v/>
      </c>
      <c r="O93" s="9" t="str">
        <f ca="1">IF($G93="","",INDEX(BASE_PRODUTOS!$H$2:$H$1006,$G93))</f>
        <v/>
      </c>
      <c r="P93" s="9" t="str">
        <f ca="1">IF($G93="","",INDEX(BASE_PRODUTOS!$I$2:$I$1006,$G93))</f>
        <v/>
      </c>
      <c r="Q93" s="9" t="str">
        <f ca="1">IF($G93="","",INDEX(BASE_PRODUTOS!$J$2:$J$1006,$G93))</f>
        <v/>
      </c>
      <c r="R93" s="9" t="str">
        <f ca="1">IF($G93="","",INDEX(BASE_PRODUTOS!$M$2:$M$1006,$G93))</f>
        <v/>
      </c>
      <c r="S93" s="9" t="str">
        <f ca="1">IF($G93="","",INDEX(BASE_PRODUTOS!$N$2:$N$1006,$G93))</f>
        <v/>
      </c>
      <c r="T93" s="9" t="str">
        <f ca="1">IF($G93="","",INDEX(BASE_PRODUTOS!$D$2:$D$1006,$G93))</f>
        <v/>
      </c>
      <c r="V93" s="4"/>
      <c r="W93" s="4"/>
      <c r="X93" s="4"/>
      <c r="Y93" s="4"/>
      <c r="Z93" s="4"/>
      <c r="AA93" s="4"/>
      <c r="AB93" s="4"/>
      <c r="AC93" s="4"/>
      <c r="AD93" s="4"/>
    </row>
    <row r="94" spans="7:30" ht="18" customHeight="1" x14ac:dyDescent="0.35">
      <c r="G94" t="str">
        <f ca="1">IFERROR(_xludf.aggregate(15,6,(ROW(BASE_PRODUTOS!$L$2:$L$1006)-ROW(BASE_PRODUTOS!$L$2)+1)/(BASE_PRODUTOS!$L$2:$L$1006&gt;0),ROWS($G$10:G94)),"")</f>
        <v/>
      </c>
      <c r="H94" s="9" t="str">
        <f ca="1">IF($G94="","",INDEX(BASE_PRODUTOS!$B$2:$B$1006,$G94))</f>
        <v/>
      </c>
      <c r="I94" s="9" t="str">
        <f ca="1">IF($G94="","",INDEX(BASE_PRODUTOS!$L$2:$L$1006,$G94))</f>
        <v/>
      </c>
      <c r="J94" s="9" t="str">
        <f ca="1">IF($G94="","",INDEX(BASE_PRODUTOS!$A$2:$A$1006,$G94))</f>
        <v/>
      </c>
      <c r="K94" s="9" t="str">
        <f ca="1">IF($G94="","",INDEX(BASE_PRODUTOS!$C$2:$C$1006,$G94))</f>
        <v/>
      </c>
      <c r="L94" s="9" t="str">
        <f ca="1">IF($G94="","",INDEX(BASE_PRODUTOS!$E$2:$E$1006,$G94))</f>
        <v/>
      </c>
      <c r="M94" s="9" t="str">
        <f ca="1">IF($G94="","",INDEX(BASE_PRODUTOS!$F$2:$F$1006,$G94))</f>
        <v/>
      </c>
      <c r="N94" s="9" t="str">
        <f ca="1">IF($G94="","",INDEX(BASE_PRODUTOS!$G$2:$G$1006,$G94))</f>
        <v/>
      </c>
      <c r="O94" s="9" t="str">
        <f ca="1">IF($G94="","",INDEX(BASE_PRODUTOS!$H$2:$H$1006,$G94))</f>
        <v/>
      </c>
      <c r="P94" s="9" t="str">
        <f ca="1">IF($G94="","",INDEX(BASE_PRODUTOS!$I$2:$I$1006,$G94))</f>
        <v/>
      </c>
      <c r="Q94" s="9" t="str">
        <f ca="1">IF($G94="","",INDEX(BASE_PRODUTOS!$J$2:$J$1006,$G94))</f>
        <v/>
      </c>
      <c r="R94" s="9" t="str">
        <f ca="1">IF($G94="","",INDEX(BASE_PRODUTOS!$M$2:$M$1006,$G94))</f>
        <v/>
      </c>
      <c r="S94" s="9" t="str">
        <f ca="1">IF($G94="","",INDEX(BASE_PRODUTOS!$N$2:$N$1006,$G94))</f>
        <v/>
      </c>
      <c r="T94" s="9" t="str">
        <f ca="1">IF($G94="","",INDEX(BASE_PRODUTOS!$D$2:$D$1006,$G94))</f>
        <v/>
      </c>
      <c r="V94" s="4"/>
      <c r="W94" s="4"/>
      <c r="X94" s="4"/>
      <c r="Y94" s="4"/>
      <c r="Z94" s="4"/>
      <c r="AA94" s="4"/>
      <c r="AB94" s="4"/>
      <c r="AC94" s="4"/>
      <c r="AD94" s="4"/>
    </row>
    <row r="95" spans="7:30" ht="18" customHeight="1" x14ac:dyDescent="0.35">
      <c r="G95" t="str">
        <f ca="1">IFERROR(_xludf.aggregate(15,6,(ROW(BASE_PRODUTOS!$L$2:$L$1006)-ROW(BASE_PRODUTOS!$L$2)+1)/(BASE_PRODUTOS!$L$2:$L$1006&gt;0),ROWS($G$10:G95)),"")</f>
        <v/>
      </c>
      <c r="H95" s="9" t="str">
        <f ca="1">IF($G95="","",INDEX(BASE_PRODUTOS!$B$2:$B$1006,$G95))</f>
        <v/>
      </c>
      <c r="I95" s="9" t="str">
        <f ca="1">IF($G95="","",INDEX(BASE_PRODUTOS!$L$2:$L$1006,$G95))</f>
        <v/>
      </c>
      <c r="J95" s="9" t="str">
        <f ca="1">IF($G95="","",INDEX(BASE_PRODUTOS!$A$2:$A$1006,$G95))</f>
        <v/>
      </c>
      <c r="K95" s="9" t="str">
        <f ca="1">IF($G95="","",INDEX(BASE_PRODUTOS!$C$2:$C$1006,$G95))</f>
        <v/>
      </c>
      <c r="L95" s="9" t="str">
        <f ca="1">IF($G95="","",INDEX(BASE_PRODUTOS!$E$2:$E$1006,$G95))</f>
        <v/>
      </c>
      <c r="M95" s="9" t="str">
        <f ca="1">IF($G95="","",INDEX(BASE_PRODUTOS!$F$2:$F$1006,$G95))</f>
        <v/>
      </c>
      <c r="N95" s="9" t="str">
        <f ca="1">IF($G95="","",INDEX(BASE_PRODUTOS!$G$2:$G$1006,$G95))</f>
        <v/>
      </c>
      <c r="O95" s="9" t="str">
        <f ca="1">IF($G95="","",INDEX(BASE_PRODUTOS!$H$2:$H$1006,$G95))</f>
        <v/>
      </c>
      <c r="P95" s="9" t="str">
        <f ca="1">IF($G95="","",INDEX(BASE_PRODUTOS!$I$2:$I$1006,$G95))</f>
        <v/>
      </c>
      <c r="Q95" s="9" t="str">
        <f ca="1">IF($G95="","",INDEX(BASE_PRODUTOS!$J$2:$J$1006,$G95))</f>
        <v/>
      </c>
      <c r="R95" s="9" t="str">
        <f ca="1">IF($G95="","",INDEX(BASE_PRODUTOS!$M$2:$M$1006,$G95))</f>
        <v/>
      </c>
      <c r="S95" s="9" t="str">
        <f ca="1">IF($G95="","",INDEX(BASE_PRODUTOS!$N$2:$N$1006,$G95))</f>
        <v/>
      </c>
      <c r="T95" s="9" t="str">
        <f ca="1">IF($G95="","",INDEX(BASE_PRODUTOS!$D$2:$D$1006,$G95))</f>
        <v/>
      </c>
      <c r="V95" s="4"/>
      <c r="W95" s="4"/>
      <c r="X95" s="4"/>
      <c r="Y95" s="4"/>
      <c r="Z95" s="4"/>
      <c r="AA95" s="4"/>
      <c r="AB95" s="4"/>
      <c r="AC95" s="4"/>
      <c r="AD95" s="4"/>
    </row>
    <row r="96" spans="7:30" ht="18" customHeight="1" x14ac:dyDescent="0.35">
      <c r="G96" t="str">
        <f ca="1">IFERROR(_xludf.aggregate(15,6,(ROW(BASE_PRODUTOS!$L$2:$L$1006)-ROW(BASE_PRODUTOS!$L$2)+1)/(BASE_PRODUTOS!$L$2:$L$1006&gt;0),ROWS($G$10:G96)),"")</f>
        <v/>
      </c>
      <c r="H96" s="9" t="str">
        <f ca="1">IF($G96="","",INDEX(BASE_PRODUTOS!$B$2:$B$1006,$G96))</f>
        <v/>
      </c>
      <c r="I96" s="9" t="str">
        <f ca="1">IF($G96="","",INDEX(BASE_PRODUTOS!$L$2:$L$1006,$G96))</f>
        <v/>
      </c>
      <c r="J96" s="9" t="str">
        <f ca="1">IF($G96="","",INDEX(BASE_PRODUTOS!$A$2:$A$1006,$G96))</f>
        <v/>
      </c>
      <c r="K96" s="9" t="str">
        <f ca="1">IF($G96="","",INDEX(BASE_PRODUTOS!$C$2:$C$1006,$G96))</f>
        <v/>
      </c>
      <c r="L96" s="9" t="str">
        <f ca="1">IF($G96="","",INDEX(BASE_PRODUTOS!$E$2:$E$1006,$G96))</f>
        <v/>
      </c>
      <c r="M96" s="9" t="str">
        <f ca="1">IF($G96="","",INDEX(BASE_PRODUTOS!$F$2:$F$1006,$G96))</f>
        <v/>
      </c>
      <c r="N96" s="9" t="str">
        <f ca="1">IF($G96="","",INDEX(BASE_PRODUTOS!$G$2:$G$1006,$G96))</f>
        <v/>
      </c>
      <c r="O96" s="9" t="str">
        <f ca="1">IF($G96="","",INDEX(BASE_PRODUTOS!$H$2:$H$1006,$G96))</f>
        <v/>
      </c>
      <c r="P96" s="9" t="str">
        <f ca="1">IF($G96="","",INDEX(BASE_PRODUTOS!$I$2:$I$1006,$G96))</f>
        <v/>
      </c>
      <c r="Q96" s="9" t="str">
        <f ca="1">IF($G96="","",INDEX(BASE_PRODUTOS!$J$2:$J$1006,$G96))</f>
        <v/>
      </c>
      <c r="R96" s="9" t="str">
        <f ca="1">IF($G96="","",INDEX(BASE_PRODUTOS!$M$2:$M$1006,$G96))</f>
        <v/>
      </c>
      <c r="S96" s="9" t="str">
        <f ca="1">IF($G96="","",INDEX(BASE_PRODUTOS!$N$2:$N$1006,$G96))</f>
        <v/>
      </c>
      <c r="T96" s="9" t="str">
        <f ca="1">IF($G96="","",INDEX(BASE_PRODUTOS!$D$2:$D$1006,$G96))</f>
        <v/>
      </c>
      <c r="V96" s="4"/>
      <c r="W96" s="4"/>
      <c r="X96" s="4"/>
      <c r="Y96" s="4"/>
      <c r="Z96" s="4"/>
      <c r="AA96" s="4"/>
      <c r="AB96" s="4"/>
      <c r="AC96" s="4"/>
      <c r="AD96" s="4"/>
    </row>
    <row r="97" spans="7:30" ht="18" customHeight="1" x14ac:dyDescent="0.35">
      <c r="G97" t="str">
        <f ca="1">IFERROR(_xludf.aggregate(15,6,(ROW(BASE_PRODUTOS!$L$2:$L$1006)-ROW(BASE_PRODUTOS!$L$2)+1)/(BASE_PRODUTOS!$L$2:$L$1006&gt;0),ROWS($G$10:G97)),"")</f>
        <v/>
      </c>
      <c r="H97" s="9" t="str">
        <f ca="1">IF($G97="","",INDEX(BASE_PRODUTOS!$B$2:$B$1006,$G97))</f>
        <v/>
      </c>
      <c r="I97" s="9" t="str">
        <f ca="1">IF($G97="","",INDEX(BASE_PRODUTOS!$L$2:$L$1006,$G97))</f>
        <v/>
      </c>
      <c r="J97" s="9" t="str">
        <f ca="1">IF($G97="","",INDEX(BASE_PRODUTOS!$A$2:$A$1006,$G97))</f>
        <v/>
      </c>
      <c r="K97" s="9" t="str">
        <f ca="1">IF($G97="","",INDEX(BASE_PRODUTOS!$C$2:$C$1006,$G97))</f>
        <v/>
      </c>
      <c r="L97" s="9" t="str">
        <f ca="1">IF($G97="","",INDEX(BASE_PRODUTOS!$E$2:$E$1006,$G97))</f>
        <v/>
      </c>
      <c r="M97" s="9" t="str">
        <f ca="1">IF($G97="","",INDEX(BASE_PRODUTOS!$F$2:$F$1006,$G97))</f>
        <v/>
      </c>
      <c r="N97" s="9" t="str">
        <f ca="1">IF($G97="","",INDEX(BASE_PRODUTOS!$G$2:$G$1006,$G97))</f>
        <v/>
      </c>
      <c r="O97" s="9" t="str">
        <f ca="1">IF($G97="","",INDEX(BASE_PRODUTOS!$H$2:$H$1006,$G97))</f>
        <v/>
      </c>
      <c r="P97" s="9" t="str">
        <f ca="1">IF($G97="","",INDEX(BASE_PRODUTOS!$I$2:$I$1006,$G97))</f>
        <v/>
      </c>
      <c r="Q97" s="9" t="str">
        <f ca="1">IF($G97="","",INDEX(BASE_PRODUTOS!$J$2:$J$1006,$G97))</f>
        <v/>
      </c>
      <c r="R97" s="9" t="str">
        <f ca="1">IF($G97="","",INDEX(BASE_PRODUTOS!$M$2:$M$1006,$G97))</f>
        <v/>
      </c>
      <c r="S97" s="9" t="str">
        <f ca="1">IF($G97="","",INDEX(BASE_PRODUTOS!$N$2:$N$1006,$G97))</f>
        <v/>
      </c>
      <c r="T97" s="9" t="str">
        <f ca="1">IF($G97="","",INDEX(BASE_PRODUTOS!$D$2:$D$1006,$G97))</f>
        <v/>
      </c>
      <c r="V97" s="4"/>
      <c r="W97" s="4"/>
      <c r="X97" s="4"/>
      <c r="Y97" s="4"/>
      <c r="Z97" s="4"/>
      <c r="AA97" s="4"/>
      <c r="AB97" s="4"/>
      <c r="AC97" s="4"/>
      <c r="AD97" s="4"/>
    </row>
    <row r="98" spans="7:30" ht="18" customHeight="1" x14ac:dyDescent="0.35">
      <c r="G98" t="str">
        <f ca="1">IFERROR(_xludf.aggregate(15,6,(ROW(BASE_PRODUTOS!$L$2:$L$1006)-ROW(BASE_PRODUTOS!$L$2)+1)/(BASE_PRODUTOS!$L$2:$L$1006&gt;0),ROWS($G$10:G98)),"")</f>
        <v/>
      </c>
      <c r="H98" s="9" t="str">
        <f ca="1">IF($G98="","",INDEX(BASE_PRODUTOS!$B$2:$B$1006,$G98))</f>
        <v/>
      </c>
      <c r="I98" s="9" t="str">
        <f ca="1">IF($G98="","",INDEX(BASE_PRODUTOS!$L$2:$L$1006,$G98))</f>
        <v/>
      </c>
      <c r="J98" s="9" t="str">
        <f ca="1">IF($G98="","",INDEX(BASE_PRODUTOS!$A$2:$A$1006,$G98))</f>
        <v/>
      </c>
      <c r="K98" s="9" t="str">
        <f ca="1">IF($G98="","",INDEX(BASE_PRODUTOS!$C$2:$C$1006,$G98))</f>
        <v/>
      </c>
      <c r="L98" s="9" t="str">
        <f ca="1">IF($G98="","",INDEX(BASE_PRODUTOS!$E$2:$E$1006,$G98))</f>
        <v/>
      </c>
      <c r="M98" s="9" t="str">
        <f ca="1">IF($G98="","",INDEX(BASE_PRODUTOS!$F$2:$F$1006,$G98))</f>
        <v/>
      </c>
      <c r="N98" s="9" t="str">
        <f ca="1">IF($G98="","",INDEX(BASE_PRODUTOS!$G$2:$G$1006,$G98))</f>
        <v/>
      </c>
      <c r="O98" s="9" t="str">
        <f ca="1">IF($G98="","",INDEX(BASE_PRODUTOS!$H$2:$H$1006,$G98))</f>
        <v/>
      </c>
      <c r="P98" s="9" t="str">
        <f ca="1">IF($G98="","",INDEX(BASE_PRODUTOS!$I$2:$I$1006,$G98))</f>
        <v/>
      </c>
      <c r="Q98" s="9" t="str">
        <f ca="1">IF($G98="","",INDEX(BASE_PRODUTOS!$J$2:$J$1006,$G98))</f>
        <v/>
      </c>
      <c r="R98" s="9" t="str">
        <f ca="1">IF($G98="","",INDEX(BASE_PRODUTOS!$M$2:$M$1006,$G98))</f>
        <v/>
      </c>
      <c r="S98" s="9" t="str">
        <f ca="1">IF($G98="","",INDEX(BASE_PRODUTOS!$N$2:$N$1006,$G98))</f>
        <v/>
      </c>
      <c r="T98" s="9" t="str">
        <f ca="1">IF($G98="","",INDEX(BASE_PRODUTOS!$D$2:$D$1006,$G98))</f>
        <v/>
      </c>
      <c r="V98" s="4"/>
      <c r="W98" s="4"/>
      <c r="X98" s="4"/>
      <c r="Y98" s="4"/>
      <c r="Z98" s="4"/>
      <c r="AA98" s="4"/>
      <c r="AB98" s="4"/>
      <c r="AC98" s="4"/>
      <c r="AD98" s="4"/>
    </row>
    <row r="99" spans="7:30" ht="18" customHeight="1" x14ac:dyDescent="0.35">
      <c r="G99" t="str">
        <f ca="1">IFERROR(_xludf.aggregate(15,6,(ROW(BASE_PRODUTOS!$L$2:$L$1006)-ROW(BASE_PRODUTOS!$L$2)+1)/(BASE_PRODUTOS!$L$2:$L$1006&gt;0),ROWS($G$10:G99)),"")</f>
        <v/>
      </c>
      <c r="H99" s="9" t="str">
        <f ca="1">IF($G99="","",INDEX(BASE_PRODUTOS!$B$2:$B$1006,$G99))</f>
        <v/>
      </c>
      <c r="I99" s="9" t="str">
        <f ca="1">IF($G99="","",INDEX(BASE_PRODUTOS!$L$2:$L$1006,$G99))</f>
        <v/>
      </c>
      <c r="J99" s="9" t="str">
        <f ca="1">IF($G99="","",INDEX(BASE_PRODUTOS!$A$2:$A$1006,$G99))</f>
        <v/>
      </c>
      <c r="K99" s="9" t="str">
        <f ca="1">IF($G99="","",INDEX(BASE_PRODUTOS!$C$2:$C$1006,$G99))</f>
        <v/>
      </c>
      <c r="L99" s="9" t="str">
        <f ca="1">IF($G99="","",INDEX(BASE_PRODUTOS!$E$2:$E$1006,$G99))</f>
        <v/>
      </c>
      <c r="M99" s="9" t="str">
        <f ca="1">IF($G99="","",INDEX(BASE_PRODUTOS!$F$2:$F$1006,$G99))</f>
        <v/>
      </c>
      <c r="N99" s="9" t="str">
        <f ca="1">IF($G99="","",INDEX(BASE_PRODUTOS!$G$2:$G$1006,$G99))</f>
        <v/>
      </c>
      <c r="O99" s="9" t="str">
        <f ca="1">IF($G99="","",INDEX(BASE_PRODUTOS!$H$2:$H$1006,$G99))</f>
        <v/>
      </c>
      <c r="P99" s="9" t="str">
        <f ca="1">IF($G99="","",INDEX(BASE_PRODUTOS!$I$2:$I$1006,$G99))</f>
        <v/>
      </c>
      <c r="Q99" s="9" t="str">
        <f ca="1">IF($G99="","",INDEX(BASE_PRODUTOS!$J$2:$J$1006,$G99))</f>
        <v/>
      </c>
      <c r="R99" s="9" t="str">
        <f ca="1">IF($G99="","",INDEX(BASE_PRODUTOS!$M$2:$M$1006,$G99))</f>
        <v/>
      </c>
      <c r="S99" s="9" t="str">
        <f ca="1">IF($G99="","",INDEX(BASE_PRODUTOS!$N$2:$N$1006,$G99))</f>
        <v/>
      </c>
      <c r="T99" s="9" t="str">
        <f ca="1">IF($G99="","",INDEX(BASE_PRODUTOS!$D$2:$D$1006,$G99))</f>
        <v/>
      </c>
      <c r="V99" s="4"/>
      <c r="W99" s="4"/>
      <c r="X99" s="4"/>
      <c r="Y99" s="4"/>
      <c r="Z99" s="4"/>
      <c r="AA99" s="4"/>
      <c r="AB99" s="4"/>
      <c r="AC99" s="4"/>
      <c r="AD99" s="4"/>
    </row>
    <row r="100" spans="7:30" ht="18" customHeight="1" x14ac:dyDescent="0.35">
      <c r="G100" t="str">
        <f ca="1">IFERROR(_xludf.aggregate(15,6,(ROW(BASE_PRODUTOS!$L$2:$L$1006)-ROW(BASE_PRODUTOS!$L$2)+1)/(BASE_PRODUTOS!$L$2:$L$1006&gt;0),ROWS($G$10:G100)),"")</f>
        <v/>
      </c>
      <c r="H100" s="9" t="str">
        <f ca="1">IF($G100="","",INDEX(BASE_PRODUTOS!$B$2:$B$1006,$G100))</f>
        <v/>
      </c>
      <c r="I100" s="9" t="str">
        <f ca="1">IF($G100="","",INDEX(BASE_PRODUTOS!$L$2:$L$1006,$G100))</f>
        <v/>
      </c>
      <c r="J100" s="9" t="str">
        <f ca="1">IF($G100="","",INDEX(BASE_PRODUTOS!$A$2:$A$1006,$G100))</f>
        <v/>
      </c>
      <c r="K100" s="9" t="str">
        <f ca="1">IF($G100="","",INDEX(BASE_PRODUTOS!$C$2:$C$1006,$G100))</f>
        <v/>
      </c>
      <c r="L100" s="9" t="str">
        <f ca="1">IF($G100="","",INDEX(BASE_PRODUTOS!$E$2:$E$1006,$G100))</f>
        <v/>
      </c>
      <c r="M100" s="9" t="str">
        <f ca="1">IF($G100="","",INDEX(BASE_PRODUTOS!$F$2:$F$1006,$G100))</f>
        <v/>
      </c>
      <c r="N100" s="9" t="str">
        <f ca="1">IF($G100="","",INDEX(BASE_PRODUTOS!$G$2:$G$1006,$G100))</f>
        <v/>
      </c>
      <c r="O100" s="9" t="str">
        <f ca="1">IF($G100="","",INDEX(BASE_PRODUTOS!$H$2:$H$1006,$G100))</f>
        <v/>
      </c>
      <c r="P100" s="9" t="str">
        <f ca="1">IF($G100="","",INDEX(BASE_PRODUTOS!$I$2:$I$1006,$G100))</f>
        <v/>
      </c>
      <c r="Q100" s="9" t="str">
        <f ca="1">IF($G100="","",INDEX(BASE_PRODUTOS!$J$2:$J$1006,$G100))</f>
        <v/>
      </c>
      <c r="R100" s="9" t="str">
        <f ca="1">IF($G100="","",INDEX(BASE_PRODUTOS!$M$2:$M$1006,$G100))</f>
        <v/>
      </c>
      <c r="S100" s="9" t="str">
        <f ca="1">IF($G100="","",INDEX(BASE_PRODUTOS!$N$2:$N$1006,$G100))</f>
        <v/>
      </c>
      <c r="T100" s="9" t="str">
        <f ca="1">IF($G100="","",INDEX(BASE_PRODUTOS!$D$2:$D$1006,$G100))</f>
        <v/>
      </c>
      <c r="V100" s="4"/>
      <c r="W100" s="4"/>
      <c r="X100" s="4"/>
      <c r="Y100" s="4"/>
      <c r="Z100" s="4"/>
      <c r="AA100" s="4"/>
      <c r="AB100" s="4"/>
      <c r="AC100" s="4"/>
      <c r="AD100" s="4"/>
    </row>
    <row r="101" spans="7:30" ht="18" customHeight="1" x14ac:dyDescent="0.35">
      <c r="G101" t="str">
        <f ca="1">IFERROR(_xludf.aggregate(15,6,(ROW(BASE_PRODUTOS!$L$2:$L$1006)-ROW(BASE_PRODUTOS!$L$2)+1)/(BASE_PRODUTOS!$L$2:$L$1006&gt;0),ROWS($G$10:G101)),"")</f>
        <v/>
      </c>
      <c r="H101" s="9" t="str">
        <f ca="1">IF($G101="","",INDEX(BASE_PRODUTOS!$B$2:$B$1006,$G101))</f>
        <v/>
      </c>
      <c r="I101" s="9" t="str">
        <f ca="1">IF($G101="","",INDEX(BASE_PRODUTOS!$L$2:$L$1006,$G101))</f>
        <v/>
      </c>
      <c r="J101" s="9" t="str">
        <f ca="1">IF($G101="","",INDEX(BASE_PRODUTOS!$A$2:$A$1006,$G101))</f>
        <v/>
      </c>
      <c r="K101" s="9" t="str">
        <f ca="1">IF($G101="","",INDEX(BASE_PRODUTOS!$C$2:$C$1006,$G101))</f>
        <v/>
      </c>
      <c r="L101" s="9" t="str">
        <f ca="1">IF($G101="","",INDEX(BASE_PRODUTOS!$E$2:$E$1006,$G101))</f>
        <v/>
      </c>
      <c r="M101" s="9" t="str">
        <f ca="1">IF($G101="","",INDEX(BASE_PRODUTOS!$F$2:$F$1006,$G101))</f>
        <v/>
      </c>
      <c r="N101" s="9" t="str">
        <f ca="1">IF($G101="","",INDEX(BASE_PRODUTOS!$G$2:$G$1006,$G101))</f>
        <v/>
      </c>
      <c r="O101" s="9" t="str">
        <f ca="1">IF($G101="","",INDEX(BASE_PRODUTOS!$H$2:$H$1006,$G101))</f>
        <v/>
      </c>
      <c r="P101" s="9" t="str">
        <f ca="1">IF($G101="","",INDEX(BASE_PRODUTOS!$I$2:$I$1006,$G101))</f>
        <v/>
      </c>
      <c r="Q101" s="9" t="str">
        <f ca="1">IF($G101="","",INDEX(BASE_PRODUTOS!$J$2:$J$1006,$G101))</f>
        <v/>
      </c>
      <c r="R101" s="9" t="str">
        <f ca="1">IF($G101="","",INDEX(BASE_PRODUTOS!$M$2:$M$1006,$G101))</f>
        <v/>
      </c>
      <c r="S101" s="9" t="str">
        <f ca="1">IF($G101="","",INDEX(BASE_PRODUTOS!$N$2:$N$1006,$G101))</f>
        <v/>
      </c>
      <c r="T101" s="9" t="str">
        <f ca="1">IF($G101="","",INDEX(BASE_PRODUTOS!$D$2:$D$1006,$G101))</f>
        <v/>
      </c>
      <c r="V101" s="4"/>
      <c r="W101" s="4"/>
      <c r="X101" s="4"/>
      <c r="Y101" s="4"/>
      <c r="Z101" s="4"/>
      <c r="AA101" s="4"/>
      <c r="AB101" s="4"/>
      <c r="AC101" s="4"/>
      <c r="AD101" s="4"/>
    </row>
    <row r="102" spans="7:30" ht="18" customHeight="1" x14ac:dyDescent="0.35">
      <c r="G102" t="str">
        <f ca="1">IFERROR(_xludf.aggregate(15,6,(ROW(BASE_PRODUTOS!$L$2:$L$1006)-ROW(BASE_PRODUTOS!$L$2)+1)/(BASE_PRODUTOS!$L$2:$L$1006&gt;0),ROWS($G$10:G102)),"")</f>
        <v/>
      </c>
      <c r="H102" s="9" t="str">
        <f ca="1">IF($G102="","",INDEX(BASE_PRODUTOS!$B$2:$B$1006,$G102))</f>
        <v/>
      </c>
      <c r="I102" s="9" t="str">
        <f ca="1">IF($G102="","",INDEX(BASE_PRODUTOS!$L$2:$L$1006,$G102))</f>
        <v/>
      </c>
      <c r="J102" s="9" t="str">
        <f ca="1">IF($G102="","",INDEX(BASE_PRODUTOS!$A$2:$A$1006,$G102))</f>
        <v/>
      </c>
      <c r="K102" s="9" t="str">
        <f ca="1">IF($G102="","",INDEX(BASE_PRODUTOS!$C$2:$C$1006,$G102))</f>
        <v/>
      </c>
      <c r="L102" s="9" t="str">
        <f ca="1">IF($G102="","",INDEX(BASE_PRODUTOS!$E$2:$E$1006,$G102))</f>
        <v/>
      </c>
      <c r="M102" s="9" t="str">
        <f ca="1">IF($G102="","",INDEX(BASE_PRODUTOS!$F$2:$F$1006,$G102))</f>
        <v/>
      </c>
      <c r="N102" s="9" t="str">
        <f ca="1">IF($G102="","",INDEX(BASE_PRODUTOS!$G$2:$G$1006,$G102))</f>
        <v/>
      </c>
      <c r="O102" s="9" t="str">
        <f ca="1">IF($G102="","",INDEX(BASE_PRODUTOS!$H$2:$H$1006,$G102))</f>
        <v/>
      </c>
      <c r="P102" s="9" t="str">
        <f ca="1">IF($G102="","",INDEX(BASE_PRODUTOS!$I$2:$I$1006,$G102))</f>
        <v/>
      </c>
      <c r="Q102" s="9" t="str">
        <f ca="1">IF($G102="","",INDEX(BASE_PRODUTOS!$J$2:$J$1006,$G102))</f>
        <v/>
      </c>
      <c r="R102" s="9" t="str">
        <f ca="1">IF($G102="","",INDEX(BASE_PRODUTOS!$M$2:$M$1006,$G102))</f>
        <v/>
      </c>
      <c r="S102" s="9" t="str">
        <f ca="1">IF($G102="","",INDEX(BASE_PRODUTOS!$N$2:$N$1006,$G102))</f>
        <v/>
      </c>
      <c r="T102" s="9" t="str">
        <f ca="1">IF($G102="","",INDEX(BASE_PRODUTOS!$D$2:$D$1006,$G102))</f>
        <v/>
      </c>
      <c r="V102" s="4"/>
      <c r="W102" s="4"/>
      <c r="X102" s="4"/>
      <c r="Y102" s="4"/>
      <c r="Z102" s="4"/>
      <c r="AA102" s="4"/>
      <c r="AB102" s="4"/>
      <c r="AC102" s="4"/>
      <c r="AD102" s="4"/>
    </row>
    <row r="103" spans="7:30" ht="18" customHeight="1" x14ac:dyDescent="0.35">
      <c r="G103" t="str">
        <f ca="1">IFERROR(_xludf.aggregate(15,6,(ROW(BASE_PRODUTOS!$L$2:$L$1006)-ROW(BASE_PRODUTOS!$L$2)+1)/(BASE_PRODUTOS!$L$2:$L$1006&gt;0),ROWS($G$10:G103)),"")</f>
        <v/>
      </c>
      <c r="H103" s="9" t="str">
        <f ca="1">IF($G103="","",INDEX(BASE_PRODUTOS!$B$2:$B$1006,$G103))</f>
        <v/>
      </c>
      <c r="I103" s="9" t="str">
        <f ca="1">IF($G103="","",INDEX(BASE_PRODUTOS!$L$2:$L$1006,$G103))</f>
        <v/>
      </c>
      <c r="J103" s="9" t="str">
        <f ca="1">IF($G103="","",INDEX(BASE_PRODUTOS!$A$2:$A$1006,$G103))</f>
        <v/>
      </c>
      <c r="K103" s="9" t="str">
        <f ca="1">IF($G103="","",INDEX(BASE_PRODUTOS!$C$2:$C$1006,$G103))</f>
        <v/>
      </c>
      <c r="L103" s="9" t="str">
        <f ca="1">IF($G103="","",INDEX(BASE_PRODUTOS!$E$2:$E$1006,$G103))</f>
        <v/>
      </c>
      <c r="M103" s="9" t="str">
        <f ca="1">IF($G103="","",INDEX(BASE_PRODUTOS!$F$2:$F$1006,$G103))</f>
        <v/>
      </c>
      <c r="N103" s="9" t="str">
        <f ca="1">IF($G103="","",INDEX(BASE_PRODUTOS!$G$2:$G$1006,$G103))</f>
        <v/>
      </c>
      <c r="O103" s="9" t="str">
        <f ca="1">IF($G103="","",INDEX(BASE_PRODUTOS!$H$2:$H$1006,$G103))</f>
        <v/>
      </c>
      <c r="P103" s="9" t="str">
        <f ca="1">IF($G103="","",INDEX(BASE_PRODUTOS!$I$2:$I$1006,$G103))</f>
        <v/>
      </c>
      <c r="Q103" s="9" t="str">
        <f ca="1">IF($G103="","",INDEX(BASE_PRODUTOS!$J$2:$J$1006,$G103))</f>
        <v/>
      </c>
      <c r="R103" s="9" t="str">
        <f ca="1">IF($G103="","",INDEX(BASE_PRODUTOS!$M$2:$M$1006,$G103))</f>
        <v/>
      </c>
      <c r="S103" s="9" t="str">
        <f ca="1">IF($G103="","",INDEX(BASE_PRODUTOS!$N$2:$N$1006,$G103))</f>
        <v/>
      </c>
      <c r="T103" s="9" t="str">
        <f ca="1">IF($G103="","",INDEX(BASE_PRODUTOS!$D$2:$D$1006,$G103))</f>
        <v/>
      </c>
      <c r="V103" s="4"/>
      <c r="W103" s="4"/>
      <c r="X103" s="4"/>
      <c r="Y103" s="4"/>
      <c r="Z103" s="4"/>
      <c r="AA103" s="4"/>
      <c r="AB103" s="4"/>
      <c r="AC103" s="4"/>
      <c r="AD103" s="4"/>
    </row>
    <row r="104" spans="7:30" ht="18" customHeight="1" x14ac:dyDescent="0.35">
      <c r="G104" t="str">
        <f ca="1">IFERROR(_xludf.aggregate(15,6,(ROW(BASE_PRODUTOS!$L$2:$L$1006)-ROW(BASE_PRODUTOS!$L$2)+1)/(BASE_PRODUTOS!$L$2:$L$1006&gt;0),ROWS($G$10:G104)),"")</f>
        <v/>
      </c>
      <c r="H104" s="9" t="str">
        <f ca="1">IF($G104="","",INDEX(BASE_PRODUTOS!$B$2:$B$1006,$G104))</f>
        <v/>
      </c>
      <c r="I104" s="9" t="str">
        <f ca="1">IF($G104="","",INDEX(BASE_PRODUTOS!$L$2:$L$1006,$G104))</f>
        <v/>
      </c>
      <c r="J104" s="9" t="str">
        <f ca="1">IF($G104="","",INDEX(BASE_PRODUTOS!$A$2:$A$1006,$G104))</f>
        <v/>
      </c>
      <c r="K104" s="9" t="str">
        <f ca="1">IF($G104="","",INDEX(BASE_PRODUTOS!$C$2:$C$1006,$G104))</f>
        <v/>
      </c>
      <c r="L104" s="9" t="str">
        <f ca="1">IF($G104="","",INDEX(BASE_PRODUTOS!$E$2:$E$1006,$G104))</f>
        <v/>
      </c>
      <c r="M104" s="9" t="str">
        <f ca="1">IF($G104="","",INDEX(BASE_PRODUTOS!$F$2:$F$1006,$G104))</f>
        <v/>
      </c>
      <c r="N104" s="9" t="str">
        <f ca="1">IF($G104="","",INDEX(BASE_PRODUTOS!$G$2:$G$1006,$G104))</f>
        <v/>
      </c>
      <c r="O104" s="9" t="str">
        <f ca="1">IF($G104="","",INDEX(BASE_PRODUTOS!$H$2:$H$1006,$G104))</f>
        <v/>
      </c>
      <c r="P104" s="9" t="str">
        <f ca="1">IF($G104="","",INDEX(BASE_PRODUTOS!$I$2:$I$1006,$G104))</f>
        <v/>
      </c>
      <c r="Q104" s="9" t="str">
        <f ca="1">IF($G104="","",INDEX(BASE_PRODUTOS!$J$2:$J$1006,$G104))</f>
        <v/>
      </c>
      <c r="R104" s="9" t="str">
        <f ca="1">IF($G104="","",INDEX(BASE_PRODUTOS!$M$2:$M$1006,$G104))</f>
        <v/>
      </c>
      <c r="S104" s="9" t="str">
        <f ca="1">IF($G104="","",INDEX(BASE_PRODUTOS!$N$2:$N$1006,$G104))</f>
        <v/>
      </c>
      <c r="T104" s="9" t="str">
        <f ca="1">IF($G104="","",INDEX(BASE_PRODUTOS!$D$2:$D$1006,$G104))</f>
        <v/>
      </c>
      <c r="V104" s="4"/>
      <c r="W104" s="4"/>
      <c r="X104" s="4"/>
      <c r="Y104" s="4"/>
      <c r="Z104" s="4"/>
      <c r="AA104" s="4"/>
      <c r="AB104" s="4"/>
      <c r="AC104" s="4"/>
      <c r="AD104" s="4"/>
    </row>
    <row r="105" spans="7:30" ht="18" customHeight="1" x14ac:dyDescent="0.35">
      <c r="G105" t="str">
        <f ca="1">IFERROR(_xludf.aggregate(15,6,(ROW(BASE_PRODUTOS!$L$2:$L$1006)-ROW(BASE_PRODUTOS!$L$2)+1)/(BASE_PRODUTOS!$L$2:$L$1006&gt;0),ROWS($G$10:G105)),"")</f>
        <v/>
      </c>
      <c r="H105" s="9" t="str">
        <f ca="1">IF($G105="","",INDEX(BASE_PRODUTOS!$B$2:$B$1006,$G105))</f>
        <v/>
      </c>
      <c r="I105" s="9" t="str">
        <f ca="1">IF($G105="","",INDEX(BASE_PRODUTOS!$L$2:$L$1006,$G105))</f>
        <v/>
      </c>
      <c r="J105" s="9" t="str">
        <f ca="1">IF($G105="","",INDEX(BASE_PRODUTOS!$A$2:$A$1006,$G105))</f>
        <v/>
      </c>
      <c r="K105" s="9" t="str">
        <f ca="1">IF($G105="","",INDEX(BASE_PRODUTOS!$C$2:$C$1006,$G105))</f>
        <v/>
      </c>
      <c r="L105" s="9" t="str">
        <f ca="1">IF($G105="","",INDEX(BASE_PRODUTOS!$E$2:$E$1006,$G105))</f>
        <v/>
      </c>
      <c r="M105" s="9" t="str">
        <f ca="1">IF($G105="","",INDEX(BASE_PRODUTOS!$F$2:$F$1006,$G105))</f>
        <v/>
      </c>
      <c r="N105" s="9" t="str">
        <f ca="1">IF($G105="","",INDEX(BASE_PRODUTOS!$G$2:$G$1006,$G105))</f>
        <v/>
      </c>
      <c r="O105" s="9" t="str">
        <f ca="1">IF($G105="","",INDEX(BASE_PRODUTOS!$H$2:$H$1006,$G105))</f>
        <v/>
      </c>
      <c r="P105" s="9" t="str">
        <f ca="1">IF($G105="","",INDEX(BASE_PRODUTOS!$I$2:$I$1006,$G105))</f>
        <v/>
      </c>
      <c r="Q105" s="9" t="str">
        <f ca="1">IF($G105="","",INDEX(BASE_PRODUTOS!$J$2:$J$1006,$G105))</f>
        <v/>
      </c>
      <c r="R105" s="9" t="str">
        <f ca="1">IF($G105="","",INDEX(BASE_PRODUTOS!$M$2:$M$1006,$G105))</f>
        <v/>
      </c>
      <c r="S105" s="9" t="str">
        <f ca="1">IF($G105="","",INDEX(BASE_PRODUTOS!$N$2:$N$1006,$G105))</f>
        <v/>
      </c>
      <c r="T105" s="9" t="str">
        <f ca="1">IF($G105="","",INDEX(BASE_PRODUTOS!$D$2:$D$1006,$G105))</f>
        <v/>
      </c>
      <c r="V105" s="4"/>
      <c r="W105" s="4"/>
      <c r="X105" s="4"/>
      <c r="Y105" s="4"/>
      <c r="Z105" s="4"/>
      <c r="AA105" s="4"/>
      <c r="AB105" s="4"/>
      <c r="AC105" s="4"/>
      <c r="AD105" s="4"/>
    </row>
    <row r="106" spans="7:30" ht="18" customHeight="1" x14ac:dyDescent="0.35">
      <c r="G106" t="str">
        <f ca="1">IFERROR(_xludf.aggregate(15,6,(ROW(BASE_PRODUTOS!$L$2:$L$1006)-ROW(BASE_PRODUTOS!$L$2)+1)/(BASE_PRODUTOS!$L$2:$L$1006&gt;0),ROWS($G$10:G106)),"")</f>
        <v/>
      </c>
      <c r="H106" s="9" t="str">
        <f ca="1">IF($G106="","",INDEX(BASE_PRODUTOS!$B$2:$B$1006,$G106))</f>
        <v/>
      </c>
      <c r="I106" s="9" t="str">
        <f ca="1">IF($G106="","",INDEX(BASE_PRODUTOS!$L$2:$L$1006,$G106))</f>
        <v/>
      </c>
      <c r="J106" s="9" t="str">
        <f ca="1">IF($G106="","",INDEX(BASE_PRODUTOS!$A$2:$A$1006,$G106))</f>
        <v/>
      </c>
      <c r="K106" s="9" t="str">
        <f ca="1">IF($G106="","",INDEX(BASE_PRODUTOS!$C$2:$C$1006,$G106))</f>
        <v/>
      </c>
      <c r="L106" s="9" t="str">
        <f ca="1">IF($G106="","",INDEX(BASE_PRODUTOS!$E$2:$E$1006,$G106))</f>
        <v/>
      </c>
      <c r="M106" s="9" t="str">
        <f ca="1">IF($G106="","",INDEX(BASE_PRODUTOS!$F$2:$F$1006,$G106))</f>
        <v/>
      </c>
      <c r="N106" s="9" t="str">
        <f ca="1">IF($G106="","",INDEX(BASE_PRODUTOS!$G$2:$G$1006,$G106))</f>
        <v/>
      </c>
      <c r="O106" s="9" t="str">
        <f ca="1">IF($G106="","",INDEX(BASE_PRODUTOS!$H$2:$H$1006,$G106))</f>
        <v/>
      </c>
      <c r="P106" s="9" t="str">
        <f ca="1">IF($G106="","",INDEX(BASE_PRODUTOS!$I$2:$I$1006,$G106))</f>
        <v/>
      </c>
      <c r="Q106" s="9" t="str">
        <f ca="1">IF($G106="","",INDEX(BASE_PRODUTOS!$J$2:$J$1006,$G106))</f>
        <v/>
      </c>
      <c r="R106" s="9" t="str">
        <f ca="1">IF($G106="","",INDEX(BASE_PRODUTOS!$M$2:$M$1006,$G106))</f>
        <v/>
      </c>
      <c r="S106" s="9" t="str">
        <f ca="1">IF($G106="","",INDEX(BASE_PRODUTOS!$N$2:$N$1006,$G106))</f>
        <v/>
      </c>
      <c r="T106" s="9" t="str">
        <f ca="1">IF($G106="","",INDEX(BASE_PRODUTOS!$D$2:$D$1006,$G106))</f>
        <v/>
      </c>
      <c r="V106" s="4"/>
      <c r="W106" s="4"/>
      <c r="X106" s="4"/>
      <c r="Y106" s="4"/>
      <c r="Z106" s="4"/>
      <c r="AA106" s="4"/>
      <c r="AB106" s="4"/>
      <c r="AC106" s="4"/>
      <c r="AD106" s="4"/>
    </row>
    <row r="107" spans="7:30" ht="18" customHeight="1" x14ac:dyDescent="0.35">
      <c r="G107" t="str">
        <f ca="1">IFERROR(_xludf.aggregate(15,6,(ROW(BASE_PRODUTOS!$L$2:$L$1006)-ROW(BASE_PRODUTOS!$L$2)+1)/(BASE_PRODUTOS!$L$2:$L$1006&gt;0),ROWS($G$10:G107)),"")</f>
        <v/>
      </c>
      <c r="H107" s="9" t="str">
        <f ca="1">IF($G107="","",INDEX(BASE_PRODUTOS!$B$2:$B$1006,$G107))</f>
        <v/>
      </c>
      <c r="I107" s="9" t="str">
        <f ca="1">IF($G107="","",INDEX(BASE_PRODUTOS!$L$2:$L$1006,$G107))</f>
        <v/>
      </c>
      <c r="J107" s="9" t="str">
        <f ca="1">IF($G107="","",INDEX(BASE_PRODUTOS!$A$2:$A$1006,$G107))</f>
        <v/>
      </c>
      <c r="K107" s="9" t="str">
        <f ca="1">IF($G107="","",INDEX(BASE_PRODUTOS!$C$2:$C$1006,$G107))</f>
        <v/>
      </c>
      <c r="L107" s="9" t="str">
        <f ca="1">IF($G107="","",INDEX(BASE_PRODUTOS!$E$2:$E$1006,$G107))</f>
        <v/>
      </c>
      <c r="M107" s="9" t="str">
        <f ca="1">IF($G107="","",INDEX(BASE_PRODUTOS!$F$2:$F$1006,$G107))</f>
        <v/>
      </c>
      <c r="N107" s="9" t="str">
        <f ca="1">IF($G107="","",INDEX(BASE_PRODUTOS!$G$2:$G$1006,$G107))</f>
        <v/>
      </c>
      <c r="O107" s="9" t="str">
        <f ca="1">IF($G107="","",INDEX(BASE_PRODUTOS!$H$2:$H$1006,$G107))</f>
        <v/>
      </c>
      <c r="P107" s="9" t="str">
        <f ca="1">IF($G107="","",INDEX(BASE_PRODUTOS!$I$2:$I$1006,$G107))</f>
        <v/>
      </c>
      <c r="Q107" s="9" t="str">
        <f ca="1">IF($G107="","",INDEX(BASE_PRODUTOS!$J$2:$J$1006,$G107))</f>
        <v/>
      </c>
      <c r="R107" s="9" t="str">
        <f ca="1">IF($G107="","",INDEX(BASE_PRODUTOS!$M$2:$M$1006,$G107))</f>
        <v/>
      </c>
      <c r="S107" s="9" t="str">
        <f ca="1">IF($G107="","",INDEX(BASE_PRODUTOS!$N$2:$N$1006,$G107))</f>
        <v/>
      </c>
      <c r="T107" s="9" t="str">
        <f ca="1">IF($G107="","",INDEX(BASE_PRODUTOS!$D$2:$D$1006,$G107))</f>
        <v/>
      </c>
      <c r="V107" s="4"/>
      <c r="W107" s="4"/>
      <c r="X107" s="4"/>
      <c r="Y107" s="4"/>
      <c r="Z107" s="4"/>
      <c r="AA107" s="4"/>
      <c r="AB107" s="4"/>
      <c r="AC107" s="4"/>
      <c r="AD107" s="4"/>
    </row>
    <row r="108" spans="7:30" ht="18" customHeight="1" x14ac:dyDescent="0.35">
      <c r="G108" t="str">
        <f ca="1">IFERROR(_xludf.aggregate(15,6,(ROW(BASE_PRODUTOS!$L$2:$L$1006)-ROW(BASE_PRODUTOS!$L$2)+1)/(BASE_PRODUTOS!$L$2:$L$1006&gt;0),ROWS($G$10:G108)),"")</f>
        <v/>
      </c>
      <c r="H108" s="9" t="str">
        <f ca="1">IF($G108="","",INDEX(BASE_PRODUTOS!$B$2:$B$1006,$G108))</f>
        <v/>
      </c>
      <c r="I108" s="9" t="str">
        <f ca="1">IF($G108="","",INDEX(BASE_PRODUTOS!$L$2:$L$1006,$G108))</f>
        <v/>
      </c>
      <c r="J108" s="9" t="str">
        <f ca="1">IF($G108="","",INDEX(BASE_PRODUTOS!$A$2:$A$1006,$G108))</f>
        <v/>
      </c>
      <c r="K108" s="9" t="str">
        <f ca="1">IF($G108="","",INDEX(BASE_PRODUTOS!$C$2:$C$1006,$G108))</f>
        <v/>
      </c>
      <c r="L108" s="9" t="str">
        <f ca="1">IF($G108="","",INDEX(BASE_PRODUTOS!$E$2:$E$1006,$G108))</f>
        <v/>
      </c>
      <c r="M108" s="9" t="str">
        <f ca="1">IF($G108="","",INDEX(BASE_PRODUTOS!$F$2:$F$1006,$G108))</f>
        <v/>
      </c>
      <c r="N108" s="9" t="str">
        <f ca="1">IF($G108="","",INDEX(BASE_PRODUTOS!$G$2:$G$1006,$G108))</f>
        <v/>
      </c>
      <c r="O108" s="9" t="str">
        <f ca="1">IF($G108="","",INDEX(BASE_PRODUTOS!$H$2:$H$1006,$G108))</f>
        <v/>
      </c>
      <c r="P108" s="9" t="str">
        <f ca="1">IF($G108="","",INDEX(BASE_PRODUTOS!$I$2:$I$1006,$G108))</f>
        <v/>
      </c>
      <c r="Q108" s="9" t="str">
        <f ca="1">IF($G108="","",INDEX(BASE_PRODUTOS!$J$2:$J$1006,$G108))</f>
        <v/>
      </c>
      <c r="R108" s="9" t="str">
        <f ca="1">IF($G108="","",INDEX(BASE_PRODUTOS!$M$2:$M$1006,$G108))</f>
        <v/>
      </c>
      <c r="S108" s="9" t="str">
        <f ca="1">IF($G108="","",INDEX(BASE_PRODUTOS!$N$2:$N$1006,$G108))</f>
        <v/>
      </c>
      <c r="T108" s="9" t="str">
        <f ca="1">IF($G108="","",INDEX(BASE_PRODUTOS!$D$2:$D$1006,$G108))</f>
        <v/>
      </c>
      <c r="V108" s="4"/>
      <c r="W108" s="4"/>
      <c r="X108" s="4"/>
      <c r="Y108" s="4"/>
      <c r="Z108" s="4"/>
      <c r="AA108" s="4"/>
      <c r="AB108" s="4"/>
      <c r="AC108" s="4"/>
      <c r="AD108" s="4"/>
    </row>
    <row r="109" spans="7:30" ht="18" customHeight="1" x14ac:dyDescent="0.35">
      <c r="G109" t="str">
        <f ca="1">IFERROR(_xludf.aggregate(15,6,(ROW(BASE_PRODUTOS!$L$2:$L$1006)-ROW(BASE_PRODUTOS!$L$2)+1)/(BASE_PRODUTOS!$L$2:$L$1006&gt;0),ROWS($G$10:G109)),"")</f>
        <v/>
      </c>
      <c r="H109" s="9" t="str">
        <f ca="1">IF($G109="","",INDEX(BASE_PRODUTOS!$B$2:$B$1006,$G109))</f>
        <v/>
      </c>
      <c r="I109" s="9" t="str">
        <f ca="1">IF($G109="","",INDEX(BASE_PRODUTOS!$L$2:$L$1006,$G109))</f>
        <v/>
      </c>
      <c r="J109" s="9" t="str">
        <f ca="1">IF($G109="","",INDEX(BASE_PRODUTOS!$A$2:$A$1006,$G109))</f>
        <v/>
      </c>
      <c r="K109" s="9" t="str">
        <f ca="1">IF($G109="","",INDEX(BASE_PRODUTOS!$C$2:$C$1006,$G109))</f>
        <v/>
      </c>
      <c r="L109" s="9" t="str">
        <f ca="1">IF($G109="","",INDEX(BASE_PRODUTOS!$E$2:$E$1006,$G109))</f>
        <v/>
      </c>
      <c r="M109" s="9" t="str">
        <f ca="1">IF($G109="","",INDEX(BASE_PRODUTOS!$F$2:$F$1006,$G109))</f>
        <v/>
      </c>
      <c r="N109" s="9" t="str">
        <f ca="1">IF($G109="","",INDEX(BASE_PRODUTOS!$G$2:$G$1006,$G109))</f>
        <v/>
      </c>
      <c r="O109" s="9" t="str">
        <f ca="1">IF($G109="","",INDEX(BASE_PRODUTOS!$H$2:$H$1006,$G109))</f>
        <v/>
      </c>
      <c r="P109" s="9" t="str">
        <f ca="1">IF($G109="","",INDEX(BASE_PRODUTOS!$I$2:$I$1006,$G109))</f>
        <v/>
      </c>
      <c r="Q109" s="9" t="str">
        <f ca="1">IF($G109="","",INDEX(BASE_PRODUTOS!$J$2:$J$1006,$G109))</f>
        <v/>
      </c>
      <c r="R109" s="9" t="str">
        <f ca="1">IF($G109="","",INDEX(BASE_PRODUTOS!$M$2:$M$1006,$G109))</f>
        <v/>
      </c>
      <c r="S109" s="9" t="str">
        <f ca="1">IF($G109="","",INDEX(BASE_PRODUTOS!$N$2:$N$1006,$G109))</f>
        <v/>
      </c>
      <c r="T109" s="9" t="str">
        <f ca="1">IF($G109="","",INDEX(BASE_PRODUTOS!$D$2:$D$1006,$G109))</f>
        <v/>
      </c>
      <c r="V109" s="4"/>
      <c r="W109" s="4"/>
      <c r="X109" s="4"/>
      <c r="Y109" s="4"/>
      <c r="Z109" s="4"/>
      <c r="AA109" s="4"/>
      <c r="AB109" s="4"/>
      <c r="AC109" s="4"/>
      <c r="AD109" s="4"/>
    </row>
    <row r="110" spans="7:30" ht="18" customHeight="1" x14ac:dyDescent="0.35">
      <c r="G110" t="str">
        <f ca="1">IFERROR(_xludf.aggregate(15,6,(ROW(BASE_PRODUTOS!$L$2:$L$1006)-ROW(BASE_PRODUTOS!$L$2)+1)/(BASE_PRODUTOS!$L$2:$L$1006&gt;0),ROWS($G$10:G110)),"")</f>
        <v/>
      </c>
      <c r="H110" s="9" t="str">
        <f ca="1">IF($G110="","",INDEX(BASE_PRODUTOS!$B$2:$B$1006,$G110))</f>
        <v/>
      </c>
      <c r="I110" s="9" t="str">
        <f ca="1">IF($G110="","",INDEX(BASE_PRODUTOS!$L$2:$L$1006,$G110))</f>
        <v/>
      </c>
      <c r="J110" s="9" t="str">
        <f ca="1">IF($G110="","",INDEX(BASE_PRODUTOS!$A$2:$A$1006,$G110))</f>
        <v/>
      </c>
      <c r="K110" s="9" t="str">
        <f ca="1">IF($G110="","",INDEX(BASE_PRODUTOS!$C$2:$C$1006,$G110))</f>
        <v/>
      </c>
      <c r="L110" s="9" t="str">
        <f ca="1">IF($G110="","",INDEX(BASE_PRODUTOS!$E$2:$E$1006,$G110))</f>
        <v/>
      </c>
      <c r="M110" s="9" t="str">
        <f ca="1">IF($G110="","",INDEX(BASE_PRODUTOS!$F$2:$F$1006,$G110))</f>
        <v/>
      </c>
      <c r="N110" s="9" t="str">
        <f ca="1">IF($G110="","",INDEX(BASE_PRODUTOS!$G$2:$G$1006,$G110))</f>
        <v/>
      </c>
      <c r="O110" s="9" t="str">
        <f ca="1">IF($G110="","",INDEX(BASE_PRODUTOS!$H$2:$H$1006,$G110))</f>
        <v/>
      </c>
      <c r="P110" s="9" t="str">
        <f ca="1">IF($G110="","",INDEX(BASE_PRODUTOS!$I$2:$I$1006,$G110))</f>
        <v/>
      </c>
      <c r="Q110" s="9" t="str">
        <f ca="1">IF($G110="","",INDEX(BASE_PRODUTOS!$J$2:$J$1006,$G110))</f>
        <v/>
      </c>
      <c r="R110" s="9" t="str">
        <f ca="1">IF($G110="","",INDEX(BASE_PRODUTOS!$M$2:$M$1006,$G110))</f>
        <v/>
      </c>
      <c r="S110" s="9" t="str">
        <f ca="1">IF($G110="","",INDEX(BASE_PRODUTOS!$N$2:$N$1006,$G110))</f>
        <v/>
      </c>
      <c r="T110" s="9" t="str">
        <f ca="1">IF($G110="","",INDEX(BASE_PRODUTOS!$D$2:$D$1006,$G110))</f>
        <v/>
      </c>
      <c r="V110" s="4"/>
      <c r="W110" s="4"/>
      <c r="X110" s="4"/>
      <c r="Y110" s="4"/>
      <c r="Z110" s="4"/>
      <c r="AA110" s="4"/>
      <c r="AB110" s="4"/>
      <c r="AC110" s="4"/>
      <c r="AD110" s="4"/>
    </row>
    <row r="111" spans="7:30" ht="18" customHeight="1" x14ac:dyDescent="0.35">
      <c r="G111" t="str">
        <f ca="1">IFERROR(_xludf.aggregate(15,6,(ROW(BASE_PRODUTOS!$L$2:$L$1006)-ROW(BASE_PRODUTOS!$L$2)+1)/(BASE_PRODUTOS!$L$2:$L$1006&gt;0),ROWS($G$10:G111)),"")</f>
        <v/>
      </c>
      <c r="H111" s="9" t="str">
        <f ca="1">IF($G111="","",INDEX(BASE_PRODUTOS!$B$2:$B$1006,$G111))</f>
        <v/>
      </c>
      <c r="I111" s="9" t="str">
        <f ca="1">IF($G111="","",INDEX(BASE_PRODUTOS!$L$2:$L$1006,$G111))</f>
        <v/>
      </c>
      <c r="J111" s="9" t="str">
        <f ca="1">IF($G111="","",INDEX(BASE_PRODUTOS!$A$2:$A$1006,$G111))</f>
        <v/>
      </c>
      <c r="K111" s="9" t="str">
        <f ca="1">IF($G111="","",INDEX(BASE_PRODUTOS!$C$2:$C$1006,$G111))</f>
        <v/>
      </c>
      <c r="L111" s="9" t="str">
        <f ca="1">IF($G111="","",INDEX(BASE_PRODUTOS!$E$2:$E$1006,$G111))</f>
        <v/>
      </c>
      <c r="M111" s="9" t="str">
        <f ca="1">IF($G111="","",INDEX(BASE_PRODUTOS!$F$2:$F$1006,$G111))</f>
        <v/>
      </c>
      <c r="N111" s="9" t="str">
        <f ca="1">IF($G111="","",INDEX(BASE_PRODUTOS!$G$2:$G$1006,$G111))</f>
        <v/>
      </c>
      <c r="O111" s="9" t="str">
        <f ca="1">IF($G111="","",INDEX(BASE_PRODUTOS!$H$2:$H$1006,$G111))</f>
        <v/>
      </c>
      <c r="P111" s="9" t="str">
        <f ca="1">IF($G111="","",INDEX(BASE_PRODUTOS!$I$2:$I$1006,$G111))</f>
        <v/>
      </c>
      <c r="Q111" s="9" t="str">
        <f ca="1">IF($G111="","",INDEX(BASE_PRODUTOS!$J$2:$J$1006,$G111))</f>
        <v/>
      </c>
      <c r="R111" s="9" t="str">
        <f ca="1">IF($G111="","",INDEX(BASE_PRODUTOS!$M$2:$M$1006,$G111))</f>
        <v/>
      </c>
      <c r="S111" s="9" t="str">
        <f ca="1">IF($G111="","",INDEX(BASE_PRODUTOS!$N$2:$N$1006,$G111))</f>
        <v/>
      </c>
      <c r="T111" s="9" t="str">
        <f ca="1">IF($G111="","",INDEX(BASE_PRODUTOS!$D$2:$D$1006,$G111))</f>
        <v/>
      </c>
      <c r="V111" s="4"/>
      <c r="W111" s="4"/>
      <c r="X111" s="4"/>
      <c r="Y111" s="4"/>
      <c r="Z111" s="4"/>
      <c r="AA111" s="4"/>
      <c r="AB111" s="4"/>
      <c r="AC111" s="4"/>
      <c r="AD111" s="4"/>
    </row>
    <row r="112" spans="7:30" ht="18" customHeight="1" x14ac:dyDescent="0.35">
      <c r="G112" t="str">
        <f ca="1">IFERROR(_xludf.aggregate(15,6,(ROW(BASE_PRODUTOS!$L$2:$L$1006)-ROW(BASE_PRODUTOS!$L$2)+1)/(BASE_PRODUTOS!$L$2:$L$1006&gt;0),ROWS($G$10:G112)),"")</f>
        <v/>
      </c>
      <c r="H112" s="9" t="str">
        <f ca="1">IF($G112="","",INDEX(BASE_PRODUTOS!$B$2:$B$1006,$G112))</f>
        <v/>
      </c>
      <c r="I112" s="9" t="str">
        <f ca="1">IF($G112="","",INDEX(BASE_PRODUTOS!$L$2:$L$1006,$G112))</f>
        <v/>
      </c>
      <c r="J112" s="9" t="str">
        <f ca="1">IF($G112="","",INDEX(BASE_PRODUTOS!$A$2:$A$1006,$G112))</f>
        <v/>
      </c>
      <c r="K112" s="9" t="str">
        <f ca="1">IF($G112="","",INDEX(BASE_PRODUTOS!$C$2:$C$1006,$G112))</f>
        <v/>
      </c>
      <c r="L112" s="9" t="str">
        <f ca="1">IF($G112="","",INDEX(BASE_PRODUTOS!$E$2:$E$1006,$G112))</f>
        <v/>
      </c>
      <c r="M112" s="9" t="str">
        <f ca="1">IF($G112="","",INDEX(BASE_PRODUTOS!$F$2:$F$1006,$G112))</f>
        <v/>
      </c>
      <c r="N112" s="9" t="str">
        <f ca="1">IF($G112="","",INDEX(BASE_PRODUTOS!$G$2:$G$1006,$G112))</f>
        <v/>
      </c>
      <c r="O112" s="9" t="str">
        <f ca="1">IF($G112="","",INDEX(BASE_PRODUTOS!$H$2:$H$1006,$G112))</f>
        <v/>
      </c>
      <c r="P112" s="9" t="str">
        <f ca="1">IF($G112="","",INDEX(BASE_PRODUTOS!$I$2:$I$1006,$G112))</f>
        <v/>
      </c>
      <c r="Q112" s="9" t="str">
        <f ca="1">IF($G112="","",INDEX(BASE_PRODUTOS!$J$2:$J$1006,$G112))</f>
        <v/>
      </c>
      <c r="R112" s="9" t="str">
        <f ca="1">IF($G112="","",INDEX(BASE_PRODUTOS!$M$2:$M$1006,$G112))</f>
        <v/>
      </c>
      <c r="S112" s="9" t="str">
        <f ca="1">IF($G112="","",INDEX(BASE_PRODUTOS!$N$2:$N$1006,$G112))</f>
        <v/>
      </c>
      <c r="T112" s="9" t="str">
        <f ca="1">IF($G112="","",INDEX(BASE_PRODUTOS!$D$2:$D$1006,$G112))</f>
        <v/>
      </c>
      <c r="V112" s="4"/>
      <c r="W112" s="4"/>
      <c r="X112" s="4"/>
      <c r="Y112" s="4"/>
      <c r="Z112" s="4"/>
      <c r="AA112" s="4"/>
      <c r="AB112" s="4"/>
      <c r="AC112" s="4"/>
      <c r="AD112" s="4"/>
    </row>
    <row r="113" spans="7:30" ht="18" customHeight="1" x14ac:dyDescent="0.35">
      <c r="G113" t="str">
        <f ca="1">IFERROR(_xludf.aggregate(15,6,(ROW(BASE_PRODUTOS!$L$2:$L$1006)-ROW(BASE_PRODUTOS!$L$2)+1)/(BASE_PRODUTOS!$L$2:$L$1006&gt;0),ROWS($G$10:G113)),"")</f>
        <v/>
      </c>
      <c r="H113" s="9" t="str">
        <f ca="1">IF($G113="","",INDEX(BASE_PRODUTOS!$B$2:$B$1006,$G113))</f>
        <v/>
      </c>
      <c r="I113" s="9" t="str">
        <f ca="1">IF($G113="","",INDEX(BASE_PRODUTOS!$L$2:$L$1006,$G113))</f>
        <v/>
      </c>
      <c r="J113" s="9" t="str">
        <f ca="1">IF($G113="","",INDEX(BASE_PRODUTOS!$A$2:$A$1006,$G113))</f>
        <v/>
      </c>
      <c r="K113" s="9" t="str">
        <f ca="1">IF($G113="","",INDEX(BASE_PRODUTOS!$C$2:$C$1006,$G113))</f>
        <v/>
      </c>
      <c r="L113" s="9" t="str">
        <f ca="1">IF($G113="","",INDEX(BASE_PRODUTOS!$E$2:$E$1006,$G113))</f>
        <v/>
      </c>
      <c r="M113" s="9" t="str">
        <f ca="1">IF($G113="","",INDEX(BASE_PRODUTOS!$F$2:$F$1006,$G113))</f>
        <v/>
      </c>
      <c r="N113" s="9" t="str">
        <f ca="1">IF($G113="","",INDEX(BASE_PRODUTOS!$G$2:$G$1006,$G113))</f>
        <v/>
      </c>
      <c r="O113" s="9" t="str">
        <f ca="1">IF($G113="","",INDEX(BASE_PRODUTOS!$H$2:$H$1006,$G113))</f>
        <v/>
      </c>
      <c r="P113" s="9" t="str">
        <f ca="1">IF($G113="","",INDEX(BASE_PRODUTOS!$I$2:$I$1006,$G113))</f>
        <v/>
      </c>
      <c r="Q113" s="9" t="str">
        <f ca="1">IF($G113="","",INDEX(BASE_PRODUTOS!$J$2:$J$1006,$G113))</f>
        <v/>
      </c>
      <c r="R113" s="9" t="str">
        <f ca="1">IF($G113="","",INDEX(BASE_PRODUTOS!$M$2:$M$1006,$G113))</f>
        <v/>
      </c>
      <c r="S113" s="9" t="str">
        <f ca="1">IF($G113="","",INDEX(BASE_PRODUTOS!$N$2:$N$1006,$G113))</f>
        <v/>
      </c>
      <c r="T113" s="9" t="str">
        <f ca="1">IF($G113="","",INDEX(BASE_PRODUTOS!$D$2:$D$1006,$G113))</f>
        <v/>
      </c>
      <c r="V113" s="4"/>
      <c r="W113" s="4"/>
      <c r="X113" s="4"/>
      <c r="Y113" s="4"/>
      <c r="Z113" s="4"/>
      <c r="AA113" s="4"/>
      <c r="AB113" s="4"/>
      <c r="AC113" s="4"/>
      <c r="AD113" s="4"/>
    </row>
    <row r="114" spans="7:30" ht="18" customHeight="1" x14ac:dyDescent="0.35">
      <c r="G114" t="str">
        <f ca="1">IFERROR(_xludf.aggregate(15,6,(ROW(BASE_PRODUTOS!$L$2:$L$1006)-ROW(BASE_PRODUTOS!$L$2)+1)/(BASE_PRODUTOS!$L$2:$L$1006&gt;0),ROWS($G$10:G114)),"")</f>
        <v/>
      </c>
      <c r="H114" s="9" t="str">
        <f ca="1">IF($G114="","",INDEX(BASE_PRODUTOS!$B$2:$B$1006,$G114))</f>
        <v/>
      </c>
      <c r="I114" s="9" t="str">
        <f ca="1">IF($G114="","",INDEX(BASE_PRODUTOS!$L$2:$L$1006,$G114))</f>
        <v/>
      </c>
      <c r="J114" s="9" t="str">
        <f ca="1">IF($G114="","",INDEX(BASE_PRODUTOS!$A$2:$A$1006,$G114))</f>
        <v/>
      </c>
      <c r="K114" s="9" t="str">
        <f ca="1">IF($G114="","",INDEX(BASE_PRODUTOS!$C$2:$C$1006,$G114))</f>
        <v/>
      </c>
      <c r="L114" s="9" t="str">
        <f ca="1">IF($G114="","",INDEX(BASE_PRODUTOS!$E$2:$E$1006,$G114))</f>
        <v/>
      </c>
      <c r="M114" s="9" t="str">
        <f ca="1">IF($G114="","",INDEX(BASE_PRODUTOS!$F$2:$F$1006,$G114))</f>
        <v/>
      </c>
      <c r="N114" s="9" t="str">
        <f ca="1">IF($G114="","",INDEX(BASE_PRODUTOS!$G$2:$G$1006,$G114))</f>
        <v/>
      </c>
      <c r="O114" s="9" t="str">
        <f ca="1">IF($G114="","",INDEX(BASE_PRODUTOS!$H$2:$H$1006,$G114))</f>
        <v/>
      </c>
      <c r="P114" s="9" t="str">
        <f ca="1">IF($G114="","",INDEX(BASE_PRODUTOS!$I$2:$I$1006,$G114))</f>
        <v/>
      </c>
      <c r="Q114" s="9" t="str">
        <f ca="1">IF($G114="","",INDEX(BASE_PRODUTOS!$J$2:$J$1006,$G114))</f>
        <v/>
      </c>
      <c r="R114" s="9" t="str">
        <f ca="1">IF($G114="","",INDEX(BASE_PRODUTOS!$M$2:$M$1006,$G114))</f>
        <v/>
      </c>
      <c r="S114" s="9" t="str">
        <f ca="1">IF($G114="","",INDEX(BASE_PRODUTOS!$N$2:$N$1006,$G114))</f>
        <v/>
      </c>
      <c r="T114" s="9" t="str">
        <f ca="1">IF($G114="","",INDEX(BASE_PRODUTOS!$D$2:$D$1006,$G114))</f>
        <v/>
      </c>
      <c r="V114" s="4"/>
      <c r="W114" s="4"/>
      <c r="X114" s="4"/>
      <c r="Y114" s="4"/>
      <c r="Z114" s="4"/>
      <c r="AA114" s="4"/>
      <c r="AB114" s="4"/>
      <c r="AC114" s="4"/>
      <c r="AD114" s="4"/>
    </row>
    <row r="115" spans="7:30" ht="18" customHeight="1" x14ac:dyDescent="0.35">
      <c r="G115" t="str">
        <f ca="1">IFERROR(_xludf.aggregate(15,6,(ROW(BASE_PRODUTOS!$L$2:$L$1006)-ROW(BASE_PRODUTOS!$L$2)+1)/(BASE_PRODUTOS!$L$2:$L$1006&gt;0),ROWS($G$10:G115)),"")</f>
        <v/>
      </c>
      <c r="H115" s="9" t="str">
        <f ca="1">IF($G115="","",INDEX(BASE_PRODUTOS!$B$2:$B$1006,$G115))</f>
        <v/>
      </c>
      <c r="I115" s="9" t="str">
        <f ca="1">IF($G115="","",INDEX(BASE_PRODUTOS!$L$2:$L$1006,$G115))</f>
        <v/>
      </c>
      <c r="J115" s="9" t="str">
        <f ca="1">IF($G115="","",INDEX(BASE_PRODUTOS!$A$2:$A$1006,$G115))</f>
        <v/>
      </c>
      <c r="K115" s="9" t="str">
        <f ca="1">IF($G115="","",INDEX(BASE_PRODUTOS!$C$2:$C$1006,$G115))</f>
        <v/>
      </c>
      <c r="L115" s="9" t="str">
        <f ca="1">IF($G115="","",INDEX(BASE_PRODUTOS!$E$2:$E$1006,$G115))</f>
        <v/>
      </c>
      <c r="M115" s="9" t="str">
        <f ca="1">IF($G115="","",INDEX(BASE_PRODUTOS!$F$2:$F$1006,$G115))</f>
        <v/>
      </c>
      <c r="N115" s="9" t="str">
        <f ca="1">IF($G115="","",INDEX(BASE_PRODUTOS!$G$2:$G$1006,$G115))</f>
        <v/>
      </c>
      <c r="O115" s="9" t="str">
        <f ca="1">IF($G115="","",INDEX(BASE_PRODUTOS!$H$2:$H$1006,$G115))</f>
        <v/>
      </c>
      <c r="P115" s="9" t="str">
        <f ca="1">IF($G115="","",INDEX(BASE_PRODUTOS!$I$2:$I$1006,$G115))</f>
        <v/>
      </c>
      <c r="Q115" s="9" t="str">
        <f ca="1">IF($G115="","",INDEX(BASE_PRODUTOS!$J$2:$J$1006,$G115))</f>
        <v/>
      </c>
      <c r="R115" s="9" t="str">
        <f ca="1">IF($G115="","",INDEX(BASE_PRODUTOS!$M$2:$M$1006,$G115))</f>
        <v/>
      </c>
      <c r="S115" s="9" t="str">
        <f ca="1">IF($G115="","",INDEX(BASE_PRODUTOS!$N$2:$N$1006,$G115))</f>
        <v/>
      </c>
      <c r="T115" s="9" t="str">
        <f ca="1">IF($G115="","",INDEX(BASE_PRODUTOS!$D$2:$D$1006,$G115))</f>
        <v/>
      </c>
      <c r="V115" s="4"/>
      <c r="W115" s="4"/>
      <c r="X115" s="4"/>
      <c r="Y115" s="4"/>
      <c r="Z115" s="4"/>
      <c r="AA115" s="4"/>
      <c r="AB115" s="4"/>
      <c r="AC115" s="4"/>
      <c r="AD115" s="4"/>
    </row>
    <row r="116" spans="7:30" ht="18" customHeight="1" x14ac:dyDescent="0.35">
      <c r="G116" t="str">
        <f ca="1">IFERROR(_xludf.aggregate(15,6,(ROW(BASE_PRODUTOS!$L$2:$L$1006)-ROW(BASE_PRODUTOS!$L$2)+1)/(BASE_PRODUTOS!$L$2:$L$1006&gt;0),ROWS($G$10:G116)),"")</f>
        <v/>
      </c>
      <c r="H116" s="9" t="str">
        <f ca="1">IF($G116="","",INDEX(BASE_PRODUTOS!$B$2:$B$1006,$G116))</f>
        <v/>
      </c>
      <c r="I116" s="9" t="str">
        <f ca="1">IF($G116="","",INDEX(BASE_PRODUTOS!$L$2:$L$1006,$G116))</f>
        <v/>
      </c>
      <c r="J116" s="9" t="str">
        <f ca="1">IF($G116="","",INDEX(BASE_PRODUTOS!$A$2:$A$1006,$G116))</f>
        <v/>
      </c>
      <c r="K116" s="9" t="str">
        <f ca="1">IF($G116="","",INDEX(BASE_PRODUTOS!$C$2:$C$1006,$G116))</f>
        <v/>
      </c>
      <c r="L116" s="9" t="str">
        <f ca="1">IF($G116="","",INDEX(BASE_PRODUTOS!$E$2:$E$1006,$G116))</f>
        <v/>
      </c>
      <c r="M116" s="9" t="str">
        <f ca="1">IF($G116="","",INDEX(BASE_PRODUTOS!$F$2:$F$1006,$G116))</f>
        <v/>
      </c>
      <c r="N116" s="9" t="str">
        <f ca="1">IF($G116="","",INDEX(BASE_PRODUTOS!$G$2:$G$1006,$G116))</f>
        <v/>
      </c>
      <c r="O116" s="9" t="str">
        <f ca="1">IF($G116="","",INDEX(BASE_PRODUTOS!$H$2:$H$1006,$G116))</f>
        <v/>
      </c>
      <c r="P116" s="9" t="str">
        <f ca="1">IF($G116="","",INDEX(BASE_PRODUTOS!$I$2:$I$1006,$G116))</f>
        <v/>
      </c>
      <c r="Q116" s="9" t="str">
        <f ca="1">IF($G116="","",INDEX(BASE_PRODUTOS!$J$2:$J$1006,$G116))</f>
        <v/>
      </c>
      <c r="R116" s="9" t="str">
        <f ca="1">IF($G116="","",INDEX(BASE_PRODUTOS!$M$2:$M$1006,$G116))</f>
        <v/>
      </c>
      <c r="S116" s="9" t="str">
        <f ca="1">IF($G116="","",INDEX(BASE_PRODUTOS!$N$2:$N$1006,$G116))</f>
        <v/>
      </c>
      <c r="T116" s="9" t="str">
        <f ca="1">IF($G116="","",INDEX(BASE_PRODUTOS!$D$2:$D$1006,$G116))</f>
        <v/>
      </c>
      <c r="V116" s="4"/>
      <c r="W116" s="4"/>
      <c r="X116" s="4"/>
      <c r="Y116" s="4"/>
      <c r="Z116" s="4"/>
      <c r="AA116" s="4"/>
      <c r="AB116" s="4"/>
      <c r="AC116" s="4"/>
      <c r="AD116" s="4"/>
    </row>
    <row r="117" spans="7:30" ht="18" customHeight="1" x14ac:dyDescent="0.35">
      <c r="G117" t="str">
        <f ca="1">IFERROR(_xludf.aggregate(15,6,(ROW(BASE_PRODUTOS!$L$2:$L$1006)-ROW(BASE_PRODUTOS!$L$2)+1)/(BASE_PRODUTOS!$L$2:$L$1006&gt;0),ROWS($G$10:G117)),"")</f>
        <v/>
      </c>
      <c r="H117" s="9" t="str">
        <f ca="1">IF($G117="","",INDEX(BASE_PRODUTOS!$B$2:$B$1006,$G117))</f>
        <v/>
      </c>
      <c r="I117" s="9" t="str">
        <f ca="1">IF($G117="","",INDEX(BASE_PRODUTOS!$L$2:$L$1006,$G117))</f>
        <v/>
      </c>
      <c r="J117" s="9" t="str">
        <f ca="1">IF($G117="","",INDEX(BASE_PRODUTOS!$A$2:$A$1006,$G117))</f>
        <v/>
      </c>
      <c r="K117" s="9" t="str">
        <f ca="1">IF($G117="","",INDEX(BASE_PRODUTOS!$C$2:$C$1006,$G117))</f>
        <v/>
      </c>
      <c r="L117" s="9" t="str">
        <f ca="1">IF($G117="","",INDEX(BASE_PRODUTOS!$E$2:$E$1006,$G117))</f>
        <v/>
      </c>
      <c r="M117" s="9" t="str">
        <f ca="1">IF($G117="","",INDEX(BASE_PRODUTOS!$F$2:$F$1006,$G117))</f>
        <v/>
      </c>
      <c r="N117" s="9" t="str">
        <f ca="1">IF($G117="","",INDEX(BASE_PRODUTOS!$G$2:$G$1006,$G117))</f>
        <v/>
      </c>
      <c r="O117" s="9" t="str">
        <f ca="1">IF($G117="","",INDEX(BASE_PRODUTOS!$H$2:$H$1006,$G117))</f>
        <v/>
      </c>
      <c r="P117" s="9" t="str">
        <f ca="1">IF($G117="","",INDEX(BASE_PRODUTOS!$I$2:$I$1006,$G117))</f>
        <v/>
      </c>
      <c r="Q117" s="9" t="str">
        <f ca="1">IF($G117="","",INDEX(BASE_PRODUTOS!$J$2:$J$1006,$G117))</f>
        <v/>
      </c>
      <c r="R117" s="9" t="str">
        <f ca="1">IF($G117="","",INDEX(BASE_PRODUTOS!$M$2:$M$1006,$G117))</f>
        <v/>
      </c>
      <c r="S117" s="9" t="str">
        <f ca="1">IF($G117="","",INDEX(BASE_PRODUTOS!$N$2:$N$1006,$G117))</f>
        <v/>
      </c>
      <c r="T117" s="9" t="str">
        <f ca="1">IF($G117="","",INDEX(BASE_PRODUTOS!$D$2:$D$1006,$G117))</f>
        <v/>
      </c>
      <c r="V117" s="4"/>
      <c r="W117" s="4"/>
      <c r="X117" s="4"/>
      <c r="Y117" s="4"/>
      <c r="Z117" s="4"/>
      <c r="AA117" s="4"/>
      <c r="AB117" s="4"/>
      <c r="AC117" s="4"/>
      <c r="AD117" s="4"/>
    </row>
    <row r="118" spans="7:30" ht="18" customHeight="1" x14ac:dyDescent="0.35">
      <c r="G118" t="str">
        <f ca="1">IFERROR(_xludf.aggregate(15,6,(ROW(BASE_PRODUTOS!$L$2:$L$1006)-ROW(BASE_PRODUTOS!$L$2)+1)/(BASE_PRODUTOS!$L$2:$L$1006&gt;0),ROWS($G$10:G118)),"")</f>
        <v/>
      </c>
      <c r="H118" s="9" t="str">
        <f ca="1">IF($G118="","",INDEX(BASE_PRODUTOS!$B$2:$B$1006,$G118))</f>
        <v/>
      </c>
      <c r="I118" s="9" t="str">
        <f ca="1">IF($G118="","",INDEX(BASE_PRODUTOS!$L$2:$L$1006,$G118))</f>
        <v/>
      </c>
      <c r="J118" s="9" t="str">
        <f ca="1">IF($G118="","",INDEX(BASE_PRODUTOS!$A$2:$A$1006,$G118))</f>
        <v/>
      </c>
      <c r="K118" s="9" t="str">
        <f ca="1">IF($G118="","",INDEX(BASE_PRODUTOS!$C$2:$C$1006,$G118))</f>
        <v/>
      </c>
      <c r="L118" s="9" t="str">
        <f ca="1">IF($G118="","",INDEX(BASE_PRODUTOS!$E$2:$E$1006,$G118))</f>
        <v/>
      </c>
      <c r="M118" s="9" t="str">
        <f ca="1">IF($G118="","",INDEX(BASE_PRODUTOS!$F$2:$F$1006,$G118))</f>
        <v/>
      </c>
      <c r="N118" s="9" t="str">
        <f ca="1">IF($G118="","",INDEX(BASE_PRODUTOS!$G$2:$G$1006,$G118))</f>
        <v/>
      </c>
      <c r="O118" s="9" t="str">
        <f ca="1">IF($G118="","",INDEX(BASE_PRODUTOS!$H$2:$H$1006,$G118))</f>
        <v/>
      </c>
      <c r="P118" s="9" t="str">
        <f ca="1">IF($G118="","",INDEX(BASE_PRODUTOS!$I$2:$I$1006,$G118))</f>
        <v/>
      </c>
      <c r="Q118" s="9" t="str">
        <f ca="1">IF($G118="","",INDEX(BASE_PRODUTOS!$J$2:$J$1006,$G118))</f>
        <v/>
      </c>
      <c r="R118" s="9" t="str">
        <f ca="1">IF($G118="","",INDEX(BASE_PRODUTOS!$M$2:$M$1006,$G118))</f>
        <v/>
      </c>
      <c r="S118" s="9" t="str">
        <f ca="1">IF($G118="","",INDEX(BASE_PRODUTOS!$N$2:$N$1006,$G118))</f>
        <v/>
      </c>
      <c r="T118" s="9" t="str">
        <f ca="1">IF($G118="","",INDEX(BASE_PRODUTOS!$D$2:$D$1006,$G118))</f>
        <v/>
      </c>
      <c r="V118" s="4"/>
      <c r="W118" s="4"/>
      <c r="X118" s="4"/>
      <c r="Y118" s="4"/>
      <c r="Z118" s="4"/>
      <c r="AA118" s="4"/>
      <c r="AB118" s="4"/>
      <c r="AC118" s="4"/>
      <c r="AD118" s="4"/>
    </row>
    <row r="119" spans="7:30" ht="18" customHeight="1" x14ac:dyDescent="0.35">
      <c r="G119" t="str">
        <f ca="1">IFERROR(_xludf.aggregate(15,6,(ROW(BASE_PRODUTOS!$L$2:$L$1006)-ROW(BASE_PRODUTOS!$L$2)+1)/(BASE_PRODUTOS!$L$2:$L$1006&gt;0),ROWS($G$10:G119)),"")</f>
        <v/>
      </c>
      <c r="H119" s="9" t="str">
        <f ca="1">IF($G119="","",INDEX(BASE_PRODUTOS!$B$2:$B$1006,$G119))</f>
        <v/>
      </c>
      <c r="I119" s="9" t="str">
        <f ca="1">IF($G119="","",INDEX(BASE_PRODUTOS!$L$2:$L$1006,$G119))</f>
        <v/>
      </c>
      <c r="J119" s="9" t="str">
        <f ca="1">IF($G119="","",INDEX(BASE_PRODUTOS!$A$2:$A$1006,$G119))</f>
        <v/>
      </c>
      <c r="K119" s="9" t="str">
        <f ca="1">IF($G119="","",INDEX(BASE_PRODUTOS!$C$2:$C$1006,$G119))</f>
        <v/>
      </c>
      <c r="L119" s="9" t="str">
        <f ca="1">IF($G119="","",INDEX(BASE_PRODUTOS!$E$2:$E$1006,$G119))</f>
        <v/>
      </c>
      <c r="M119" s="9" t="str">
        <f ca="1">IF($G119="","",INDEX(BASE_PRODUTOS!$F$2:$F$1006,$G119))</f>
        <v/>
      </c>
      <c r="N119" s="9" t="str">
        <f ca="1">IF($G119="","",INDEX(BASE_PRODUTOS!$G$2:$G$1006,$G119))</f>
        <v/>
      </c>
      <c r="O119" s="9" t="str">
        <f ca="1">IF($G119="","",INDEX(BASE_PRODUTOS!$H$2:$H$1006,$G119))</f>
        <v/>
      </c>
      <c r="P119" s="9" t="str">
        <f ca="1">IF($G119="","",INDEX(BASE_PRODUTOS!$I$2:$I$1006,$G119))</f>
        <v/>
      </c>
      <c r="Q119" s="9" t="str">
        <f ca="1">IF($G119="","",INDEX(BASE_PRODUTOS!$J$2:$J$1006,$G119))</f>
        <v/>
      </c>
      <c r="R119" s="9" t="str">
        <f ca="1">IF($G119="","",INDEX(BASE_PRODUTOS!$M$2:$M$1006,$G119))</f>
        <v/>
      </c>
      <c r="S119" s="9" t="str">
        <f ca="1">IF($G119="","",INDEX(BASE_PRODUTOS!$N$2:$N$1006,$G119))</f>
        <v/>
      </c>
      <c r="T119" s="9" t="str">
        <f ca="1">IF($G119="","",INDEX(BASE_PRODUTOS!$D$2:$D$1006,$G119))</f>
        <v/>
      </c>
      <c r="V119" s="4"/>
      <c r="W119" s="4"/>
      <c r="X119" s="4"/>
      <c r="Y119" s="4"/>
      <c r="Z119" s="4"/>
      <c r="AA119" s="4"/>
      <c r="AB119" s="4"/>
      <c r="AC119" s="4"/>
      <c r="AD119" s="4"/>
    </row>
    <row r="120" spans="7:30" ht="18" customHeight="1" x14ac:dyDescent="0.35">
      <c r="G120" t="str">
        <f ca="1">IFERROR(_xludf.aggregate(15,6,(ROW(BASE_PRODUTOS!$L$2:$L$1006)-ROW(BASE_PRODUTOS!$L$2)+1)/(BASE_PRODUTOS!$L$2:$L$1006&gt;0),ROWS($G$10:G120)),"")</f>
        <v/>
      </c>
      <c r="H120" s="9" t="str">
        <f ca="1">IF($G120="","",INDEX(BASE_PRODUTOS!$B$2:$B$1006,$G120))</f>
        <v/>
      </c>
      <c r="I120" s="9" t="str">
        <f ca="1">IF($G120="","",INDEX(BASE_PRODUTOS!$L$2:$L$1006,$G120))</f>
        <v/>
      </c>
      <c r="J120" s="9" t="str">
        <f ca="1">IF($G120="","",INDEX(BASE_PRODUTOS!$A$2:$A$1006,$G120))</f>
        <v/>
      </c>
      <c r="K120" s="9" t="str">
        <f ca="1">IF($G120="","",INDEX(BASE_PRODUTOS!$C$2:$C$1006,$G120))</f>
        <v/>
      </c>
      <c r="L120" s="9" t="str">
        <f ca="1">IF($G120="","",INDEX(BASE_PRODUTOS!$E$2:$E$1006,$G120))</f>
        <v/>
      </c>
      <c r="M120" s="9" t="str">
        <f ca="1">IF($G120="","",INDEX(BASE_PRODUTOS!$F$2:$F$1006,$G120))</f>
        <v/>
      </c>
      <c r="N120" s="9" t="str">
        <f ca="1">IF($G120="","",INDEX(BASE_PRODUTOS!$G$2:$G$1006,$G120))</f>
        <v/>
      </c>
      <c r="O120" s="9" t="str">
        <f ca="1">IF($G120="","",INDEX(BASE_PRODUTOS!$H$2:$H$1006,$G120))</f>
        <v/>
      </c>
      <c r="P120" s="9" t="str">
        <f ca="1">IF($G120="","",INDEX(BASE_PRODUTOS!$I$2:$I$1006,$G120))</f>
        <v/>
      </c>
      <c r="Q120" s="9" t="str">
        <f ca="1">IF($G120="","",INDEX(BASE_PRODUTOS!$J$2:$J$1006,$G120))</f>
        <v/>
      </c>
      <c r="R120" s="9" t="str">
        <f ca="1">IF($G120="","",INDEX(BASE_PRODUTOS!$M$2:$M$1006,$G120))</f>
        <v/>
      </c>
      <c r="S120" s="9" t="str">
        <f ca="1">IF($G120="","",INDEX(BASE_PRODUTOS!$N$2:$N$1006,$G120))</f>
        <v/>
      </c>
      <c r="T120" s="9" t="str">
        <f ca="1">IF($G120="","",INDEX(BASE_PRODUTOS!$D$2:$D$1006,$G120))</f>
        <v/>
      </c>
      <c r="V120" s="4"/>
      <c r="W120" s="4"/>
      <c r="X120" s="4"/>
      <c r="Y120" s="4"/>
      <c r="Z120" s="4"/>
      <c r="AA120" s="4"/>
      <c r="AB120" s="4"/>
      <c r="AC120" s="4"/>
      <c r="AD120" s="4"/>
    </row>
    <row r="121" spans="7:30" ht="18" customHeight="1" x14ac:dyDescent="0.35">
      <c r="G121" t="str">
        <f ca="1">IFERROR(_xludf.aggregate(15,6,(ROW(BASE_PRODUTOS!$L$2:$L$1006)-ROW(BASE_PRODUTOS!$L$2)+1)/(BASE_PRODUTOS!$L$2:$L$1006&gt;0),ROWS($G$10:G121)),"")</f>
        <v/>
      </c>
      <c r="H121" s="9" t="str">
        <f ca="1">IF($G121="","",INDEX(BASE_PRODUTOS!$B$2:$B$1006,$G121))</f>
        <v/>
      </c>
      <c r="I121" s="9" t="str">
        <f ca="1">IF($G121="","",INDEX(BASE_PRODUTOS!$L$2:$L$1006,$G121))</f>
        <v/>
      </c>
      <c r="J121" s="9" t="str">
        <f ca="1">IF($G121="","",INDEX(BASE_PRODUTOS!$A$2:$A$1006,$G121))</f>
        <v/>
      </c>
      <c r="K121" s="9" t="str">
        <f ca="1">IF($G121="","",INDEX(BASE_PRODUTOS!$C$2:$C$1006,$G121))</f>
        <v/>
      </c>
      <c r="L121" s="9" t="str">
        <f ca="1">IF($G121="","",INDEX(BASE_PRODUTOS!$E$2:$E$1006,$G121))</f>
        <v/>
      </c>
      <c r="M121" s="9" t="str">
        <f ca="1">IF($G121="","",INDEX(BASE_PRODUTOS!$F$2:$F$1006,$G121))</f>
        <v/>
      </c>
      <c r="N121" s="9" t="str">
        <f ca="1">IF($G121="","",INDEX(BASE_PRODUTOS!$G$2:$G$1006,$G121))</f>
        <v/>
      </c>
      <c r="O121" s="9" t="str">
        <f ca="1">IF($G121="","",INDEX(BASE_PRODUTOS!$H$2:$H$1006,$G121))</f>
        <v/>
      </c>
      <c r="P121" s="9" t="str">
        <f ca="1">IF($G121="","",INDEX(BASE_PRODUTOS!$I$2:$I$1006,$G121))</f>
        <v/>
      </c>
      <c r="Q121" s="9" t="str">
        <f ca="1">IF($G121="","",INDEX(BASE_PRODUTOS!$J$2:$J$1006,$G121))</f>
        <v/>
      </c>
      <c r="R121" s="9" t="str">
        <f ca="1">IF($G121="","",INDEX(BASE_PRODUTOS!$M$2:$M$1006,$G121))</f>
        <v/>
      </c>
      <c r="S121" s="9" t="str">
        <f ca="1">IF($G121="","",INDEX(BASE_PRODUTOS!$N$2:$N$1006,$G121))</f>
        <v/>
      </c>
      <c r="T121" s="9" t="str">
        <f ca="1">IF($G121="","",INDEX(BASE_PRODUTOS!$D$2:$D$1006,$G121))</f>
        <v/>
      </c>
      <c r="V121" s="4"/>
      <c r="W121" s="4"/>
      <c r="X121" s="4"/>
      <c r="Y121" s="4"/>
      <c r="Z121" s="4"/>
      <c r="AA121" s="4"/>
      <c r="AB121" s="4"/>
      <c r="AC121" s="4"/>
      <c r="AD121" s="4"/>
    </row>
    <row r="122" spans="7:30" ht="18" customHeight="1" x14ac:dyDescent="0.35">
      <c r="G122" t="str">
        <f ca="1">IFERROR(_xludf.aggregate(15,6,(ROW(BASE_PRODUTOS!$L$2:$L$1006)-ROW(BASE_PRODUTOS!$L$2)+1)/(BASE_PRODUTOS!$L$2:$L$1006&gt;0),ROWS($G$10:G122)),"")</f>
        <v/>
      </c>
      <c r="H122" s="9" t="str">
        <f ca="1">IF($G122="","",INDEX(BASE_PRODUTOS!$B$2:$B$1006,$G122))</f>
        <v/>
      </c>
      <c r="I122" s="9" t="str">
        <f ca="1">IF($G122="","",INDEX(BASE_PRODUTOS!$L$2:$L$1006,$G122))</f>
        <v/>
      </c>
      <c r="J122" s="9" t="str">
        <f ca="1">IF($G122="","",INDEX(BASE_PRODUTOS!$A$2:$A$1006,$G122))</f>
        <v/>
      </c>
      <c r="K122" s="9" t="str">
        <f ca="1">IF($G122="","",INDEX(BASE_PRODUTOS!$C$2:$C$1006,$G122))</f>
        <v/>
      </c>
      <c r="L122" s="9" t="str">
        <f ca="1">IF($G122="","",INDEX(BASE_PRODUTOS!$E$2:$E$1006,$G122))</f>
        <v/>
      </c>
      <c r="M122" s="9" t="str">
        <f ca="1">IF($G122="","",INDEX(BASE_PRODUTOS!$F$2:$F$1006,$G122))</f>
        <v/>
      </c>
      <c r="N122" s="9" t="str">
        <f ca="1">IF($G122="","",INDEX(BASE_PRODUTOS!$G$2:$G$1006,$G122))</f>
        <v/>
      </c>
      <c r="O122" s="9" t="str">
        <f ca="1">IF($G122="","",INDEX(BASE_PRODUTOS!$H$2:$H$1006,$G122))</f>
        <v/>
      </c>
      <c r="P122" s="9" t="str">
        <f ca="1">IF($G122="","",INDEX(BASE_PRODUTOS!$I$2:$I$1006,$G122))</f>
        <v/>
      </c>
      <c r="Q122" s="9" t="str">
        <f ca="1">IF($G122="","",INDEX(BASE_PRODUTOS!$J$2:$J$1006,$G122))</f>
        <v/>
      </c>
      <c r="R122" s="9" t="str">
        <f ca="1">IF($G122="","",INDEX(BASE_PRODUTOS!$M$2:$M$1006,$G122))</f>
        <v/>
      </c>
      <c r="S122" s="9" t="str">
        <f ca="1">IF($G122="","",INDEX(BASE_PRODUTOS!$N$2:$N$1006,$G122))</f>
        <v/>
      </c>
      <c r="T122" s="9" t="str">
        <f ca="1">IF($G122="","",INDEX(BASE_PRODUTOS!$D$2:$D$1006,$G122))</f>
        <v/>
      </c>
      <c r="V122" s="4"/>
      <c r="W122" s="4"/>
      <c r="X122" s="4"/>
      <c r="Y122" s="4"/>
      <c r="Z122" s="4"/>
      <c r="AA122" s="4"/>
      <c r="AB122" s="4"/>
      <c r="AC122" s="4"/>
      <c r="AD122" s="4"/>
    </row>
    <row r="123" spans="7:30" ht="18" customHeight="1" x14ac:dyDescent="0.35">
      <c r="G123" t="str">
        <f ca="1">IFERROR(_xludf.aggregate(15,6,(ROW(BASE_PRODUTOS!$L$2:$L$1006)-ROW(BASE_PRODUTOS!$L$2)+1)/(BASE_PRODUTOS!$L$2:$L$1006&gt;0),ROWS($G$10:G123)),"")</f>
        <v/>
      </c>
      <c r="H123" s="9" t="str">
        <f ca="1">IF($G123="","",INDEX(BASE_PRODUTOS!$B$2:$B$1006,$G123))</f>
        <v/>
      </c>
      <c r="I123" s="9" t="str">
        <f ca="1">IF($G123="","",INDEX(BASE_PRODUTOS!$L$2:$L$1006,$G123))</f>
        <v/>
      </c>
      <c r="J123" s="9" t="str">
        <f ca="1">IF($G123="","",INDEX(BASE_PRODUTOS!$A$2:$A$1006,$G123))</f>
        <v/>
      </c>
      <c r="K123" s="9" t="str">
        <f ca="1">IF($G123="","",INDEX(BASE_PRODUTOS!$C$2:$C$1006,$G123))</f>
        <v/>
      </c>
      <c r="L123" s="9" t="str">
        <f ca="1">IF($G123="","",INDEX(BASE_PRODUTOS!$E$2:$E$1006,$G123))</f>
        <v/>
      </c>
      <c r="M123" s="9" t="str">
        <f ca="1">IF($G123="","",INDEX(BASE_PRODUTOS!$F$2:$F$1006,$G123))</f>
        <v/>
      </c>
      <c r="N123" s="9" t="str">
        <f ca="1">IF($G123="","",INDEX(BASE_PRODUTOS!$G$2:$G$1006,$G123))</f>
        <v/>
      </c>
      <c r="O123" s="9" t="str">
        <f ca="1">IF($G123="","",INDEX(BASE_PRODUTOS!$H$2:$H$1006,$G123))</f>
        <v/>
      </c>
      <c r="P123" s="9" t="str">
        <f ca="1">IF($G123="","",INDEX(BASE_PRODUTOS!$I$2:$I$1006,$G123))</f>
        <v/>
      </c>
      <c r="Q123" s="9" t="str">
        <f ca="1">IF($G123="","",INDEX(BASE_PRODUTOS!$J$2:$J$1006,$G123))</f>
        <v/>
      </c>
      <c r="R123" s="9" t="str">
        <f ca="1">IF($G123="","",INDEX(BASE_PRODUTOS!$M$2:$M$1006,$G123))</f>
        <v/>
      </c>
      <c r="S123" s="9" t="str">
        <f ca="1">IF($G123="","",INDEX(BASE_PRODUTOS!$N$2:$N$1006,$G123))</f>
        <v/>
      </c>
      <c r="T123" s="9" t="str">
        <f ca="1">IF($G123="","",INDEX(BASE_PRODUTOS!$D$2:$D$1006,$G123))</f>
        <v/>
      </c>
      <c r="V123" s="4"/>
      <c r="W123" s="4"/>
      <c r="X123" s="4"/>
      <c r="Y123" s="4"/>
      <c r="Z123" s="4"/>
      <c r="AA123" s="4"/>
      <c r="AB123" s="4"/>
      <c r="AC123" s="4"/>
      <c r="AD123" s="4"/>
    </row>
    <row r="124" spans="7:30" ht="18" customHeight="1" x14ac:dyDescent="0.35">
      <c r="G124" t="str">
        <f ca="1">IFERROR(_xludf.aggregate(15,6,(ROW(BASE_PRODUTOS!$L$2:$L$1006)-ROW(BASE_PRODUTOS!$L$2)+1)/(BASE_PRODUTOS!$L$2:$L$1006&gt;0),ROWS($G$10:G124)),"")</f>
        <v/>
      </c>
      <c r="H124" s="9" t="str">
        <f ca="1">IF($G124="","",INDEX(BASE_PRODUTOS!$B$2:$B$1006,$G124))</f>
        <v/>
      </c>
      <c r="I124" s="9" t="str">
        <f ca="1">IF($G124="","",INDEX(BASE_PRODUTOS!$L$2:$L$1006,$G124))</f>
        <v/>
      </c>
      <c r="J124" s="9" t="str">
        <f ca="1">IF($G124="","",INDEX(BASE_PRODUTOS!$A$2:$A$1006,$G124))</f>
        <v/>
      </c>
      <c r="K124" s="9" t="str">
        <f ca="1">IF($G124="","",INDEX(BASE_PRODUTOS!$C$2:$C$1006,$G124))</f>
        <v/>
      </c>
      <c r="L124" s="9" t="str">
        <f ca="1">IF($G124="","",INDEX(BASE_PRODUTOS!$E$2:$E$1006,$G124))</f>
        <v/>
      </c>
      <c r="M124" s="9" t="str">
        <f ca="1">IF($G124="","",INDEX(BASE_PRODUTOS!$F$2:$F$1006,$G124))</f>
        <v/>
      </c>
      <c r="N124" s="9" t="str">
        <f ca="1">IF($G124="","",INDEX(BASE_PRODUTOS!$G$2:$G$1006,$G124))</f>
        <v/>
      </c>
      <c r="O124" s="9" t="str">
        <f ca="1">IF($G124="","",INDEX(BASE_PRODUTOS!$H$2:$H$1006,$G124))</f>
        <v/>
      </c>
      <c r="P124" s="9" t="str">
        <f ca="1">IF($G124="","",INDEX(BASE_PRODUTOS!$I$2:$I$1006,$G124))</f>
        <v/>
      </c>
      <c r="Q124" s="9" t="str">
        <f ca="1">IF($G124="","",INDEX(BASE_PRODUTOS!$J$2:$J$1006,$G124))</f>
        <v/>
      </c>
      <c r="R124" s="9" t="str">
        <f ca="1">IF($G124="","",INDEX(BASE_PRODUTOS!$M$2:$M$1006,$G124))</f>
        <v/>
      </c>
      <c r="S124" s="9" t="str">
        <f ca="1">IF($G124="","",INDEX(BASE_PRODUTOS!$N$2:$N$1006,$G124))</f>
        <v/>
      </c>
      <c r="T124" s="9" t="str">
        <f ca="1">IF($G124="","",INDEX(BASE_PRODUTOS!$D$2:$D$1006,$G124))</f>
        <v/>
      </c>
      <c r="V124" s="4"/>
      <c r="W124" s="4"/>
      <c r="X124" s="4"/>
      <c r="Y124" s="4"/>
      <c r="Z124" s="4"/>
      <c r="AA124" s="4"/>
      <c r="AB124" s="4"/>
      <c r="AC124" s="4"/>
      <c r="AD124" s="4"/>
    </row>
    <row r="125" spans="7:30" ht="18" customHeight="1" x14ac:dyDescent="0.35">
      <c r="G125" t="str">
        <f ca="1">IFERROR(_xludf.aggregate(15,6,(ROW(BASE_PRODUTOS!$L$2:$L$1006)-ROW(BASE_PRODUTOS!$L$2)+1)/(BASE_PRODUTOS!$L$2:$L$1006&gt;0),ROWS($G$10:G125)),"")</f>
        <v/>
      </c>
      <c r="H125" s="9" t="str">
        <f ca="1">IF($G125="","",INDEX(BASE_PRODUTOS!$B$2:$B$1006,$G125))</f>
        <v/>
      </c>
      <c r="I125" s="9" t="str">
        <f ca="1">IF($G125="","",INDEX(BASE_PRODUTOS!$L$2:$L$1006,$G125))</f>
        <v/>
      </c>
      <c r="J125" s="9" t="str">
        <f ca="1">IF($G125="","",INDEX(BASE_PRODUTOS!$A$2:$A$1006,$G125))</f>
        <v/>
      </c>
      <c r="K125" s="9" t="str">
        <f ca="1">IF($G125="","",INDEX(BASE_PRODUTOS!$C$2:$C$1006,$G125))</f>
        <v/>
      </c>
      <c r="L125" s="9" t="str">
        <f ca="1">IF($G125="","",INDEX(BASE_PRODUTOS!$E$2:$E$1006,$G125))</f>
        <v/>
      </c>
      <c r="M125" s="9" t="str">
        <f ca="1">IF($G125="","",INDEX(BASE_PRODUTOS!$F$2:$F$1006,$G125))</f>
        <v/>
      </c>
      <c r="N125" s="9" t="str">
        <f ca="1">IF($G125="","",INDEX(BASE_PRODUTOS!$G$2:$G$1006,$G125))</f>
        <v/>
      </c>
      <c r="O125" s="9" t="str">
        <f ca="1">IF($G125="","",INDEX(BASE_PRODUTOS!$H$2:$H$1006,$G125))</f>
        <v/>
      </c>
      <c r="P125" s="9" t="str">
        <f ca="1">IF($G125="","",INDEX(BASE_PRODUTOS!$I$2:$I$1006,$G125))</f>
        <v/>
      </c>
      <c r="Q125" s="9" t="str">
        <f ca="1">IF($G125="","",INDEX(BASE_PRODUTOS!$J$2:$J$1006,$G125))</f>
        <v/>
      </c>
      <c r="R125" s="9" t="str">
        <f ca="1">IF($G125="","",INDEX(BASE_PRODUTOS!$M$2:$M$1006,$G125))</f>
        <v/>
      </c>
      <c r="S125" s="9" t="str">
        <f ca="1">IF($G125="","",INDEX(BASE_PRODUTOS!$N$2:$N$1006,$G125))</f>
        <v/>
      </c>
      <c r="T125" s="9" t="str">
        <f ca="1">IF($G125="","",INDEX(BASE_PRODUTOS!$D$2:$D$1006,$G125))</f>
        <v/>
      </c>
      <c r="V125" s="4"/>
      <c r="W125" s="4"/>
      <c r="X125" s="4"/>
      <c r="Y125" s="4"/>
      <c r="Z125" s="4"/>
      <c r="AA125" s="4"/>
      <c r="AB125" s="4"/>
      <c r="AC125" s="4"/>
      <c r="AD125" s="4"/>
    </row>
    <row r="126" spans="7:30" ht="18" customHeight="1" x14ac:dyDescent="0.35">
      <c r="G126" t="str">
        <f ca="1">IFERROR(_xludf.aggregate(15,6,(ROW(BASE_PRODUTOS!$L$2:$L$1006)-ROW(BASE_PRODUTOS!$L$2)+1)/(BASE_PRODUTOS!$L$2:$L$1006&gt;0),ROWS($G$10:G126)),"")</f>
        <v/>
      </c>
      <c r="H126" s="9" t="str">
        <f ca="1">IF($G126="","",INDEX(BASE_PRODUTOS!$B$2:$B$1006,$G126))</f>
        <v/>
      </c>
      <c r="I126" s="9" t="str">
        <f ca="1">IF($G126="","",INDEX(BASE_PRODUTOS!$L$2:$L$1006,$G126))</f>
        <v/>
      </c>
      <c r="J126" s="9" t="str">
        <f ca="1">IF($G126="","",INDEX(BASE_PRODUTOS!$A$2:$A$1006,$G126))</f>
        <v/>
      </c>
      <c r="K126" s="9" t="str">
        <f ca="1">IF($G126="","",INDEX(BASE_PRODUTOS!$C$2:$C$1006,$G126))</f>
        <v/>
      </c>
      <c r="L126" s="9" t="str">
        <f ca="1">IF($G126="","",INDEX(BASE_PRODUTOS!$E$2:$E$1006,$G126))</f>
        <v/>
      </c>
      <c r="M126" s="9" t="str">
        <f ca="1">IF($G126="","",INDEX(BASE_PRODUTOS!$F$2:$F$1006,$G126))</f>
        <v/>
      </c>
      <c r="N126" s="9" t="str">
        <f ca="1">IF($G126="","",INDEX(BASE_PRODUTOS!$G$2:$G$1006,$G126))</f>
        <v/>
      </c>
      <c r="O126" s="9" t="str">
        <f ca="1">IF($G126="","",INDEX(BASE_PRODUTOS!$H$2:$H$1006,$G126))</f>
        <v/>
      </c>
      <c r="P126" s="9" t="str">
        <f ca="1">IF($G126="","",INDEX(BASE_PRODUTOS!$I$2:$I$1006,$G126))</f>
        <v/>
      </c>
      <c r="Q126" s="9" t="str">
        <f ca="1">IF($G126="","",INDEX(BASE_PRODUTOS!$J$2:$J$1006,$G126))</f>
        <v/>
      </c>
      <c r="R126" s="9" t="str">
        <f ca="1">IF($G126="","",INDEX(BASE_PRODUTOS!$M$2:$M$1006,$G126))</f>
        <v/>
      </c>
      <c r="S126" s="9" t="str">
        <f ca="1">IF($G126="","",INDEX(BASE_PRODUTOS!$N$2:$N$1006,$G126))</f>
        <v/>
      </c>
      <c r="T126" s="9" t="str">
        <f ca="1">IF($G126="","",INDEX(BASE_PRODUTOS!$D$2:$D$1006,$G126))</f>
        <v/>
      </c>
      <c r="V126" s="4"/>
      <c r="W126" s="4"/>
      <c r="X126" s="4"/>
      <c r="Y126" s="4"/>
      <c r="Z126" s="4"/>
      <c r="AA126" s="4"/>
      <c r="AB126" s="4"/>
      <c r="AC126" s="4"/>
      <c r="AD126" s="4"/>
    </row>
    <row r="127" spans="7:30" ht="18" customHeight="1" x14ac:dyDescent="0.35">
      <c r="G127" t="str">
        <f ca="1">IFERROR(_xludf.aggregate(15,6,(ROW(BASE_PRODUTOS!$L$2:$L$1006)-ROW(BASE_PRODUTOS!$L$2)+1)/(BASE_PRODUTOS!$L$2:$L$1006&gt;0),ROWS($G$10:G127)),"")</f>
        <v/>
      </c>
      <c r="H127" s="9" t="str">
        <f ca="1">IF($G127="","",INDEX(BASE_PRODUTOS!$B$2:$B$1006,$G127))</f>
        <v/>
      </c>
      <c r="I127" s="9" t="str">
        <f ca="1">IF($G127="","",INDEX(BASE_PRODUTOS!$L$2:$L$1006,$G127))</f>
        <v/>
      </c>
      <c r="J127" s="9" t="str">
        <f ca="1">IF($G127="","",INDEX(BASE_PRODUTOS!$A$2:$A$1006,$G127))</f>
        <v/>
      </c>
      <c r="K127" s="9" t="str">
        <f ca="1">IF($G127="","",INDEX(BASE_PRODUTOS!$C$2:$C$1006,$G127))</f>
        <v/>
      </c>
      <c r="L127" s="9" t="str">
        <f ca="1">IF($G127="","",INDEX(BASE_PRODUTOS!$E$2:$E$1006,$G127))</f>
        <v/>
      </c>
      <c r="M127" s="9" t="str">
        <f ca="1">IF($G127="","",INDEX(BASE_PRODUTOS!$F$2:$F$1006,$G127))</f>
        <v/>
      </c>
      <c r="N127" s="9" t="str">
        <f ca="1">IF($G127="","",INDEX(BASE_PRODUTOS!$G$2:$G$1006,$G127))</f>
        <v/>
      </c>
      <c r="O127" s="9" t="str">
        <f ca="1">IF($G127="","",INDEX(BASE_PRODUTOS!$H$2:$H$1006,$G127))</f>
        <v/>
      </c>
      <c r="P127" s="9" t="str">
        <f ca="1">IF($G127="","",INDEX(BASE_PRODUTOS!$I$2:$I$1006,$G127))</f>
        <v/>
      </c>
      <c r="Q127" s="9" t="str">
        <f ca="1">IF($G127="","",INDEX(BASE_PRODUTOS!$J$2:$J$1006,$G127))</f>
        <v/>
      </c>
      <c r="R127" s="9" t="str">
        <f ca="1">IF($G127="","",INDEX(BASE_PRODUTOS!$M$2:$M$1006,$G127))</f>
        <v/>
      </c>
      <c r="S127" s="9" t="str">
        <f ca="1">IF($G127="","",INDEX(BASE_PRODUTOS!$N$2:$N$1006,$G127))</f>
        <v/>
      </c>
      <c r="T127" s="9" t="str">
        <f ca="1">IF($G127="","",INDEX(BASE_PRODUTOS!$D$2:$D$1006,$G127))</f>
        <v/>
      </c>
    </row>
    <row r="128" spans="7:30" ht="18" customHeight="1" x14ac:dyDescent="0.35">
      <c r="G128" t="str">
        <f ca="1">IFERROR(_xludf.aggregate(15,6,(ROW(BASE_PRODUTOS!$L$2:$L$1006)-ROW(BASE_PRODUTOS!$L$2)+1)/(BASE_PRODUTOS!$L$2:$L$1006&gt;0),ROWS($G$10:G128)),"")</f>
        <v/>
      </c>
      <c r="H128" s="9" t="str">
        <f ca="1">IF($G128="","",INDEX(BASE_PRODUTOS!$B$2:$B$1006,$G128))</f>
        <v/>
      </c>
      <c r="I128" s="9" t="str">
        <f ca="1">IF($G128="","",INDEX(BASE_PRODUTOS!$L$2:$L$1006,$G128))</f>
        <v/>
      </c>
      <c r="J128" s="9" t="str">
        <f ca="1">IF($G128="","",INDEX(BASE_PRODUTOS!$A$2:$A$1006,$G128))</f>
        <v/>
      </c>
      <c r="K128" s="9" t="str">
        <f ca="1">IF($G128="","",INDEX(BASE_PRODUTOS!$C$2:$C$1006,$G128))</f>
        <v/>
      </c>
      <c r="L128" s="9" t="str">
        <f ca="1">IF($G128="","",INDEX(BASE_PRODUTOS!$E$2:$E$1006,$G128))</f>
        <v/>
      </c>
      <c r="M128" s="9" t="str">
        <f ca="1">IF($G128="","",INDEX(BASE_PRODUTOS!$F$2:$F$1006,$G128))</f>
        <v/>
      </c>
      <c r="N128" s="9" t="str">
        <f ca="1">IF($G128="","",INDEX(BASE_PRODUTOS!$G$2:$G$1006,$G128))</f>
        <v/>
      </c>
      <c r="O128" s="9" t="str">
        <f ca="1">IF($G128="","",INDEX(BASE_PRODUTOS!$H$2:$H$1006,$G128))</f>
        <v/>
      </c>
      <c r="P128" s="9" t="str">
        <f ca="1">IF($G128="","",INDEX(BASE_PRODUTOS!$I$2:$I$1006,$G128))</f>
        <v/>
      </c>
      <c r="Q128" s="9" t="str">
        <f ca="1">IF($G128="","",INDEX(BASE_PRODUTOS!$J$2:$J$1006,$G128))</f>
        <v/>
      </c>
      <c r="R128" s="9" t="str">
        <f ca="1">IF($G128="","",INDEX(BASE_PRODUTOS!$M$2:$M$1006,$G128))</f>
        <v/>
      </c>
      <c r="S128" s="9" t="str">
        <f ca="1">IF($G128="","",INDEX(BASE_PRODUTOS!$N$2:$N$1006,$G128))</f>
        <v/>
      </c>
      <c r="T128" s="9" t="str">
        <f ca="1">IF($G128="","",INDEX(BASE_PRODUTOS!$D$2:$D$1006,$G128))</f>
        <v/>
      </c>
    </row>
    <row r="129" spans="7:20" ht="18" customHeight="1" x14ac:dyDescent="0.35">
      <c r="G129" t="str">
        <f ca="1">IFERROR(_xludf.aggregate(15,6,(ROW(BASE_PRODUTOS!$L$2:$L$1006)-ROW(BASE_PRODUTOS!$L$2)+1)/(BASE_PRODUTOS!$L$2:$L$1006&gt;0),ROWS($G$10:G129)),"")</f>
        <v/>
      </c>
      <c r="H129" s="9" t="str">
        <f ca="1">IF($G129="","",INDEX(BASE_PRODUTOS!$B$2:$B$1006,$G129))</f>
        <v/>
      </c>
      <c r="I129" s="9" t="str">
        <f ca="1">IF($G129="","",INDEX(BASE_PRODUTOS!$L$2:$L$1006,$G129))</f>
        <v/>
      </c>
      <c r="J129" s="9" t="str">
        <f ca="1">IF($G129="","",INDEX(BASE_PRODUTOS!$A$2:$A$1006,$G129))</f>
        <v/>
      </c>
      <c r="K129" s="9" t="str">
        <f ca="1">IF($G129="","",INDEX(BASE_PRODUTOS!$C$2:$C$1006,$G129))</f>
        <v/>
      </c>
      <c r="L129" s="9" t="str">
        <f ca="1">IF($G129="","",INDEX(BASE_PRODUTOS!$E$2:$E$1006,$G129))</f>
        <v/>
      </c>
      <c r="M129" s="9" t="str">
        <f ca="1">IF($G129="","",INDEX(BASE_PRODUTOS!$F$2:$F$1006,$G129))</f>
        <v/>
      </c>
      <c r="N129" s="9" t="str">
        <f ca="1">IF($G129="","",INDEX(BASE_PRODUTOS!$G$2:$G$1006,$G129))</f>
        <v/>
      </c>
      <c r="O129" s="9" t="str">
        <f ca="1">IF($G129="","",INDEX(BASE_PRODUTOS!$H$2:$H$1006,$G129))</f>
        <v/>
      </c>
      <c r="P129" s="9" t="str">
        <f ca="1">IF($G129="","",INDEX(BASE_PRODUTOS!$I$2:$I$1006,$G129))</f>
        <v/>
      </c>
      <c r="Q129" s="9" t="str">
        <f ca="1">IF($G129="","",INDEX(BASE_PRODUTOS!$J$2:$J$1006,$G129))</f>
        <v/>
      </c>
      <c r="R129" s="9" t="str">
        <f ca="1">IF($G129="","",INDEX(BASE_PRODUTOS!$M$2:$M$1006,$G129))</f>
        <v/>
      </c>
      <c r="S129" s="9" t="str">
        <f ca="1">IF($G129="","",INDEX(BASE_PRODUTOS!$N$2:$N$1006,$G129))</f>
        <v/>
      </c>
      <c r="T129" s="9" t="str">
        <f ca="1">IF($G129="","",INDEX(BASE_PRODUTOS!$D$2:$D$1006,$G129))</f>
        <v/>
      </c>
    </row>
    <row r="130" spans="7:20" ht="18" customHeight="1" x14ac:dyDescent="0.35">
      <c r="G130" t="str">
        <f ca="1">IFERROR(_xludf.aggregate(15,6,(ROW(BASE_PRODUTOS!$L$2:$L$1006)-ROW(BASE_PRODUTOS!$L$2)+1)/(BASE_PRODUTOS!$L$2:$L$1006&gt;0),ROWS($G$10:G130)),"")</f>
        <v/>
      </c>
      <c r="H130" s="9" t="str">
        <f ca="1">IF($G130="","",INDEX(BASE_PRODUTOS!$B$2:$B$1006,$G130))</f>
        <v/>
      </c>
      <c r="I130" s="9" t="str">
        <f ca="1">IF($G130="","",INDEX(BASE_PRODUTOS!$L$2:$L$1006,$G130))</f>
        <v/>
      </c>
      <c r="J130" s="9" t="str">
        <f ca="1">IF($G130="","",INDEX(BASE_PRODUTOS!$A$2:$A$1006,$G130))</f>
        <v/>
      </c>
      <c r="K130" s="9" t="str">
        <f ca="1">IF($G130="","",INDEX(BASE_PRODUTOS!$C$2:$C$1006,$G130))</f>
        <v/>
      </c>
      <c r="L130" s="9" t="str">
        <f ca="1">IF($G130="","",INDEX(BASE_PRODUTOS!$E$2:$E$1006,$G130))</f>
        <v/>
      </c>
      <c r="M130" s="9" t="str">
        <f ca="1">IF($G130="","",INDEX(BASE_PRODUTOS!$F$2:$F$1006,$G130))</f>
        <v/>
      </c>
      <c r="N130" s="9" t="str">
        <f ca="1">IF($G130="","",INDEX(BASE_PRODUTOS!$G$2:$G$1006,$G130))</f>
        <v/>
      </c>
      <c r="O130" s="9" t="str">
        <f ca="1">IF($G130="","",INDEX(BASE_PRODUTOS!$H$2:$H$1006,$G130))</f>
        <v/>
      </c>
      <c r="P130" s="9" t="str">
        <f ca="1">IF($G130="","",INDEX(BASE_PRODUTOS!$I$2:$I$1006,$G130))</f>
        <v/>
      </c>
      <c r="Q130" s="9" t="str">
        <f ca="1">IF($G130="","",INDEX(BASE_PRODUTOS!$J$2:$J$1006,$G130))</f>
        <v/>
      </c>
      <c r="R130" s="9" t="str">
        <f ca="1">IF($G130="","",INDEX(BASE_PRODUTOS!$M$2:$M$1006,$G130))</f>
        <v/>
      </c>
      <c r="S130" s="9" t="str">
        <f ca="1">IF($G130="","",INDEX(BASE_PRODUTOS!$N$2:$N$1006,$G130))</f>
        <v/>
      </c>
      <c r="T130" s="9" t="str">
        <f ca="1">IF($G130="","",INDEX(BASE_PRODUTOS!$D$2:$D$1006,$G130))</f>
        <v/>
      </c>
    </row>
    <row r="131" spans="7:20" ht="18" customHeight="1" x14ac:dyDescent="0.35">
      <c r="G131" t="str">
        <f ca="1">IFERROR(_xludf.aggregate(15,6,(ROW(BASE_PRODUTOS!$L$2:$L$1006)-ROW(BASE_PRODUTOS!$L$2)+1)/(BASE_PRODUTOS!$L$2:$L$1006&gt;0),ROWS($G$10:G131)),"")</f>
        <v/>
      </c>
      <c r="H131" s="9" t="str">
        <f ca="1">IF($G131="","",INDEX(BASE_PRODUTOS!$B$2:$B$1006,$G131))</f>
        <v/>
      </c>
      <c r="I131" s="9" t="str">
        <f ca="1">IF($G131="","",INDEX(BASE_PRODUTOS!$L$2:$L$1006,$G131))</f>
        <v/>
      </c>
      <c r="J131" s="9" t="str">
        <f ca="1">IF($G131="","",INDEX(BASE_PRODUTOS!$A$2:$A$1006,$G131))</f>
        <v/>
      </c>
      <c r="K131" s="9" t="str">
        <f ca="1">IF($G131="","",INDEX(BASE_PRODUTOS!$C$2:$C$1006,$G131))</f>
        <v/>
      </c>
      <c r="L131" s="9" t="str">
        <f ca="1">IF($G131="","",INDEX(BASE_PRODUTOS!$E$2:$E$1006,$G131))</f>
        <v/>
      </c>
      <c r="M131" s="9" t="str">
        <f ca="1">IF($G131="","",INDEX(BASE_PRODUTOS!$F$2:$F$1006,$G131))</f>
        <v/>
      </c>
      <c r="N131" s="9" t="str">
        <f ca="1">IF($G131="","",INDEX(BASE_PRODUTOS!$G$2:$G$1006,$G131))</f>
        <v/>
      </c>
      <c r="O131" s="9" t="str">
        <f ca="1">IF($G131="","",INDEX(BASE_PRODUTOS!$H$2:$H$1006,$G131))</f>
        <v/>
      </c>
      <c r="P131" s="9" t="str">
        <f ca="1">IF($G131="","",INDEX(BASE_PRODUTOS!$I$2:$I$1006,$G131))</f>
        <v/>
      </c>
      <c r="Q131" s="9" t="str">
        <f ca="1">IF($G131="","",INDEX(BASE_PRODUTOS!$J$2:$J$1006,$G131))</f>
        <v/>
      </c>
      <c r="R131" s="9" t="str">
        <f ca="1">IF($G131="","",INDEX(BASE_PRODUTOS!$M$2:$M$1006,$G131))</f>
        <v/>
      </c>
      <c r="S131" s="9" t="str">
        <f ca="1">IF($G131="","",INDEX(BASE_PRODUTOS!$N$2:$N$1006,$G131))</f>
        <v/>
      </c>
      <c r="T131" s="9" t="str">
        <f ca="1">IF($G131="","",INDEX(BASE_PRODUTOS!$D$2:$D$1006,$G131))</f>
        <v/>
      </c>
    </row>
    <row r="132" spans="7:20" ht="18" customHeight="1" x14ac:dyDescent="0.35">
      <c r="G132" t="str">
        <f ca="1">IFERROR(_xludf.aggregate(15,6,(ROW(BASE_PRODUTOS!$L$2:$L$1006)-ROW(BASE_PRODUTOS!$L$2)+1)/(BASE_PRODUTOS!$L$2:$L$1006&gt;0),ROWS($G$10:G132)),"")</f>
        <v/>
      </c>
      <c r="H132" s="9" t="str">
        <f ca="1">IF($G132="","",INDEX(BASE_PRODUTOS!$B$2:$B$1006,$G132))</f>
        <v/>
      </c>
      <c r="I132" s="9" t="str">
        <f ca="1">IF($G132="","",INDEX(BASE_PRODUTOS!$L$2:$L$1006,$G132))</f>
        <v/>
      </c>
      <c r="J132" s="9" t="str">
        <f ca="1">IF($G132="","",INDEX(BASE_PRODUTOS!$A$2:$A$1006,$G132))</f>
        <v/>
      </c>
      <c r="K132" s="9" t="str">
        <f ca="1">IF($G132="","",INDEX(BASE_PRODUTOS!$C$2:$C$1006,$G132))</f>
        <v/>
      </c>
      <c r="L132" s="9" t="str">
        <f ca="1">IF($G132="","",INDEX(BASE_PRODUTOS!$E$2:$E$1006,$G132))</f>
        <v/>
      </c>
      <c r="M132" s="9" t="str">
        <f ca="1">IF($G132="","",INDEX(BASE_PRODUTOS!$F$2:$F$1006,$G132))</f>
        <v/>
      </c>
      <c r="N132" s="9" t="str">
        <f ca="1">IF($G132="","",INDEX(BASE_PRODUTOS!$G$2:$G$1006,$G132))</f>
        <v/>
      </c>
      <c r="O132" s="9" t="str">
        <f ca="1">IF($G132="","",INDEX(BASE_PRODUTOS!$H$2:$H$1006,$G132))</f>
        <v/>
      </c>
      <c r="P132" s="9" t="str">
        <f ca="1">IF($G132="","",INDEX(BASE_PRODUTOS!$I$2:$I$1006,$G132))</f>
        <v/>
      </c>
      <c r="Q132" s="9" t="str">
        <f ca="1">IF($G132="","",INDEX(BASE_PRODUTOS!$J$2:$J$1006,$G132))</f>
        <v/>
      </c>
      <c r="R132" s="9" t="str">
        <f ca="1">IF($G132="","",INDEX(BASE_PRODUTOS!$M$2:$M$1006,$G132))</f>
        <v/>
      </c>
      <c r="S132" s="9" t="str">
        <f ca="1">IF($G132="","",INDEX(BASE_PRODUTOS!$N$2:$N$1006,$G132))</f>
        <v/>
      </c>
      <c r="T132" s="9" t="str">
        <f ca="1">IF($G132="","",INDEX(BASE_PRODUTOS!$D$2:$D$1006,$G132))</f>
        <v/>
      </c>
    </row>
    <row r="133" spans="7:20" ht="18" customHeight="1" x14ac:dyDescent="0.35">
      <c r="G133" t="str">
        <f ca="1">IFERROR(_xludf.aggregate(15,6,(ROW(BASE_PRODUTOS!$L$2:$L$1006)-ROW(BASE_PRODUTOS!$L$2)+1)/(BASE_PRODUTOS!$L$2:$L$1006&gt;0),ROWS($G$10:G133)),"")</f>
        <v/>
      </c>
      <c r="H133" s="9" t="str">
        <f ca="1">IF($G133="","",INDEX(BASE_PRODUTOS!$B$2:$B$1006,$G133))</f>
        <v/>
      </c>
      <c r="I133" s="9" t="str">
        <f ca="1">IF($G133="","",INDEX(BASE_PRODUTOS!$L$2:$L$1006,$G133))</f>
        <v/>
      </c>
      <c r="J133" s="9" t="str">
        <f ca="1">IF($G133="","",INDEX(BASE_PRODUTOS!$A$2:$A$1006,$G133))</f>
        <v/>
      </c>
      <c r="K133" s="9" t="str">
        <f ca="1">IF($G133="","",INDEX(BASE_PRODUTOS!$C$2:$C$1006,$G133))</f>
        <v/>
      </c>
      <c r="L133" s="9" t="str">
        <f ca="1">IF($G133="","",INDEX(BASE_PRODUTOS!$E$2:$E$1006,$G133))</f>
        <v/>
      </c>
      <c r="M133" s="9" t="str">
        <f ca="1">IF($G133="","",INDEX(BASE_PRODUTOS!$F$2:$F$1006,$G133))</f>
        <v/>
      </c>
      <c r="N133" s="9" t="str">
        <f ca="1">IF($G133="","",INDEX(BASE_PRODUTOS!$G$2:$G$1006,$G133))</f>
        <v/>
      </c>
      <c r="O133" s="9" t="str">
        <f ca="1">IF($G133="","",INDEX(BASE_PRODUTOS!$H$2:$H$1006,$G133))</f>
        <v/>
      </c>
      <c r="P133" s="9" t="str">
        <f ca="1">IF($G133="","",INDEX(BASE_PRODUTOS!$I$2:$I$1006,$G133))</f>
        <v/>
      </c>
      <c r="Q133" s="9" t="str">
        <f ca="1">IF($G133="","",INDEX(BASE_PRODUTOS!$J$2:$J$1006,$G133))</f>
        <v/>
      </c>
      <c r="R133" s="9" t="str">
        <f ca="1">IF($G133="","",INDEX(BASE_PRODUTOS!$M$2:$M$1006,$G133))</f>
        <v/>
      </c>
      <c r="S133" s="9" t="str">
        <f ca="1">IF($G133="","",INDEX(BASE_PRODUTOS!$N$2:$N$1006,$G133))</f>
        <v/>
      </c>
      <c r="T133" s="9" t="str">
        <f ca="1">IF($G133="","",INDEX(BASE_PRODUTOS!$D$2:$D$1006,$G133))</f>
        <v/>
      </c>
    </row>
    <row r="134" spans="7:20" ht="18" customHeight="1" x14ac:dyDescent="0.35">
      <c r="G134" t="str">
        <f ca="1">IFERROR(_xludf.aggregate(15,6,(ROW(BASE_PRODUTOS!$L$2:$L$1006)-ROW(BASE_PRODUTOS!$L$2)+1)/(BASE_PRODUTOS!$L$2:$L$1006&gt;0),ROWS($G$10:G134)),"")</f>
        <v/>
      </c>
      <c r="H134" s="9" t="str">
        <f ca="1">IF($G134="","",INDEX(BASE_PRODUTOS!$B$2:$B$1006,$G134))</f>
        <v/>
      </c>
      <c r="I134" s="9" t="str">
        <f ca="1">IF($G134="","",INDEX(BASE_PRODUTOS!$L$2:$L$1006,$G134))</f>
        <v/>
      </c>
      <c r="J134" s="9" t="str">
        <f ca="1">IF($G134="","",INDEX(BASE_PRODUTOS!$A$2:$A$1006,$G134))</f>
        <v/>
      </c>
      <c r="K134" s="9" t="str">
        <f ca="1">IF($G134="","",INDEX(BASE_PRODUTOS!$C$2:$C$1006,$G134))</f>
        <v/>
      </c>
      <c r="L134" s="9" t="str">
        <f ca="1">IF($G134="","",INDEX(BASE_PRODUTOS!$E$2:$E$1006,$G134))</f>
        <v/>
      </c>
      <c r="M134" s="9" t="str">
        <f ca="1">IF($G134="","",INDEX(BASE_PRODUTOS!$F$2:$F$1006,$G134))</f>
        <v/>
      </c>
      <c r="N134" s="9" t="str">
        <f ca="1">IF($G134="","",INDEX(BASE_PRODUTOS!$G$2:$G$1006,$G134))</f>
        <v/>
      </c>
      <c r="O134" s="9" t="str">
        <f ca="1">IF($G134="","",INDEX(BASE_PRODUTOS!$H$2:$H$1006,$G134))</f>
        <v/>
      </c>
      <c r="P134" s="9" t="str">
        <f ca="1">IF($G134="","",INDEX(BASE_PRODUTOS!$I$2:$I$1006,$G134))</f>
        <v/>
      </c>
      <c r="Q134" s="9" t="str">
        <f ca="1">IF($G134="","",INDEX(BASE_PRODUTOS!$J$2:$J$1006,$G134))</f>
        <v/>
      </c>
      <c r="R134" s="9" t="str">
        <f ca="1">IF($G134="","",INDEX(BASE_PRODUTOS!$M$2:$M$1006,$G134))</f>
        <v/>
      </c>
      <c r="S134" s="9" t="str">
        <f ca="1">IF($G134="","",INDEX(BASE_PRODUTOS!$N$2:$N$1006,$G134))</f>
        <v/>
      </c>
      <c r="T134" s="9" t="str">
        <f ca="1">IF($G134="","",INDEX(BASE_PRODUTOS!$D$2:$D$1006,$G134))</f>
        <v/>
      </c>
    </row>
    <row r="135" spans="7:20" ht="18" customHeight="1" x14ac:dyDescent="0.35">
      <c r="G135" t="str">
        <f ca="1">IFERROR(_xludf.aggregate(15,6,(ROW(BASE_PRODUTOS!$L$2:$L$1006)-ROW(BASE_PRODUTOS!$L$2)+1)/(BASE_PRODUTOS!$L$2:$L$1006&gt;0),ROWS($G$10:G135)),"")</f>
        <v/>
      </c>
      <c r="H135" s="9" t="str">
        <f ca="1">IF($G135="","",INDEX(BASE_PRODUTOS!$B$2:$B$1006,$G135))</f>
        <v/>
      </c>
      <c r="I135" s="9" t="str">
        <f ca="1">IF($G135="","",INDEX(BASE_PRODUTOS!$L$2:$L$1006,$G135))</f>
        <v/>
      </c>
      <c r="J135" s="9" t="str">
        <f ca="1">IF($G135="","",INDEX(BASE_PRODUTOS!$A$2:$A$1006,$G135))</f>
        <v/>
      </c>
      <c r="K135" s="9" t="str">
        <f ca="1">IF($G135="","",INDEX(BASE_PRODUTOS!$C$2:$C$1006,$G135))</f>
        <v/>
      </c>
      <c r="L135" s="9" t="str">
        <f ca="1">IF($G135="","",INDEX(BASE_PRODUTOS!$E$2:$E$1006,$G135))</f>
        <v/>
      </c>
      <c r="M135" s="9" t="str">
        <f ca="1">IF($G135="","",INDEX(BASE_PRODUTOS!$F$2:$F$1006,$G135))</f>
        <v/>
      </c>
      <c r="N135" s="9" t="str">
        <f ca="1">IF($G135="","",INDEX(BASE_PRODUTOS!$G$2:$G$1006,$G135))</f>
        <v/>
      </c>
      <c r="O135" s="9" t="str">
        <f ca="1">IF($G135="","",INDEX(BASE_PRODUTOS!$H$2:$H$1006,$G135))</f>
        <v/>
      </c>
      <c r="P135" s="9" t="str">
        <f ca="1">IF($G135="","",INDEX(BASE_PRODUTOS!$I$2:$I$1006,$G135))</f>
        <v/>
      </c>
      <c r="Q135" s="9" t="str">
        <f ca="1">IF($G135="","",INDEX(BASE_PRODUTOS!$J$2:$J$1006,$G135))</f>
        <v/>
      </c>
      <c r="R135" s="9" t="str">
        <f ca="1">IF($G135="","",INDEX(BASE_PRODUTOS!$M$2:$M$1006,$G135))</f>
        <v/>
      </c>
      <c r="S135" s="9" t="str">
        <f ca="1">IF($G135="","",INDEX(BASE_PRODUTOS!$N$2:$N$1006,$G135))</f>
        <v/>
      </c>
      <c r="T135" s="9" t="str">
        <f ca="1">IF($G135="","",INDEX(BASE_PRODUTOS!$D$2:$D$1006,$G135))</f>
        <v/>
      </c>
    </row>
    <row r="136" spans="7:20" ht="18" customHeight="1" x14ac:dyDescent="0.35">
      <c r="G136" t="str">
        <f ca="1">IFERROR(_xludf.aggregate(15,6,(ROW(BASE_PRODUTOS!$L$2:$L$1006)-ROW(BASE_PRODUTOS!$L$2)+1)/(BASE_PRODUTOS!$L$2:$L$1006&gt;0),ROWS($G$10:G136)),"")</f>
        <v/>
      </c>
      <c r="H136" s="9" t="str">
        <f ca="1">IF($G136="","",INDEX(BASE_PRODUTOS!$B$2:$B$1006,$G136))</f>
        <v/>
      </c>
      <c r="I136" s="9" t="str">
        <f ca="1">IF($G136="","",INDEX(BASE_PRODUTOS!$L$2:$L$1006,$G136))</f>
        <v/>
      </c>
      <c r="J136" s="9" t="str">
        <f ca="1">IF($G136="","",INDEX(BASE_PRODUTOS!$A$2:$A$1006,$G136))</f>
        <v/>
      </c>
      <c r="K136" s="9" t="str">
        <f ca="1">IF($G136="","",INDEX(BASE_PRODUTOS!$C$2:$C$1006,$G136))</f>
        <v/>
      </c>
      <c r="L136" s="9" t="str">
        <f ca="1">IF($G136="","",INDEX(BASE_PRODUTOS!$E$2:$E$1006,$G136))</f>
        <v/>
      </c>
      <c r="M136" s="9" t="str">
        <f ca="1">IF($G136="","",INDEX(BASE_PRODUTOS!$F$2:$F$1006,$G136))</f>
        <v/>
      </c>
      <c r="N136" s="9" t="str">
        <f ca="1">IF($G136="","",INDEX(BASE_PRODUTOS!$G$2:$G$1006,$G136))</f>
        <v/>
      </c>
      <c r="O136" s="9" t="str">
        <f ca="1">IF($G136="","",INDEX(BASE_PRODUTOS!$H$2:$H$1006,$G136))</f>
        <v/>
      </c>
      <c r="P136" s="9" t="str">
        <f ca="1">IF($G136="","",INDEX(BASE_PRODUTOS!$I$2:$I$1006,$G136))</f>
        <v/>
      </c>
      <c r="Q136" s="9" t="str">
        <f ca="1">IF($G136="","",INDEX(BASE_PRODUTOS!$J$2:$J$1006,$G136))</f>
        <v/>
      </c>
      <c r="R136" s="9" t="str">
        <f ca="1">IF($G136="","",INDEX(BASE_PRODUTOS!$M$2:$M$1006,$G136))</f>
        <v/>
      </c>
      <c r="S136" s="9" t="str">
        <f ca="1">IF($G136="","",INDEX(BASE_PRODUTOS!$N$2:$N$1006,$G136))</f>
        <v/>
      </c>
      <c r="T136" s="9" t="str">
        <f ca="1">IF($G136="","",INDEX(BASE_PRODUTOS!$D$2:$D$1006,$G136))</f>
        <v/>
      </c>
    </row>
    <row r="137" spans="7:20" ht="18" customHeight="1" x14ac:dyDescent="0.35">
      <c r="G137" t="str">
        <f ca="1">IFERROR(_xludf.aggregate(15,6,(ROW(BASE_PRODUTOS!$L$2:$L$1006)-ROW(BASE_PRODUTOS!$L$2)+1)/(BASE_PRODUTOS!$L$2:$L$1006&gt;0),ROWS($G$10:G137)),"")</f>
        <v/>
      </c>
      <c r="H137" s="9" t="str">
        <f ca="1">IF($G137="","",INDEX(BASE_PRODUTOS!$B$2:$B$1006,$G137))</f>
        <v/>
      </c>
      <c r="I137" s="9" t="str">
        <f ca="1">IF($G137="","",INDEX(BASE_PRODUTOS!$L$2:$L$1006,$G137))</f>
        <v/>
      </c>
      <c r="J137" s="9" t="str">
        <f ca="1">IF($G137="","",INDEX(BASE_PRODUTOS!$A$2:$A$1006,$G137))</f>
        <v/>
      </c>
      <c r="K137" s="9" t="str">
        <f ca="1">IF($G137="","",INDEX(BASE_PRODUTOS!$C$2:$C$1006,$G137))</f>
        <v/>
      </c>
      <c r="L137" s="9" t="str">
        <f ca="1">IF($G137="","",INDEX(BASE_PRODUTOS!$E$2:$E$1006,$G137))</f>
        <v/>
      </c>
      <c r="M137" s="9" t="str">
        <f ca="1">IF($G137="","",INDEX(BASE_PRODUTOS!$F$2:$F$1006,$G137))</f>
        <v/>
      </c>
      <c r="N137" s="9" t="str">
        <f ca="1">IF($G137="","",INDEX(BASE_PRODUTOS!$G$2:$G$1006,$G137))</f>
        <v/>
      </c>
      <c r="O137" s="9" t="str">
        <f ca="1">IF($G137="","",INDEX(BASE_PRODUTOS!$H$2:$H$1006,$G137))</f>
        <v/>
      </c>
      <c r="P137" s="9" t="str">
        <f ca="1">IF($G137="","",INDEX(BASE_PRODUTOS!$I$2:$I$1006,$G137))</f>
        <v/>
      </c>
      <c r="Q137" s="9" t="str">
        <f ca="1">IF($G137="","",INDEX(BASE_PRODUTOS!$J$2:$J$1006,$G137))</f>
        <v/>
      </c>
      <c r="R137" s="9" t="str">
        <f ca="1">IF($G137="","",INDEX(BASE_PRODUTOS!$M$2:$M$1006,$G137))</f>
        <v/>
      </c>
      <c r="S137" s="9" t="str">
        <f ca="1">IF($G137="","",INDEX(BASE_PRODUTOS!$N$2:$N$1006,$G137))</f>
        <v/>
      </c>
      <c r="T137" s="9" t="str">
        <f ca="1">IF($G137="","",INDEX(BASE_PRODUTOS!$D$2:$D$1006,$G137))</f>
        <v/>
      </c>
    </row>
    <row r="138" spans="7:20" ht="18" customHeight="1" x14ac:dyDescent="0.35">
      <c r="G138" t="str">
        <f ca="1">IFERROR(_xludf.aggregate(15,6,(ROW(BASE_PRODUTOS!$L$2:$L$1006)-ROW(BASE_PRODUTOS!$L$2)+1)/(BASE_PRODUTOS!$L$2:$L$1006&gt;0),ROWS($G$10:G138)),"")</f>
        <v/>
      </c>
      <c r="H138" s="9" t="str">
        <f ca="1">IF($G138="","",INDEX(BASE_PRODUTOS!$B$2:$B$1006,$G138))</f>
        <v/>
      </c>
      <c r="I138" s="9" t="str">
        <f ca="1">IF($G138="","",INDEX(BASE_PRODUTOS!$L$2:$L$1006,$G138))</f>
        <v/>
      </c>
      <c r="J138" s="9" t="str">
        <f ca="1">IF($G138="","",INDEX(BASE_PRODUTOS!$A$2:$A$1006,$G138))</f>
        <v/>
      </c>
      <c r="K138" s="9" t="str">
        <f ca="1">IF($G138="","",INDEX(BASE_PRODUTOS!$C$2:$C$1006,$G138))</f>
        <v/>
      </c>
      <c r="L138" s="9" t="str">
        <f ca="1">IF($G138="","",INDEX(BASE_PRODUTOS!$E$2:$E$1006,$G138))</f>
        <v/>
      </c>
      <c r="M138" s="9" t="str">
        <f ca="1">IF($G138="","",INDEX(BASE_PRODUTOS!$F$2:$F$1006,$G138))</f>
        <v/>
      </c>
      <c r="N138" s="9" t="str">
        <f ca="1">IF($G138="","",INDEX(BASE_PRODUTOS!$G$2:$G$1006,$G138))</f>
        <v/>
      </c>
      <c r="O138" s="9" t="str">
        <f ca="1">IF($G138="","",INDEX(BASE_PRODUTOS!$H$2:$H$1006,$G138))</f>
        <v/>
      </c>
      <c r="P138" s="9" t="str">
        <f ca="1">IF($G138="","",INDEX(BASE_PRODUTOS!$I$2:$I$1006,$G138))</f>
        <v/>
      </c>
      <c r="Q138" s="9" t="str">
        <f ca="1">IF($G138="","",INDEX(BASE_PRODUTOS!$J$2:$J$1006,$G138))</f>
        <v/>
      </c>
      <c r="R138" s="9" t="str">
        <f ca="1">IF($G138="","",INDEX(BASE_PRODUTOS!$M$2:$M$1006,$G138))</f>
        <v/>
      </c>
      <c r="S138" s="9" t="str">
        <f ca="1">IF($G138="","",INDEX(BASE_PRODUTOS!$N$2:$N$1006,$G138))</f>
        <v/>
      </c>
      <c r="T138" s="9" t="str">
        <f ca="1">IF($G138="","",INDEX(BASE_PRODUTOS!$D$2:$D$1006,$G138))</f>
        <v/>
      </c>
    </row>
    <row r="139" spans="7:20" ht="18" customHeight="1" x14ac:dyDescent="0.35">
      <c r="G139" t="str">
        <f ca="1">IFERROR(_xludf.aggregate(15,6,(ROW(BASE_PRODUTOS!$L$2:$L$1006)-ROW(BASE_PRODUTOS!$L$2)+1)/(BASE_PRODUTOS!$L$2:$L$1006&gt;0),ROWS($G$10:G139)),"")</f>
        <v/>
      </c>
      <c r="H139" s="9" t="str">
        <f ca="1">IF($G139="","",INDEX(BASE_PRODUTOS!$B$2:$B$1006,$G139))</f>
        <v/>
      </c>
      <c r="I139" s="9" t="str">
        <f ca="1">IF($G139="","",INDEX(BASE_PRODUTOS!$L$2:$L$1006,$G139))</f>
        <v/>
      </c>
      <c r="J139" s="9" t="str">
        <f ca="1">IF($G139="","",INDEX(BASE_PRODUTOS!$A$2:$A$1006,$G139))</f>
        <v/>
      </c>
      <c r="K139" s="9" t="str">
        <f ca="1">IF($G139="","",INDEX(BASE_PRODUTOS!$C$2:$C$1006,$G139))</f>
        <v/>
      </c>
      <c r="L139" s="9" t="str">
        <f ca="1">IF($G139="","",INDEX(BASE_PRODUTOS!$E$2:$E$1006,$G139))</f>
        <v/>
      </c>
      <c r="M139" s="9" t="str">
        <f ca="1">IF($G139="","",INDEX(BASE_PRODUTOS!$F$2:$F$1006,$G139))</f>
        <v/>
      </c>
      <c r="N139" s="9" t="str">
        <f ca="1">IF($G139="","",INDEX(BASE_PRODUTOS!$G$2:$G$1006,$G139))</f>
        <v/>
      </c>
      <c r="O139" s="9" t="str">
        <f ca="1">IF($G139="","",INDEX(BASE_PRODUTOS!$H$2:$H$1006,$G139))</f>
        <v/>
      </c>
      <c r="P139" s="9" t="str">
        <f ca="1">IF($G139="","",INDEX(BASE_PRODUTOS!$I$2:$I$1006,$G139))</f>
        <v/>
      </c>
      <c r="Q139" s="9" t="str">
        <f ca="1">IF($G139="","",INDEX(BASE_PRODUTOS!$J$2:$J$1006,$G139))</f>
        <v/>
      </c>
      <c r="R139" s="9" t="str">
        <f ca="1">IF($G139="","",INDEX(BASE_PRODUTOS!$M$2:$M$1006,$G139))</f>
        <v/>
      </c>
      <c r="S139" s="9" t="str">
        <f ca="1">IF($G139="","",INDEX(BASE_PRODUTOS!$N$2:$N$1006,$G139))</f>
        <v/>
      </c>
      <c r="T139" s="9" t="str">
        <f ca="1">IF($G139="","",INDEX(BASE_PRODUTOS!$D$2:$D$1006,$G139))</f>
        <v/>
      </c>
    </row>
    <row r="140" spans="7:20" ht="18" customHeight="1" x14ac:dyDescent="0.35">
      <c r="G140" t="str">
        <f ca="1">IFERROR(_xludf.aggregate(15,6,(ROW(BASE_PRODUTOS!$L$2:$L$1006)-ROW(BASE_PRODUTOS!$L$2)+1)/(BASE_PRODUTOS!$L$2:$L$1006&gt;0),ROWS($G$10:G140)),"")</f>
        <v/>
      </c>
      <c r="H140" s="9" t="str">
        <f ca="1">IF($G140="","",INDEX(BASE_PRODUTOS!$B$2:$B$1006,$G140))</f>
        <v/>
      </c>
      <c r="I140" s="9" t="str">
        <f ca="1">IF($G140="","",INDEX(BASE_PRODUTOS!$L$2:$L$1006,$G140))</f>
        <v/>
      </c>
      <c r="J140" s="9" t="str">
        <f ca="1">IF($G140="","",INDEX(BASE_PRODUTOS!$A$2:$A$1006,$G140))</f>
        <v/>
      </c>
      <c r="K140" s="9" t="str">
        <f ca="1">IF($G140="","",INDEX(BASE_PRODUTOS!$C$2:$C$1006,$G140))</f>
        <v/>
      </c>
      <c r="L140" s="9" t="str">
        <f ca="1">IF($G140="","",INDEX(BASE_PRODUTOS!$E$2:$E$1006,$G140))</f>
        <v/>
      </c>
      <c r="M140" s="9" t="str">
        <f ca="1">IF($G140="","",INDEX(BASE_PRODUTOS!$F$2:$F$1006,$G140))</f>
        <v/>
      </c>
      <c r="N140" s="9" t="str">
        <f ca="1">IF($G140="","",INDEX(BASE_PRODUTOS!$G$2:$G$1006,$G140))</f>
        <v/>
      </c>
      <c r="O140" s="9" t="str">
        <f ca="1">IF($G140="","",INDEX(BASE_PRODUTOS!$H$2:$H$1006,$G140))</f>
        <v/>
      </c>
      <c r="P140" s="9" t="str">
        <f ca="1">IF($G140="","",INDEX(BASE_PRODUTOS!$I$2:$I$1006,$G140))</f>
        <v/>
      </c>
      <c r="Q140" s="9" t="str">
        <f ca="1">IF($G140="","",INDEX(BASE_PRODUTOS!$J$2:$J$1006,$G140))</f>
        <v/>
      </c>
      <c r="R140" s="9" t="str">
        <f ca="1">IF($G140="","",INDEX(BASE_PRODUTOS!$M$2:$M$1006,$G140))</f>
        <v/>
      </c>
      <c r="S140" s="9" t="str">
        <f ca="1">IF($G140="","",INDEX(BASE_PRODUTOS!$N$2:$N$1006,$G140))</f>
        <v/>
      </c>
      <c r="T140" s="9" t="str">
        <f ca="1">IF($G140="","",INDEX(BASE_PRODUTOS!$D$2:$D$1006,$G140))</f>
        <v/>
      </c>
    </row>
    <row r="141" spans="7:20" ht="18" customHeight="1" x14ac:dyDescent="0.35">
      <c r="G141" t="str">
        <f ca="1">IFERROR(_xludf.aggregate(15,6,(ROW(BASE_PRODUTOS!$L$2:$L$1006)-ROW(BASE_PRODUTOS!$L$2)+1)/(BASE_PRODUTOS!$L$2:$L$1006&gt;0),ROWS($G$10:G141)),"")</f>
        <v/>
      </c>
      <c r="H141" s="9" t="str">
        <f ca="1">IF($G141="","",INDEX(BASE_PRODUTOS!$B$2:$B$1006,$G141))</f>
        <v/>
      </c>
      <c r="I141" s="9" t="str">
        <f ca="1">IF($G141="","",INDEX(BASE_PRODUTOS!$L$2:$L$1006,$G141))</f>
        <v/>
      </c>
      <c r="J141" s="9" t="str">
        <f ca="1">IF($G141="","",INDEX(BASE_PRODUTOS!$A$2:$A$1006,$G141))</f>
        <v/>
      </c>
      <c r="K141" s="9" t="str">
        <f ca="1">IF($G141="","",INDEX(BASE_PRODUTOS!$C$2:$C$1006,$G141))</f>
        <v/>
      </c>
      <c r="L141" s="9" t="str">
        <f ca="1">IF($G141="","",INDEX(BASE_PRODUTOS!$E$2:$E$1006,$G141))</f>
        <v/>
      </c>
      <c r="M141" s="9" t="str">
        <f ca="1">IF($G141="","",INDEX(BASE_PRODUTOS!$F$2:$F$1006,$G141))</f>
        <v/>
      </c>
      <c r="N141" s="9" t="str">
        <f ca="1">IF($G141="","",INDEX(BASE_PRODUTOS!$G$2:$G$1006,$G141))</f>
        <v/>
      </c>
      <c r="O141" s="9" t="str">
        <f ca="1">IF($G141="","",INDEX(BASE_PRODUTOS!$H$2:$H$1006,$G141))</f>
        <v/>
      </c>
      <c r="P141" s="9" t="str">
        <f ca="1">IF($G141="","",INDEX(BASE_PRODUTOS!$I$2:$I$1006,$G141))</f>
        <v/>
      </c>
      <c r="Q141" s="9" t="str">
        <f ca="1">IF($G141="","",INDEX(BASE_PRODUTOS!$J$2:$J$1006,$G141))</f>
        <v/>
      </c>
      <c r="R141" s="9" t="str">
        <f ca="1">IF($G141="","",INDEX(BASE_PRODUTOS!$M$2:$M$1006,$G141))</f>
        <v/>
      </c>
      <c r="S141" s="9" t="str">
        <f ca="1">IF($G141="","",INDEX(BASE_PRODUTOS!$N$2:$N$1006,$G141))</f>
        <v/>
      </c>
      <c r="T141" s="9" t="str">
        <f ca="1">IF($G141="","",INDEX(BASE_PRODUTOS!$D$2:$D$1006,$G141))</f>
        <v/>
      </c>
    </row>
    <row r="142" spans="7:20" ht="18" customHeight="1" x14ac:dyDescent="0.35">
      <c r="G142" t="str">
        <f ca="1">IFERROR(_xludf.aggregate(15,6,(ROW(BASE_PRODUTOS!$L$2:$L$1006)-ROW(BASE_PRODUTOS!$L$2)+1)/(BASE_PRODUTOS!$L$2:$L$1006&gt;0),ROWS($G$10:G142)),"")</f>
        <v/>
      </c>
      <c r="H142" s="9" t="str">
        <f ca="1">IF($G142="","",INDEX(BASE_PRODUTOS!$B$2:$B$1006,$G142))</f>
        <v/>
      </c>
      <c r="I142" s="9" t="str">
        <f ca="1">IF($G142="","",INDEX(BASE_PRODUTOS!$L$2:$L$1006,$G142))</f>
        <v/>
      </c>
      <c r="J142" s="9" t="str">
        <f ca="1">IF($G142="","",INDEX(BASE_PRODUTOS!$A$2:$A$1006,$G142))</f>
        <v/>
      </c>
      <c r="K142" s="9" t="str">
        <f ca="1">IF($G142="","",INDEX(BASE_PRODUTOS!$C$2:$C$1006,$G142))</f>
        <v/>
      </c>
      <c r="L142" s="9" t="str">
        <f ca="1">IF($G142="","",INDEX(BASE_PRODUTOS!$E$2:$E$1006,$G142))</f>
        <v/>
      </c>
      <c r="M142" s="9" t="str">
        <f ca="1">IF($G142="","",INDEX(BASE_PRODUTOS!$F$2:$F$1006,$G142))</f>
        <v/>
      </c>
      <c r="N142" s="9" t="str">
        <f ca="1">IF($G142="","",INDEX(BASE_PRODUTOS!$G$2:$G$1006,$G142))</f>
        <v/>
      </c>
      <c r="O142" s="9" t="str">
        <f ca="1">IF($G142="","",INDEX(BASE_PRODUTOS!$H$2:$H$1006,$G142))</f>
        <v/>
      </c>
      <c r="P142" s="9" t="str">
        <f ca="1">IF($G142="","",INDEX(BASE_PRODUTOS!$I$2:$I$1006,$G142))</f>
        <v/>
      </c>
      <c r="Q142" s="9" t="str">
        <f ca="1">IF($G142="","",INDEX(BASE_PRODUTOS!$J$2:$J$1006,$G142))</f>
        <v/>
      </c>
      <c r="R142" s="9" t="str">
        <f ca="1">IF($G142="","",INDEX(BASE_PRODUTOS!$M$2:$M$1006,$G142))</f>
        <v/>
      </c>
      <c r="S142" s="9" t="str">
        <f ca="1">IF($G142="","",INDEX(BASE_PRODUTOS!$N$2:$N$1006,$G142))</f>
        <v/>
      </c>
      <c r="T142" s="9" t="str">
        <f ca="1">IF($G142="","",INDEX(BASE_PRODUTOS!$D$2:$D$1006,$G142))</f>
        <v/>
      </c>
    </row>
    <row r="143" spans="7:20" ht="18" customHeight="1" x14ac:dyDescent="0.35">
      <c r="G143" t="str">
        <f ca="1">IFERROR(_xludf.aggregate(15,6,(ROW(BASE_PRODUTOS!$L$2:$L$1006)-ROW(BASE_PRODUTOS!$L$2)+1)/(BASE_PRODUTOS!$L$2:$L$1006&gt;0),ROWS($G$10:G143)),"")</f>
        <v/>
      </c>
      <c r="H143" s="9" t="str">
        <f ca="1">IF($G143="","",INDEX(BASE_PRODUTOS!$B$2:$B$1006,$G143))</f>
        <v/>
      </c>
      <c r="I143" s="9" t="str">
        <f ca="1">IF($G143="","",INDEX(BASE_PRODUTOS!$L$2:$L$1006,$G143))</f>
        <v/>
      </c>
      <c r="J143" s="9" t="str">
        <f ca="1">IF($G143="","",INDEX(BASE_PRODUTOS!$A$2:$A$1006,$G143))</f>
        <v/>
      </c>
      <c r="K143" s="9" t="str">
        <f ca="1">IF($G143="","",INDEX(BASE_PRODUTOS!$C$2:$C$1006,$G143))</f>
        <v/>
      </c>
      <c r="L143" s="9" t="str">
        <f ca="1">IF($G143="","",INDEX(BASE_PRODUTOS!$E$2:$E$1006,$G143))</f>
        <v/>
      </c>
      <c r="M143" s="9" t="str">
        <f ca="1">IF($G143="","",INDEX(BASE_PRODUTOS!$F$2:$F$1006,$G143))</f>
        <v/>
      </c>
      <c r="N143" s="9" t="str">
        <f ca="1">IF($G143="","",INDEX(BASE_PRODUTOS!$G$2:$G$1006,$G143))</f>
        <v/>
      </c>
      <c r="O143" s="9" t="str">
        <f ca="1">IF($G143="","",INDEX(BASE_PRODUTOS!$H$2:$H$1006,$G143))</f>
        <v/>
      </c>
      <c r="P143" s="9" t="str">
        <f ca="1">IF($G143="","",INDEX(BASE_PRODUTOS!$I$2:$I$1006,$G143))</f>
        <v/>
      </c>
      <c r="Q143" s="9" t="str">
        <f ca="1">IF($G143="","",INDEX(BASE_PRODUTOS!$J$2:$J$1006,$G143))</f>
        <v/>
      </c>
      <c r="R143" s="9" t="str">
        <f ca="1">IF($G143="","",INDEX(BASE_PRODUTOS!$M$2:$M$1006,$G143))</f>
        <v/>
      </c>
      <c r="S143" s="9" t="str">
        <f ca="1">IF($G143="","",INDEX(BASE_PRODUTOS!$N$2:$N$1006,$G143))</f>
        <v/>
      </c>
      <c r="T143" s="9" t="str">
        <f ca="1">IF($G143="","",INDEX(BASE_PRODUTOS!$D$2:$D$1006,$G143))</f>
        <v/>
      </c>
    </row>
    <row r="144" spans="7:20" ht="18" customHeight="1" x14ac:dyDescent="0.35">
      <c r="G144" t="str">
        <f ca="1">IFERROR(_xludf.aggregate(15,6,(ROW(BASE_PRODUTOS!$L$2:$L$1006)-ROW(BASE_PRODUTOS!$L$2)+1)/(BASE_PRODUTOS!$L$2:$L$1006&gt;0),ROWS($G$10:G144)),"")</f>
        <v/>
      </c>
      <c r="H144" s="9" t="str">
        <f ca="1">IF($G144="","",INDEX(BASE_PRODUTOS!$B$2:$B$1006,$G144))</f>
        <v/>
      </c>
      <c r="I144" s="9" t="str">
        <f ca="1">IF($G144="","",INDEX(BASE_PRODUTOS!$L$2:$L$1006,$G144))</f>
        <v/>
      </c>
      <c r="J144" s="9" t="str">
        <f ca="1">IF($G144="","",INDEX(BASE_PRODUTOS!$A$2:$A$1006,$G144))</f>
        <v/>
      </c>
      <c r="K144" s="9" t="str">
        <f ca="1">IF($G144="","",INDEX(BASE_PRODUTOS!$C$2:$C$1006,$G144))</f>
        <v/>
      </c>
      <c r="L144" s="9" t="str">
        <f ca="1">IF($G144="","",INDEX(BASE_PRODUTOS!$E$2:$E$1006,$G144))</f>
        <v/>
      </c>
      <c r="M144" s="9" t="str">
        <f ca="1">IF($G144="","",INDEX(BASE_PRODUTOS!$F$2:$F$1006,$G144))</f>
        <v/>
      </c>
      <c r="N144" s="9" t="str">
        <f ca="1">IF($G144="","",INDEX(BASE_PRODUTOS!$G$2:$G$1006,$G144))</f>
        <v/>
      </c>
      <c r="O144" s="9" t="str">
        <f ca="1">IF($G144="","",INDEX(BASE_PRODUTOS!$H$2:$H$1006,$G144))</f>
        <v/>
      </c>
      <c r="P144" s="9" t="str">
        <f ca="1">IF($G144="","",INDEX(BASE_PRODUTOS!$I$2:$I$1006,$G144))</f>
        <v/>
      </c>
      <c r="Q144" s="9" t="str">
        <f ca="1">IF($G144="","",INDEX(BASE_PRODUTOS!$J$2:$J$1006,$G144))</f>
        <v/>
      </c>
      <c r="R144" s="9" t="str">
        <f ca="1">IF($G144="","",INDEX(BASE_PRODUTOS!$M$2:$M$1006,$G144))</f>
        <v/>
      </c>
      <c r="S144" s="9" t="str">
        <f ca="1">IF($G144="","",INDEX(BASE_PRODUTOS!$N$2:$N$1006,$G144))</f>
        <v/>
      </c>
      <c r="T144" s="9" t="str">
        <f ca="1">IF($G144="","",INDEX(BASE_PRODUTOS!$D$2:$D$1006,$G144))</f>
        <v/>
      </c>
    </row>
    <row r="145" spans="7:20" ht="18" customHeight="1" x14ac:dyDescent="0.35">
      <c r="G145" t="str">
        <f ca="1">IFERROR(_xludf.aggregate(15,6,(ROW(BASE_PRODUTOS!$L$2:$L$1006)-ROW(BASE_PRODUTOS!$L$2)+1)/(BASE_PRODUTOS!$L$2:$L$1006&gt;0),ROWS($G$10:G145)),"")</f>
        <v/>
      </c>
      <c r="H145" s="9" t="str">
        <f ca="1">IF($G145="","",INDEX(BASE_PRODUTOS!$B$2:$B$1006,$G145))</f>
        <v/>
      </c>
      <c r="I145" s="9" t="str">
        <f ca="1">IF($G145="","",INDEX(BASE_PRODUTOS!$L$2:$L$1006,$G145))</f>
        <v/>
      </c>
      <c r="J145" s="9" t="str">
        <f ca="1">IF($G145="","",INDEX(BASE_PRODUTOS!$A$2:$A$1006,$G145))</f>
        <v/>
      </c>
      <c r="K145" s="9" t="str">
        <f ca="1">IF($G145="","",INDEX(BASE_PRODUTOS!$C$2:$C$1006,$G145))</f>
        <v/>
      </c>
      <c r="L145" s="9" t="str">
        <f ca="1">IF($G145="","",INDEX(BASE_PRODUTOS!$E$2:$E$1006,$G145))</f>
        <v/>
      </c>
      <c r="M145" s="9" t="str">
        <f ca="1">IF($G145="","",INDEX(BASE_PRODUTOS!$F$2:$F$1006,$G145))</f>
        <v/>
      </c>
      <c r="N145" s="9" t="str">
        <f ca="1">IF($G145="","",INDEX(BASE_PRODUTOS!$G$2:$G$1006,$G145))</f>
        <v/>
      </c>
      <c r="O145" s="9" t="str">
        <f ca="1">IF($G145="","",INDEX(BASE_PRODUTOS!$H$2:$H$1006,$G145))</f>
        <v/>
      </c>
      <c r="P145" s="9" t="str">
        <f ca="1">IF($G145="","",INDEX(BASE_PRODUTOS!$I$2:$I$1006,$G145))</f>
        <v/>
      </c>
      <c r="Q145" s="9" t="str">
        <f ca="1">IF($G145="","",INDEX(BASE_PRODUTOS!$J$2:$J$1006,$G145))</f>
        <v/>
      </c>
      <c r="R145" s="9" t="str">
        <f ca="1">IF($G145="","",INDEX(BASE_PRODUTOS!$M$2:$M$1006,$G145))</f>
        <v/>
      </c>
      <c r="S145" s="9" t="str">
        <f ca="1">IF($G145="","",INDEX(BASE_PRODUTOS!$N$2:$N$1006,$G145))</f>
        <v/>
      </c>
      <c r="T145" s="9" t="str">
        <f ca="1">IF($G145="","",INDEX(BASE_PRODUTOS!$D$2:$D$1006,$G145))</f>
        <v/>
      </c>
    </row>
    <row r="146" spans="7:20" ht="18" customHeight="1" x14ac:dyDescent="0.35">
      <c r="G146" t="str">
        <f ca="1">IFERROR(_xludf.aggregate(15,6,(ROW(BASE_PRODUTOS!$L$2:$L$1006)-ROW(BASE_PRODUTOS!$L$2)+1)/(BASE_PRODUTOS!$L$2:$L$1006&gt;0),ROWS($G$10:G146)),"")</f>
        <v/>
      </c>
      <c r="H146" s="9" t="str">
        <f ca="1">IF($G146="","",INDEX(BASE_PRODUTOS!$B$2:$B$1006,$G146))</f>
        <v/>
      </c>
      <c r="I146" s="9" t="str">
        <f ca="1">IF($G146="","",INDEX(BASE_PRODUTOS!$L$2:$L$1006,$G146))</f>
        <v/>
      </c>
      <c r="J146" s="9" t="str">
        <f ca="1">IF($G146="","",INDEX(BASE_PRODUTOS!$A$2:$A$1006,$G146))</f>
        <v/>
      </c>
      <c r="K146" s="9" t="str">
        <f ca="1">IF($G146="","",INDEX(BASE_PRODUTOS!$C$2:$C$1006,$G146))</f>
        <v/>
      </c>
      <c r="L146" s="9" t="str">
        <f ca="1">IF($G146="","",INDEX(BASE_PRODUTOS!$E$2:$E$1006,$G146))</f>
        <v/>
      </c>
      <c r="M146" s="9" t="str">
        <f ca="1">IF($G146="","",INDEX(BASE_PRODUTOS!$F$2:$F$1006,$G146))</f>
        <v/>
      </c>
      <c r="N146" s="9" t="str">
        <f ca="1">IF($G146="","",INDEX(BASE_PRODUTOS!$G$2:$G$1006,$G146))</f>
        <v/>
      </c>
      <c r="O146" s="9" t="str">
        <f ca="1">IF($G146="","",INDEX(BASE_PRODUTOS!$H$2:$H$1006,$G146))</f>
        <v/>
      </c>
      <c r="P146" s="9" t="str">
        <f ca="1">IF($G146="","",INDEX(BASE_PRODUTOS!$I$2:$I$1006,$G146))</f>
        <v/>
      </c>
      <c r="Q146" s="9" t="str">
        <f ca="1">IF($G146="","",INDEX(BASE_PRODUTOS!$J$2:$J$1006,$G146))</f>
        <v/>
      </c>
      <c r="R146" s="9" t="str">
        <f ca="1">IF($G146="","",INDEX(BASE_PRODUTOS!$M$2:$M$1006,$G146))</f>
        <v/>
      </c>
      <c r="S146" s="9" t="str">
        <f ca="1">IF($G146="","",INDEX(BASE_PRODUTOS!$N$2:$N$1006,$G146))</f>
        <v/>
      </c>
      <c r="T146" s="9" t="str">
        <f ca="1">IF($G146="","",INDEX(BASE_PRODUTOS!$D$2:$D$1006,$G146))</f>
        <v/>
      </c>
    </row>
    <row r="147" spans="7:20" ht="18" customHeight="1" x14ac:dyDescent="0.35">
      <c r="G147" t="str">
        <f ca="1">IFERROR(_xludf.aggregate(15,6,(ROW(BASE_PRODUTOS!$L$2:$L$1006)-ROW(BASE_PRODUTOS!$L$2)+1)/(BASE_PRODUTOS!$L$2:$L$1006&gt;0),ROWS($G$10:G147)),"")</f>
        <v/>
      </c>
      <c r="H147" s="9" t="str">
        <f ca="1">IF($G147="","",INDEX(BASE_PRODUTOS!$B$2:$B$1006,$G147))</f>
        <v/>
      </c>
      <c r="I147" s="9" t="str">
        <f ca="1">IF($G147="","",INDEX(BASE_PRODUTOS!$L$2:$L$1006,$G147))</f>
        <v/>
      </c>
      <c r="J147" s="9" t="str">
        <f ca="1">IF($G147="","",INDEX(BASE_PRODUTOS!$A$2:$A$1006,$G147))</f>
        <v/>
      </c>
      <c r="K147" s="9" t="str">
        <f ca="1">IF($G147="","",INDEX(BASE_PRODUTOS!$C$2:$C$1006,$G147))</f>
        <v/>
      </c>
      <c r="L147" s="9" t="str">
        <f ca="1">IF($G147="","",INDEX(BASE_PRODUTOS!$E$2:$E$1006,$G147))</f>
        <v/>
      </c>
      <c r="M147" s="9" t="str">
        <f ca="1">IF($G147="","",INDEX(BASE_PRODUTOS!$F$2:$F$1006,$G147))</f>
        <v/>
      </c>
      <c r="N147" s="9" t="str">
        <f ca="1">IF($G147="","",INDEX(BASE_PRODUTOS!$G$2:$G$1006,$G147))</f>
        <v/>
      </c>
      <c r="O147" s="9" t="str">
        <f ca="1">IF($G147="","",INDEX(BASE_PRODUTOS!$H$2:$H$1006,$G147))</f>
        <v/>
      </c>
      <c r="P147" s="9" t="str">
        <f ca="1">IF($G147="","",INDEX(BASE_PRODUTOS!$I$2:$I$1006,$G147))</f>
        <v/>
      </c>
      <c r="Q147" s="9" t="str">
        <f ca="1">IF($G147="","",INDEX(BASE_PRODUTOS!$J$2:$J$1006,$G147))</f>
        <v/>
      </c>
      <c r="R147" s="9" t="str">
        <f ca="1">IF($G147="","",INDEX(BASE_PRODUTOS!$M$2:$M$1006,$G147))</f>
        <v/>
      </c>
      <c r="S147" s="9" t="str">
        <f ca="1">IF($G147="","",INDEX(BASE_PRODUTOS!$N$2:$N$1006,$G147))</f>
        <v/>
      </c>
      <c r="T147" s="9" t="str">
        <f ca="1">IF($G147="","",INDEX(BASE_PRODUTOS!$D$2:$D$1006,$G147))</f>
        <v/>
      </c>
    </row>
    <row r="148" spans="7:20" ht="18" customHeight="1" x14ac:dyDescent="0.35">
      <c r="G148" t="str">
        <f ca="1">IFERROR(_xludf.aggregate(15,6,(ROW(BASE_PRODUTOS!$L$2:$L$1006)-ROW(BASE_PRODUTOS!$L$2)+1)/(BASE_PRODUTOS!$L$2:$L$1006&gt;0),ROWS($G$10:G148)),"")</f>
        <v/>
      </c>
      <c r="H148" s="9" t="str">
        <f ca="1">IF($G148="","",INDEX(BASE_PRODUTOS!$B$2:$B$1006,$G148))</f>
        <v/>
      </c>
      <c r="I148" s="9" t="str">
        <f ca="1">IF($G148="","",INDEX(BASE_PRODUTOS!$L$2:$L$1006,$G148))</f>
        <v/>
      </c>
      <c r="J148" s="9" t="str">
        <f ca="1">IF($G148="","",INDEX(BASE_PRODUTOS!$A$2:$A$1006,$G148))</f>
        <v/>
      </c>
      <c r="K148" s="9" t="str">
        <f ca="1">IF($G148="","",INDEX(BASE_PRODUTOS!$C$2:$C$1006,$G148))</f>
        <v/>
      </c>
      <c r="L148" s="9" t="str">
        <f ca="1">IF($G148="","",INDEX(BASE_PRODUTOS!$E$2:$E$1006,$G148))</f>
        <v/>
      </c>
      <c r="M148" s="9" t="str">
        <f ca="1">IF($G148="","",INDEX(BASE_PRODUTOS!$F$2:$F$1006,$G148))</f>
        <v/>
      </c>
      <c r="N148" s="9" t="str">
        <f ca="1">IF($G148="","",INDEX(BASE_PRODUTOS!$G$2:$G$1006,$G148))</f>
        <v/>
      </c>
      <c r="O148" s="9" t="str">
        <f ca="1">IF($G148="","",INDEX(BASE_PRODUTOS!$H$2:$H$1006,$G148))</f>
        <v/>
      </c>
      <c r="P148" s="9" t="str">
        <f ca="1">IF($G148="","",INDEX(BASE_PRODUTOS!$I$2:$I$1006,$G148))</f>
        <v/>
      </c>
      <c r="Q148" s="9" t="str">
        <f ca="1">IF($G148="","",INDEX(BASE_PRODUTOS!$J$2:$J$1006,$G148))</f>
        <v/>
      </c>
      <c r="R148" s="9" t="str">
        <f ca="1">IF($G148="","",INDEX(BASE_PRODUTOS!$M$2:$M$1006,$G148))</f>
        <v/>
      </c>
      <c r="S148" s="9" t="str">
        <f ca="1">IF($G148="","",INDEX(BASE_PRODUTOS!$N$2:$N$1006,$G148))</f>
        <v/>
      </c>
      <c r="T148" s="9" t="str">
        <f ca="1">IF($G148="","",INDEX(BASE_PRODUTOS!$D$2:$D$1006,$G148))</f>
        <v/>
      </c>
    </row>
    <row r="149" spans="7:20" ht="18" customHeight="1" x14ac:dyDescent="0.35">
      <c r="G149" t="str">
        <f ca="1">IFERROR(_xludf.aggregate(15,6,(ROW(BASE_PRODUTOS!$L$2:$L$1006)-ROW(BASE_PRODUTOS!$L$2)+1)/(BASE_PRODUTOS!$L$2:$L$1006&gt;0),ROWS($G$10:G149)),"")</f>
        <v/>
      </c>
      <c r="H149" s="9" t="str">
        <f ca="1">IF($G149="","",INDEX(BASE_PRODUTOS!$B$2:$B$1006,$G149))</f>
        <v/>
      </c>
      <c r="I149" s="9" t="str">
        <f ca="1">IF($G149="","",INDEX(BASE_PRODUTOS!$L$2:$L$1006,$G149))</f>
        <v/>
      </c>
      <c r="J149" s="9" t="str">
        <f ca="1">IF($G149="","",INDEX(BASE_PRODUTOS!$A$2:$A$1006,$G149))</f>
        <v/>
      </c>
      <c r="K149" s="9" t="str">
        <f ca="1">IF($G149="","",INDEX(BASE_PRODUTOS!$C$2:$C$1006,$G149))</f>
        <v/>
      </c>
      <c r="L149" s="9" t="str">
        <f ca="1">IF($G149="","",INDEX(BASE_PRODUTOS!$E$2:$E$1006,$G149))</f>
        <v/>
      </c>
      <c r="M149" s="9" t="str">
        <f ca="1">IF($G149="","",INDEX(BASE_PRODUTOS!$F$2:$F$1006,$G149))</f>
        <v/>
      </c>
      <c r="N149" s="9" t="str">
        <f ca="1">IF($G149="","",INDEX(BASE_PRODUTOS!$G$2:$G$1006,$G149))</f>
        <v/>
      </c>
      <c r="O149" s="9" t="str">
        <f ca="1">IF($G149="","",INDEX(BASE_PRODUTOS!$H$2:$H$1006,$G149))</f>
        <v/>
      </c>
      <c r="P149" s="9" t="str">
        <f ca="1">IF($G149="","",INDEX(BASE_PRODUTOS!$I$2:$I$1006,$G149))</f>
        <v/>
      </c>
      <c r="Q149" s="9" t="str">
        <f ca="1">IF($G149="","",INDEX(BASE_PRODUTOS!$J$2:$J$1006,$G149))</f>
        <v/>
      </c>
      <c r="R149" s="9" t="str">
        <f ca="1">IF($G149="","",INDEX(BASE_PRODUTOS!$M$2:$M$1006,$G149))</f>
        <v/>
      </c>
      <c r="S149" s="9" t="str">
        <f ca="1">IF($G149="","",INDEX(BASE_PRODUTOS!$N$2:$N$1006,$G149))</f>
        <v/>
      </c>
      <c r="T149" s="9" t="str">
        <f ca="1">IF($G149="","",INDEX(BASE_PRODUTOS!$D$2:$D$1006,$G149))</f>
        <v/>
      </c>
    </row>
    <row r="150" spans="7:20" ht="18" customHeight="1" x14ac:dyDescent="0.35">
      <c r="G150" t="str">
        <f ca="1">IFERROR(_xludf.aggregate(15,6,(ROW(BASE_PRODUTOS!$L$2:$L$1006)-ROW(BASE_PRODUTOS!$L$2)+1)/(BASE_PRODUTOS!$L$2:$L$1006&gt;0),ROWS($G$10:G150)),"")</f>
        <v/>
      </c>
      <c r="H150" s="9" t="str">
        <f ca="1">IF($G150="","",INDEX(BASE_PRODUTOS!$B$2:$B$1006,$G150))</f>
        <v/>
      </c>
      <c r="I150" s="9" t="str">
        <f ca="1">IF($G150="","",INDEX(BASE_PRODUTOS!$L$2:$L$1006,$G150))</f>
        <v/>
      </c>
      <c r="J150" s="9" t="str">
        <f ca="1">IF($G150="","",INDEX(BASE_PRODUTOS!$A$2:$A$1006,$G150))</f>
        <v/>
      </c>
      <c r="K150" s="9" t="str">
        <f ca="1">IF($G150="","",INDEX(BASE_PRODUTOS!$C$2:$C$1006,$G150))</f>
        <v/>
      </c>
      <c r="L150" s="9" t="str">
        <f ca="1">IF($G150="","",INDEX(BASE_PRODUTOS!$E$2:$E$1006,$G150))</f>
        <v/>
      </c>
      <c r="M150" s="9" t="str">
        <f ca="1">IF($G150="","",INDEX(BASE_PRODUTOS!$F$2:$F$1006,$G150))</f>
        <v/>
      </c>
      <c r="N150" s="9" t="str">
        <f ca="1">IF($G150="","",INDEX(BASE_PRODUTOS!$G$2:$G$1006,$G150))</f>
        <v/>
      </c>
      <c r="O150" s="9" t="str">
        <f ca="1">IF($G150="","",INDEX(BASE_PRODUTOS!$H$2:$H$1006,$G150))</f>
        <v/>
      </c>
      <c r="P150" s="9" t="str">
        <f ca="1">IF($G150="","",INDEX(BASE_PRODUTOS!$I$2:$I$1006,$G150))</f>
        <v/>
      </c>
      <c r="Q150" s="9" t="str">
        <f ca="1">IF($G150="","",INDEX(BASE_PRODUTOS!$J$2:$J$1006,$G150))</f>
        <v/>
      </c>
      <c r="R150" s="9" t="str">
        <f ca="1">IF($G150="","",INDEX(BASE_PRODUTOS!$M$2:$M$1006,$G150))</f>
        <v/>
      </c>
      <c r="S150" s="9" t="str">
        <f ca="1">IF($G150="","",INDEX(BASE_PRODUTOS!$N$2:$N$1006,$G150))</f>
        <v/>
      </c>
      <c r="T150" s="9" t="str">
        <f ca="1">IF($G150="","",INDEX(BASE_PRODUTOS!$D$2:$D$1006,$G150))</f>
        <v/>
      </c>
    </row>
    <row r="151" spans="7:20" ht="18" customHeight="1" x14ac:dyDescent="0.35">
      <c r="G151" t="str">
        <f ca="1">IFERROR(_xludf.aggregate(15,6,(ROW(BASE_PRODUTOS!$L$2:$L$1006)-ROW(BASE_PRODUTOS!$L$2)+1)/(BASE_PRODUTOS!$L$2:$L$1006&gt;0),ROWS($G$10:G151)),"")</f>
        <v/>
      </c>
      <c r="H151" s="9" t="str">
        <f ca="1">IF($G151="","",INDEX(BASE_PRODUTOS!$B$2:$B$1006,$G151))</f>
        <v/>
      </c>
      <c r="I151" s="9" t="str">
        <f ca="1">IF($G151="","",INDEX(BASE_PRODUTOS!$L$2:$L$1006,$G151))</f>
        <v/>
      </c>
      <c r="J151" s="9" t="str">
        <f ca="1">IF($G151="","",INDEX(BASE_PRODUTOS!$A$2:$A$1006,$G151))</f>
        <v/>
      </c>
      <c r="K151" s="9" t="str">
        <f ca="1">IF($G151="","",INDEX(BASE_PRODUTOS!$C$2:$C$1006,$G151))</f>
        <v/>
      </c>
      <c r="L151" s="9" t="str">
        <f ca="1">IF($G151="","",INDEX(BASE_PRODUTOS!$E$2:$E$1006,$G151))</f>
        <v/>
      </c>
      <c r="M151" s="9" t="str">
        <f ca="1">IF($G151="","",INDEX(BASE_PRODUTOS!$F$2:$F$1006,$G151))</f>
        <v/>
      </c>
      <c r="N151" s="9" t="str">
        <f ca="1">IF($G151="","",INDEX(BASE_PRODUTOS!$G$2:$G$1006,$G151))</f>
        <v/>
      </c>
      <c r="O151" s="9" t="str">
        <f ca="1">IF($G151="","",INDEX(BASE_PRODUTOS!$H$2:$H$1006,$G151))</f>
        <v/>
      </c>
      <c r="P151" s="9" t="str">
        <f ca="1">IF($G151="","",INDEX(BASE_PRODUTOS!$I$2:$I$1006,$G151))</f>
        <v/>
      </c>
      <c r="Q151" s="9" t="str">
        <f ca="1">IF($G151="","",INDEX(BASE_PRODUTOS!$J$2:$J$1006,$G151))</f>
        <v/>
      </c>
      <c r="R151" s="9" t="str">
        <f ca="1">IF($G151="","",INDEX(BASE_PRODUTOS!$M$2:$M$1006,$G151))</f>
        <v/>
      </c>
      <c r="S151" s="9" t="str">
        <f ca="1">IF($G151="","",INDEX(BASE_PRODUTOS!$N$2:$N$1006,$G151))</f>
        <v/>
      </c>
      <c r="T151" s="9" t="str">
        <f ca="1">IF($G151="","",INDEX(BASE_PRODUTOS!$D$2:$D$1006,$G151))</f>
        <v/>
      </c>
    </row>
    <row r="152" spans="7:20" ht="18" customHeight="1" x14ac:dyDescent="0.35">
      <c r="G152" t="str">
        <f ca="1">IFERROR(_xludf.aggregate(15,6,(ROW(BASE_PRODUTOS!$L$2:$L$1006)-ROW(BASE_PRODUTOS!$L$2)+1)/(BASE_PRODUTOS!$L$2:$L$1006&gt;0),ROWS($G$10:G152)),"")</f>
        <v/>
      </c>
      <c r="H152" s="9" t="str">
        <f ca="1">IF($G152="","",INDEX(BASE_PRODUTOS!$B$2:$B$1006,$G152))</f>
        <v/>
      </c>
      <c r="I152" s="9" t="str">
        <f ca="1">IF($G152="","",INDEX(BASE_PRODUTOS!$L$2:$L$1006,$G152))</f>
        <v/>
      </c>
      <c r="J152" s="9" t="str">
        <f ca="1">IF($G152="","",INDEX(BASE_PRODUTOS!$A$2:$A$1006,$G152))</f>
        <v/>
      </c>
      <c r="K152" s="9" t="str">
        <f ca="1">IF($G152="","",INDEX(BASE_PRODUTOS!$C$2:$C$1006,$G152))</f>
        <v/>
      </c>
      <c r="L152" s="9" t="str">
        <f ca="1">IF($G152="","",INDEX(BASE_PRODUTOS!$E$2:$E$1006,$G152))</f>
        <v/>
      </c>
      <c r="M152" s="9" t="str">
        <f ca="1">IF($G152="","",INDEX(BASE_PRODUTOS!$F$2:$F$1006,$G152))</f>
        <v/>
      </c>
      <c r="N152" s="9" t="str">
        <f ca="1">IF($G152="","",INDEX(BASE_PRODUTOS!$G$2:$G$1006,$G152))</f>
        <v/>
      </c>
      <c r="O152" s="9" t="str">
        <f ca="1">IF($G152="","",INDEX(BASE_PRODUTOS!$H$2:$H$1006,$G152))</f>
        <v/>
      </c>
      <c r="P152" s="9" t="str">
        <f ca="1">IF($G152="","",INDEX(BASE_PRODUTOS!$I$2:$I$1006,$G152))</f>
        <v/>
      </c>
      <c r="Q152" s="9" t="str">
        <f ca="1">IF($G152="","",INDEX(BASE_PRODUTOS!$J$2:$J$1006,$G152))</f>
        <v/>
      </c>
      <c r="R152" s="9" t="str">
        <f ca="1">IF($G152="","",INDEX(BASE_PRODUTOS!$M$2:$M$1006,$G152))</f>
        <v/>
      </c>
      <c r="S152" s="9" t="str">
        <f ca="1">IF($G152="","",INDEX(BASE_PRODUTOS!$N$2:$N$1006,$G152))</f>
        <v/>
      </c>
      <c r="T152" s="9" t="str">
        <f ca="1">IF($G152="","",INDEX(BASE_PRODUTOS!$D$2:$D$1006,$G152))</f>
        <v/>
      </c>
    </row>
    <row r="153" spans="7:20" ht="18" customHeight="1" x14ac:dyDescent="0.35">
      <c r="G153" t="str">
        <f ca="1">IFERROR(_xludf.aggregate(15,6,(ROW(BASE_PRODUTOS!$L$2:$L$1006)-ROW(BASE_PRODUTOS!$L$2)+1)/(BASE_PRODUTOS!$L$2:$L$1006&gt;0),ROWS($G$10:G153)),"")</f>
        <v/>
      </c>
      <c r="H153" s="9" t="str">
        <f ca="1">IF($G153="","",INDEX(BASE_PRODUTOS!$B$2:$B$1006,$G153))</f>
        <v/>
      </c>
      <c r="I153" s="9" t="str">
        <f ca="1">IF($G153="","",INDEX(BASE_PRODUTOS!$L$2:$L$1006,$G153))</f>
        <v/>
      </c>
      <c r="J153" s="9" t="str">
        <f ca="1">IF($G153="","",INDEX(BASE_PRODUTOS!$A$2:$A$1006,$G153))</f>
        <v/>
      </c>
      <c r="K153" s="9" t="str">
        <f ca="1">IF($G153="","",INDEX(BASE_PRODUTOS!$C$2:$C$1006,$G153))</f>
        <v/>
      </c>
      <c r="L153" s="9" t="str">
        <f ca="1">IF($G153="","",INDEX(BASE_PRODUTOS!$E$2:$E$1006,$G153))</f>
        <v/>
      </c>
      <c r="M153" s="9" t="str">
        <f ca="1">IF($G153="","",INDEX(BASE_PRODUTOS!$F$2:$F$1006,$G153))</f>
        <v/>
      </c>
      <c r="N153" s="9" t="str">
        <f ca="1">IF($G153="","",INDEX(BASE_PRODUTOS!$G$2:$G$1006,$G153))</f>
        <v/>
      </c>
      <c r="O153" s="9" t="str">
        <f ca="1">IF($G153="","",INDEX(BASE_PRODUTOS!$H$2:$H$1006,$G153))</f>
        <v/>
      </c>
      <c r="P153" s="9" t="str">
        <f ca="1">IF($G153="","",INDEX(BASE_PRODUTOS!$I$2:$I$1006,$G153))</f>
        <v/>
      </c>
      <c r="Q153" s="9" t="str">
        <f ca="1">IF($G153="","",INDEX(BASE_PRODUTOS!$J$2:$J$1006,$G153))</f>
        <v/>
      </c>
      <c r="R153" s="9" t="str">
        <f ca="1">IF($G153="","",INDEX(BASE_PRODUTOS!$M$2:$M$1006,$G153))</f>
        <v/>
      </c>
      <c r="S153" s="9" t="str">
        <f ca="1">IF($G153="","",INDEX(BASE_PRODUTOS!$N$2:$N$1006,$G153))</f>
        <v/>
      </c>
      <c r="T153" s="9" t="str">
        <f ca="1">IF($G153="","",INDEX(BASE_PRODUTOS!$D$2:$D$1006,$G153))</f>
        <v/>
      </c>
    </row>
    <row r="154" spans="7:20" ht="18" customHeight="1" x14ac:dyDescent="0.35">
      <c r="G154" t="str">
        <f ca="1">IFERROR(_xludf.aggregate(15,6,(ROW(BASE_PRODUTOS!$L$2:$L$1006)-ROW(BASE_PRODUTOS!$L$2)+1)/(BASE_PRODUTOS!$L$2:$L$1006&gt;0),ROWS($G$10:G154)),"")</f>
        <v/>
      </c>
      <c r="H154" s="9" t="str">
        <f ca="1">IF($G154="","",INDEX(BASE_PRODUTOS!$B$2:$B$1006,$G154))</f>
        <v/>
      </c>
      <c r="I154" s="9" t="str">
        <f ca="1">IF($G154="","",INDEX(BASE_PRODUTOS!$L$2:$L$1006,$G154))</f>
        <v/>
      </c>
      <c r="J154" s="9" t="str">
        <f ca="1">IF($G154="","",INDEX(BASE_PRODUTOS!$A$2:$A$1006,$G154))</f>
        <v/>
      </c>
      <c r="K154" s="9" t="str">
        <f ca="1">IF($G154="","",INDEX(BASE_PRODUTOS!$C$2:$C$1006,$G154))</f>
        <v/>
      </c>
      <c r="L154" s="9" t="str">
        <f ca="1">IF($G154="","",INDEX(BASE_PRODUTOS!$E$2:$E$1006,$G154))</f>
        <v/>
      </c>
      <c r="M154" s="9" t="str">
        <f ca="1">IF($G154="","",INDEX(BASE_PRODUTOS!$F$2:$F$1006,$G154))</f>
        <v/>
      </c>
      <c r="N154" s="9" t="str">
        <f ca="1">IF($G154="","",INDEX(BASE_PRODUTOS!$G$2:$G$1006,$G154))</f>
        <v/>
      </c>
      <c r="O154" s="9" t="str">
        <f ca="1">IF($G154="","",INDEX(BASE_PRODUTOS!$H$2:$H$1006,$G154))</f>
        <v/>
      </c>
      <c r="P154" s="9" t="str">
        <f ca="1">IF($G154="","",INDEX(BASE_PRODUTOS!$I$2:$I$1006,$G154))</f>
        <v/>
      </c>
      <c r="Q154" s="9" t="str">
        <f ca="1">IF($G154="","",INDEX(BASE_PRODUTOS!$J$2:$J$1006,$G154))</f>
        <v/>
      </c>
      <c r="R154" s="9" t="str">
        <f ca="1">IF($G154="","",INDEX(BASE_PRODUTOS!$M$2:$M$1006,$G154))</f>
        <v/>
      </c>
      <c r="S154" s="9" t="str">
        <f ca="1">IF($G154="","",INDEX(BASE_PRODUTOS!$N$2:$N$1006,$G154))</f>
        <v/>
      </c>
      <c r="T154" s="9" t="str">
        <f ca="1">IF($G154="","",INDEX(BASE_PRODUTOS!$D$2:$D$1006,$G154))</f>
        <v/>
      </c>
    </row>
    <row r="155" spans="7:20" ht="18" customHeight="1" x14ac:dyDescent="0.35">
      <c r="G155" t="str">
        <f ca="1">IFERROR(_xludf.aggregate(15,6,(ROW(BASE_PRODUTOS!$L$2:$L$1006)-ROW(BASE_PRODUTOS!$L$2)+1)/(BASE_PRODUTOS!$L$2:$L$1006&gt;0),ROWS($G$10:G155)),"")</f>
        <v/>
      </c>
      <c r="H155" s="9" t="str">
        <f ca="1">IF($G155="","",INDEX(BASE_PRODUTOS!$B$2:$B$1006,$G155))</f>
        <v/>
      </c>
      <c r="I155" s="9" t="str">
        <f ca="1">IF($G155="","",INDEX(BASE_PRODUTOS!$L$2:$L$1006,$G155))</f>
        <v/>
      </c>
      <c r="J155" s="9" t="str">
        <f ca="1">IF($G155="","",INDEX(BASE_PRODUTOS!$A$2:$A$1006,$G155))</f>
        <v/>
      </c>
      <c r="K155" s="9" t="str">
        <f ca="1">IF($G155="","",INDEX(BASE_PRODUTOS!$C$2:$C$1006,$G155))</f>
        <v/>
      </c>
      <c r="L155" s="9" t="str">
        <f ca="1">IF($G155="","",INDEX(BASE_PRODUTOS!$E$2:$E$1006,$G155))</f>
        <v/>
      </c>
      <c r="M155" s="9" t="str">
        <f ca="1">IF($G155="","",INDEX(BASE_PRODUTOS!$F$2:$F$1006,$G155))</f>
        <v/>
      </c>
      <c r="N155" s="9" t="str">
        <f ca="1">IF($G155="","",INDEX(BASE_PRODUTOS!$G$2:$G$1006,$G155))</f>
        <v/>
      </c>
      <c r="O155" s="9" t="str">
        <f ca="1">IF($G155="","",INDEX(BASE_PRODUTOS!$H$2:$H$1006,$G155))</f>
        <v/>
      </c>
      <c r="P155" s="9" t="str">
        <f ca="1">IF($G155="","",INDEX(BASE_PRODUTOS!$I$2:$I$1006,$G155))</f>
        <v/>
      </c>
      <c r="Q155" s="9" t="str">
        <f ca="1">IF($G155="","",INDEX(BASE_PRODUTOS!$J$2:$J$1006,$G155))</f>
        <v/>
      </c>
      <c r="R155" s="9" t="str">
        <f ca="1">IF($G155="","",INDEX(BASE_PRODUTOS!$M$2:$M$1006,$G155))</f>
        <v/>
      </c>
      <c r="S155" s="9" t="str">
        <f ca="1">IF($G155="","",INDEX(BASE_PRODUTOS!$N$2:$N$1006,$G155))</f>
        <v/>
      </c>
      <c r="T155" s="9" t="str">
        <f ca="1">IF($G155="","",INDEX(BASE_PRODUTOS!$D$2:$D$1006,$G155))</f>
        <v/>
      </c>
    </row>
    <row r="156" spans="7:20" ht="18" customHeight="1" x14ac:dyDescent="0.35">
      <c r="G156" t="str">
        <f ca="1">IFERROR(_xludf.aggregate(15,6,(ROW(BASE_PRODUTOS!$L$2:$L$1006)-ROW(BASE_PRODUTOS!$L$2)+1)/(BASE_PRODUTOS!$L$2:$L$1006&gt;0),ROWS($G$10:G156)),"")</f>
        <v/>
      </c>
      <c r="H156" s="9" t="str">
        <f ca="1">IF($G156="","",INDEX(BASE_PRODUTOS!$B$2:$B$1006,$G156))</f>
        <v/>
      </c>
      <c r="I156" s="9" t="str">
        <f ca="1">IF($G156="","",INDEX(BASE_PRODUTOS!$L$2:$L$1006,$G156))</f>
        <v/>
      </c>
      <c r="J156" s="9" t="str">
        <f ca="1">IF($G156="","",INDEX(BASE_PRODUTOS!$A$2:$A$1006,$G156))</f>
        <v/>
      </c>
      <c r="K156" s="9" t="str">
        <f ca="1">IF($G156="","",INDEX(BASE_PRODUTOS!$C$2:$C$1006,$G156))</f>
        <v/>
      </c>
      <c r="L156" s="9" t="str">
        <f ca="1">IF($G156="","",INDEX(BASE_PRODUTOS!$E$2:$E$1006,$G156))</f>
        <v/>
      </c>
      <c r="M156" s="9" t="str">
        <f ca="1">IF($G156="","",INDEX(BASE_PRODUTOS!$F$2:$F$1006,$G156))</f>
        <v/>
      </c>
      <c r="N156" s="9" t="str">
        <f ca="1">IF($G156="","",INDEX(BASE_PRODUTOS!$G$2:$G$1006,$G156))</f>
        <v/>
      </c>
      <c r="O156" s="9" t="str">
        <f ca="1">IF($G156="","",INDEX(BASE_PRODUTOS!$H$2:$H$1006,$G156))</f>
        <v/>
      </c>
      <c r="P156" s="9" t="str">
        <f ca="1">IF($G156="","",INDEX(BASE_PRODUTOS!$I$2:$I$1006,$G156))</f>
        <v/>
      </c>
      <c r="Q156" s="9" t="str">
        <f ca="1">IF($G156="","",INDEX(BASE_PRODUTOS!$J$2:$J$1006,$G156))</f>
        <v/>
      </c>
      <c r="R156" s="9" t="str">
        <f ca="1">IF($G156="","",INDEX(BASE_PRODUTOS!$M$2:$M$1006,$G156))</f>
        <v/>
      </c>
      <c r="S156" s="9" t="str">
        <f ca="1">IF($G156="","",INDEX(BASE_PRODUTOS!$N$2:$N$1006,$G156))</f>
        <v/>
      </c>
      <c r="T156" s="9" t="str">
        <f ca="1">IF($G156="","",INDEX(BASE_PRODUTOS!$D$2:$D$1006,$G156))</f>
        <v/>
      </c>
    </row>
    <row r="157" spans="7:20" ht="18" customHeight="1" x14ac:dyDescent="0.35">
      <c r="G157" t="str">
        <f ca="1">IFERROR(_xludf.aggregate(15,6,(ROW(BASE_PRODUTOS!$L$2:$L$1006)-ROW(BASE_PRODUTOS!$L$2)+1)/(BASE_PRODUTOS!$L$2:$L$1006&gt;0),ROWS($G$10:G157)),"")</f>
        <v/>
      </c>
      <c r="H157" s="9" t="str">
        <f ca="1">IF($G157="","",INDEX(BASE_PRODUTOS!$B$2:$B$1006,$G157))</f>
        <v/>
      </c>
      <c r="I157" s="9" t="str">
        <f ca="1">IF($G157="","",INDEX(BASE_PRODUTOS!$L$2:$L$1006,$G157))</f>
        <v/>
      </c>
      <c r="J157" s="9" t="str">
        <f ca="1">IF($G157="","",INDEX(BASE_PRODUTOS!$A$2:$A$1006,$G157))</f>
        <v/>
      </c>
      <c r="K157" s="9" t="str">
        <f ca="1">IF($G157="","",INDEX(BASE_PRODUTOS!$C$2:$C$1006,$G157))</f>
        <v/>
      </c>
      <c r="L157" s="9" t="str">
        <f ca="1">IF($G157="","",INDEX(BASE_PRODUTOS!$E$2:$E$1006,$G157))</f>
        <v/>
      </c>
      <c r="M157" s="9" t="str">
        <f ca="1">IF($G157="","",INDEX(BASE_PRODUTOS!$F$2:$F$1006,$G157))</f>
        <v/>
      </c>
      <c r="N157" s="9" t="str">
        <f ca="1">IF($G157="","",INDEX(BASE_PRODUTOS!$G$2:$G$1006,$G157))</f>
        <v/>
      </c>
      <c r="O157" s="9" t="str">
        <f ca="1">IF($G157="","",INDEX(BASE_PRODUTOS!$H$2:$H$1006,$G157))</f>
        <v/>
      </c>
      <c r="P157" s="9" t="str">
        <f ca="1">IF($G157="","",INDEX(BASE_PRODUTOS!$I$2:$I$1006,$G157))</f>
        <v/>
      </c>
      <c r="Q157" s="9" t="str">
        <f ca="1">IF($G157="","",INDEX(BASE_PRODUTOS!$J$2:$J$1006,$G157))</f>
        <v/>
      </c>
      <c r="R157" s="9" t="str">
        <f ca="1">IF($G157="","",INDEX(BASE_PRODUTOS!$M$2:$M$1006,$G157))</f>
        <v/>
      </c>
      <c r="S157" s="9" t="str">
        <f ca="1">IF($G157="","",INDEX(BASE_PRODUTOS!$N$2:$N$1006,$G157))</f>
        <v/>
      </c>
      <c r="T157" s="9" t="str">
        <f ca="1">IF($G157="","",INDEX(BASE_PRODUTOS!$D$2:$D$1006,$G157))</f>
        <v/>
      </c>
    </row>
    <row r="158" spans="7:20" ht="18" customHeight="1" x14ac:dyDescent="0.35">
      <c r="G158" t="str">
        <f ca="1">IFERROR(_xludf.aggregate(15,6,(ROW(BASE_PRODUTOS!$L$2:$L$1006)-ROW(BASE_PRODUTOS!$L$2)+1)/(BASE_PRODUTOS!$L$2:$L$1006&gt;0),ROWS($G$10:G158)),"")</f>
        <v/>
      </c>
      <c r="H158" s="9" t="str">
        <f ca="1">IF($G158="","",INDEX(BASE_PRODUTOS!$B$2:$B$1006,$G158))</f>
        <v/>
      </c>
      <c r="I158" s="9" t="str">
        <f ca="1">IF($G158="","",INDEX(BASE_PRODUTOS!$L$2:$L$1006,$G158))</f>
        <v/>
      </c>
      <c r="J158" s="9" t="str">
        <f ca="1">IF($G158="","",INDEX(BASE_PRODUTOS!$A$2:$A$1006,$G158))</f>
        <v/>
      </c>
      <c r="K158" s="9" t="str">
        <f ca="1">IF($G158="","",INDEX(BASE_PRODUTOS!$C$2:$C$1006,$G158))</f>
        <v/>
      </c>
      <c r="L158" s="9" t="str">
        <f ca="1">IF($G158="","",INDEX(BASE_PRODUTOS!$E$2:$E$1006,$G158))</f>
        <v/>
      </c>
      <c r="M158" s="9" t="str">
        <f ca="1">IF($G158="","",INDEX(BASE_PRODUTOS!$F$2:$F$1006,$G158))</f>
        <v/>
      </c>
      <c r="N158" s="9" t="str">
        <f ca="1">IF($G158="","",INDEX(BASE_PRODUTOS!$G$2:$G$1006,$G158))</f>
        <v/>
      </c>
      <c r="O158" s="9" t="str">
        <f ca="1">IF($G158="","",INDEX(BASE_PRODUTOS!$H$2:$H$1006,$G158))</f>
        <v/>
      </c>
      <c r="P158" s="9" t="str">
        <f ca="1">IF($G158="","",INDEX(BASE_PRODUTOS!$I$2:$I$1006,$G158))</f>
        <v/>
      </c>
      <c r="Q158" s="9" t="str">
        <f ca="1">IF($G158="","",INDEX(BASE_PRODUTOS!$J$2:$J$1006,$G158))</f>
        <v/>
      </c>
      <c r="R158" s="9" t="str">
        <f ca="1">IF($G158="","",INDEX(BASE_PRODUTOS!$M$2:$M$1006,$G158))</f>
        <v/>
      </c>
      <c r="S158" s="9" t="str">
        <f ca="1">IF($G158="","",INDEX(BASE_PRODUTOS!$N$2:$N$1006,$G158))</f>
        <v/>
      </c>
      <c r="T158" s="9" t="str">
        <f ca="1">IF($G158="","",INDEX(BASE_PRODUTOS!$D$2:$D$1006,$G158))</f>
        <v/>
      </c>
    </row>
    <row r="159" spans="7:20" ht="18" customHeight="1" x14ac:dyDescent="0.35">
      <c r="G159" t="str">
        <f ca="1">IFERROR(_xludf.aggregate(15,6,(ROW(BASE_PRODUTOS!$L$2:$L$1006)-ROW(BASE_PRODUTOS!$L$2)+1)/(BASE_PRODUTOS!$L$2:$L$1006&gt;0),ROWS($G$10:G159)),"")</f>
        <v/>
      </c>
      <c r="H159" s="9" t="str">
        <f ca="1">IF($G159="","",INDEX(BASE_PRODUTOS!$B$2:$B$1006,$G159))</f>
        <v/>
      </c>
      <c r="I159" s="9" t="str">
        <f ca="1">IF($G159="","",INDEX(BASE_PRODUTOS!$L$2:$L$1006,$G159))</f>
        <v/>
      </c>
      <c r="J159" s="9" t="str">
        <f ca="1">IF($G159="","",INDEX(BASE_PRODUTOS!$A$2:$A$1006,$G159))</f>
        <v/>
      </c>
      <c r="K159" s="9" t="str">
        <f ca="1">IF($G159="","",INDEX(BASE_PRODUTOS!$C$2:$C$1006,$G159))</f>
        <v/>
      </c>
      <c r="L159" s="9" t="str">
        <f ca="1">IF($G159="","",INDEX(BASE_PRODUTOS!$E$2:$E$1006,$G159))</f>
        <v/>
      </c>
      <c r="M159" s="9" t="str">
        <f ca="1">IF($G159="","",INDEX(BASE_PRODUTOS!$F$2:$F$1006,$G159))</f>
        <v/>
      </c>
      <c r="N159" s="9" t="str">
        <f ca="1">IF($G159="","",INDEX(BASE_PRODUTOS!$G$2:$G$1006,$G159))</f>
        <v/>
      </c>
      <c r="O159" s="9" t="str">
        <f ca="1">IF($G159="","",INDEX(BASE_PRODUTOS!$H$2:$H$1006,$G159))</f>
        <v/>
      </c>
      <c r="P159" s="9" t="str">
        <f ca="1">IF($G159="","",INDEX(BASE_PRODUTOS!$I$2:$I$1006,$G159))</f>
        <v/>
      </c>
      <c r="Q159" s="9" t="str">
        <f ca="1">IF($G159="","",INDEX(BASE_PRODUTOS!$J$2:$J$1006,$G159))</f>
        <v/>
      </c>
      <c r="R159" s="9" t="str">
        <f ca="1">IF($G159="","",INDEX(BASE_PRODUTOS!$M$2:$M$1006,$G159))</f>
        <v/>
      </c>
      <c r="S159" s="9" t="str">
        <f ca="1">IF($G159="","",INDEX(BASE_PRODUTOS!$N$2:$N$1006,$G159))</f>
        <v/>
      </c>
      <c r="T159" s="9" t="str">
        <f ca="1">IF($G159="","",INDEX(BASE_PRODUTOS!$D$2:$D$1006,$G159))</f>
        <v/>
      </c>
    </row>
    <row r="160" spans="7:20" ht="18" customHeight="1" x14ac:dyDescent="0.35">
      <c r="G160" t="str">
        <f ca="1">IFERROR(_xludf.aggregate(15,6,(ROW(BASE_PRODUTOS!$L$2:$L$1006)-ROW(BASE_PRODUTOS!$L$2)+1)/(BASE_PRODUTOS!$L$2:$L$1006&gt;0),ROWS($G$10:G160)),"")</f>
        <v/>
      </c>
      <c r="H160" s="9" t="str">
        <f ca="1">IF($G160="","",INDEX(BASE_PRODUTOS!$B$2:$B$1006,$G160))</f>
        <v/>
      </c>
      <c r="I160" s="9" t="str">
        <f ca="1">IF($G160="","",INDEX(BASE_PRODUTOS!$L$2:$L$1006,$G160))</f>
        <v/>
      </c>
      <c r="J160" s="9" t="str">
        <f ca="1">IF($G160="","",INDEX(BASE_PRODUTOS!$A$2:$A$1006,$G160))</f>
        <v/>
      </c>
      <c r="K160" s="9" t="str">
        <f ca="1">IF($G160="","",INDEX(BASE_PRODUTOS!$C$2:$C$1006,$G160))</f>
        <v/>
      </c>
      <c r="L160" s="9" t="str">
        <f ca="1">IF($G160="","",INDEX(BASE_PRODUTOS!$E$2:$E$1006,$G160))</f>
        <v/>
      </c>
      <c r="M160" s="9" t="str">
        <f ca="1">IF($G160="","",INDEX(BASE_PRODUTOS!$F$2:$F$1006,$G160))</f>
        <v/>
      </c>
      <c r="N160" s="9" t="str">
        <f ca="1">IF($G160="","",INDEX(BASE_PRODUTOS!$G$2:$G$1006,$G160))</f>
        <v/>
      </c>
      <c r="O160" s="9" t="str">
        <f ca="1">IF($G160="","",INDEX(BASE_PRODUTOS!$H$2:$H$1006,$G160))</f>
        <v/>
      </c>
      <c r="P160" s="9" t="str">
        <f ca="1">IF($G160="","",INDEX(BASE_PRODUTOS!$I$2:$I$1006,$G160))</f>
        <v/>
      </c>
      <c r="Q160" s="9" t="str">
        <f ca="1">IF($G160="","",INDEX(BASE_PRODUTOS!$J$2:$J$1006,$G160))</f>
        <v/>
      </c>
      <c r="R160" s="9" t="str">
        <f ca="1">IF($G160="","",INDEX(BASE_PRODUTOS!$M$2:$M$1006,$G160))</f>
        <v/>
      </c>
      <c r="S160" s="9" t="str">
        <f ca="1">IF($G160="","",INDEX(BASE_PRODUTOS!$N$2:$N$1006,$G160))</f>
        <v/>
      </c>
      <c r="T160" s="9" t="str">
        <f ca="1">IF($G160="","",INDEX(BASE_PRODUTOS!$D$2:$D$1006,$G160))</f>
        <v/>
      </c>
    </row>
    <row r="161" spans="7:20" ht="18" customHeight="1" x14ac:dyDescent="0.35">
      <c r="G161" t="str">
        <f ca="1">IFERROR(_xludf.aggregate(15,6,(ROW(BASE_PRODUTOS!$L$2:$L$1006)-ROW(BASE_PRODUTOS!$L$2)+1)/(BASE_PRODUTOS!$L$2:$L$1006&gt;0),ROWS($G$10:G161)),"")</f>
        <v/>
      </c>
      <c r="H161" s="9" t="str">
        <f ca="1">IF($G161="","",INDEX(BASE_PRODUTOS!$B$2:$B$1006,$G161))</f>
        <v/>
      </c>
      <c r="I161" s="9" t="str">
        <f ca="1">IF($G161="","",INDEX(BASE_PRODUTOS!$L$2:$L$1006,$G161))</f>
        <v/>
      </c>
      <c r="J161" s="9" t="str">
        <f ca="1">IF($G161="","",INDEX(BASE_PRODUTOS!$A$2:$A$1006,$G161))</f>
        <v/>
      </c>
      <c r="K161" s="9" t="str">
        <f ca="1">IF($G161="","",INDEX(BASE_PRODUTOS!$C$2:$C$1006,$G161))</f>
        <v/>
      </c>
      <c r="L161" s="9" t="str">
        <f ca="1">IF($G161="","",INDEX(BASE_PRODUTOS!$E$2:$E$1006,$G161))</f>
        <v/>
      </c>
      <c r="M161" s="9" t="str">
        <f ca="1">IF($G161="","",INDEX(BASE_PRODUTOS!$F$2:$F$1006,$G161))</f>
        <v/>
      </c>
      <c r="N161" s="9" t="str">
        <f ca="1">IF($G161="","",INDEX(BASE_PRODUTOS!$G$2:$G$1006,$G161))</f>
        <v/>
      </c>
      <c r="O161" s="9" t="str">
        <f ca="1">IF($G161="","",INDEX(BASE_PRODUTOS!$H$2:$H$1006,$G161))</f>
        <v/>
      </c>
      <c r="P161" s="9" t="str">
        <f ca="1">IF($G161="","",INDEX(BASE_PRODUTOS!$I$2:$I$1006,$G161))</f>
        <v/>
      </c>
      <c r="Q161" s="9" t="str">
        <f ca="1">IF($G161="","",INDEX(BASE_PRODUTOS!$J$2:$J$1006,$G161))</f>
        <v/>
      </c>
      <c r="R161" s="9" t="str">
        <f ca="1">IF($G161="","",INDEX(BASE_PRODUTOS!$M$2:$M$1006,$G161))</f>
        <v/>
      </c>
      <c r="S161" s="9" t="str">
        <f ca="1">IF($G161="","",INDEX(BASE_PRODUTOS!$N$2:$N$1006,$G161))</f>
        <v/>
      </c>
      <c r="T161" s="9" t="str">
        <f ca="1">IF($G161="","",INDEX(BASE_PRODUTOS!$D$2:$D$1006,$G161))</f>
        <v/>
      </c>
    </row>
    <row r="162" spans="7:20" ht="18" customHeight="1" x14ac:dyDescent="0.35">
      <c r="G162" t="str">
        <f ca="1">IFERROR(_xludf.aggregate(15,6,(ROW(BASE_PRODUTOS!$L$2:$L$1006)-ROW(BASE_PRODUTOS!$L$2)+1)/(BASE_PRODUTOS!$L$2:$L$1006&gt;0),ROWS($G$10:G162)),"")</f>
        <v/>
      </c>
      <c r="H162" s="9" t="str">
        <f ca="1">IF($G162="","",INDEX(BASE_PRODUTOS!$B$2:$B$1006,$G162))</f>
        <v/>
      </c>
      <c r="I162" s="9" t="str">
        <f ca="1">IF($G162="","",INDEX(BASE_PRODUTOS!$L$2:$L$1006,$G162))</f>
        <v/>
      </c>
      <c r="J162" s="9" t="str">
        <f ca="1">IF($G162="","",INDEX(BASE_PRODUTOS!$A$2:$A$1006,$G162))</f>
        <v/>
      </c>
      <c r="K162" s="9" t="str">
        <f ca="1">IF($G162="","",INDEX(BASE_PRODUTOS!$C$2:$C$1006,$G162))</f>
        <v/>
      </c>
      <c r="L162" s="9" t="str">
        <f ca="1">IF($G162="","",INDEX(BASE_PRODUTOS!$E$2:$E$1006,$G162))</f>
        <v/>
      </c>
      <c r="M162" s="9" t="str">
        <f ca="1">IF($G162="","",INDEX(BASE_PRODUTOS!$F$2:$F$1006,$G162))</f>
        <v/>
      </c>
      <c r="N162" s="9" t="str">
        <f ca="1">IF($G162="","",INDEX(BASE_PRODUTOS!$G$2:$G$1006,$G162))</f>
        <v/>
      </c>
      <c r="O162" s="9" t="str">
        <f ca="1">IF($G162="","",INDEX(BASE_PRODUTOS!$H$2:$H$1006,$G162))</f>
        <v/>
      </c>
      <c r="P162" s="9" t="str">
        <f ca="1">IF($G162="","",INDEX(BASE_PRODUTOS!$I$2:$I$1006,$G162))</f>
        <v/>
      </c>
      <c r="Q162" s="9" t="str">
        <f ca="1">IF($G162="","",INDEX(BASE_PRODUTOS!$J$2:$J$1006,$G162))</f>
        <v/>
      </c>
      <c r="R162" s="9" t="str">
        <f ca="1">IF($G162="","",INDEX(BASE_PRODUTOS!$M$2:$M$1006,$G162))</f>
        <v/>
      </c>
      <c r="S162" s="9" t="str">
        <f ca="1">IF($G162="","",INDEX(BASE_PRODUTOS!$N$2:$N$1006,$G162))</f>
        <v/>
      </c>
      <c r="T162" s="9" t="str">
        <f ca="1">IF($G162="","",INDEX(BASE_PRODUTOS!$D$2:$D$1006,$G162))</f>
        <v/>
      </c>
    </row>
    <row r="163" spans="7:20" ht="18" customHeight="1" x14ac:dyDescent="0.35">
      <c r="G163" t="str">
        <f ca="1">IFERROR(_xludf.aggregate(15,6,(ROW(BASE_PRODUTOS!$L$2:$L$1006)-ROW(BASE_PRODUTOS!$L$2)+1)/(BASE_PRODUTOS!$L$2:$L$1006&gt;0),ROWS($G$10:G163)),"")</f>
        <v/>
      </c>
      <c r="H163" s="9" t="str">
        <f ca="1">IF($G163="","",INDEX(BASE_PRODUTOS!$B$2:$B$1006,$G163))</f>
        <v/>
      </c>
      <c r="I163" s="9" t="str">
        <f ca="1">IF($G163="","",INDEX(BASE_PRODUTOS!$L$2:$L$1006,$G163))</f>
        <v/>
      </c>
      <c r="J163" s="9" t="str">
        <f ca="1">IF($G163="","",INDEX(BASE_PRODUTOS!$A$2:$A$1006,$G163))</f>
        <v/>
      </c>
      <c r="K163" s="9" t="str">
        <f ca="1">IF($G163="","",INDEX(BASE_PRODUTOS!$C$2:$C$1006,$G163))</f>
        <v/>
      </c>
      <c r="L163" s="9" t="str">
        <f ca="1">IF($G163="","",INDEX(BASE_PRODUTOS!$E$2:$E$1006,$G163))</f>
        <v/>
      </c>
      <c r="M163" s="9" t="str">
        <f ca="1">IF($G163="","",INDEX(BASE_PRODUTOS!$F$2:$F$1006,$G163))</f>
        <v/>
      </c>
      <c r="N163" s="9" t="str">
        <f ca="1">IF($G163="","",INDEX(BASE_PRODUTOS!$G$2:$G$1006,$G163))</f>
        <v/>
      </c>
      <c r="O163" s="9" t="str">
        <f ca="1">IF($G163="","",INDEX(BASE_PRODUTOS!$H$2:$H$1006,$G163))</f>
        <v/>
      </c>
      <c r="P163" s="9" t="str">
        <f ca="1">IF($G163="","",INDEX(BASE_PRODUTOS!$I$2:$I$1006,$G163))</f>
        <v/>
      </c>
      <c r="Q163" s="9" t="str">
        <f ca="1">IF($G163="","",INDEX(BASE_PRODUTOS!$J$2:$J$1006,$G163))</f>
        <v/>
      </c>
      <c r="R163" s="9" t="str">
        <f ca="1">IF($G163="","",INDEX(BASE_PRODUTOS!$M$2:$M$1006,$G163))</f>
        <v/>
      </c>
      <c r="S163" s="9" t="str">
        <f ca="1">IF($G163="","",INDEX(BASE_PRODUTOS!$N$2:$N$1006,$G163))</f>
        <v/>
      </c>
      <c r="T163" s="9" t="str">
        <f ca="1">IF($G163="","",INDEX(BASE_PRODUTOS!$D$2:$D$1006,$G163))</f>
        <v/>
      </c>
    </row>
    <row r="164" spans="7:20" ht="18" customHeight="1" x14ac:dyDescent="0.35">
      <c r="G164" t="str">
        <f ca="1">IFERROR(_xludf.aggregate(15,6,(ROW(BASE_PRODUTOS!$L$2:$L$1006)-ROW(BASE_PRODUTOS!$L$2)+1)/(BASE_PRODUTOS!$L$2:$L$1006&gt;0),ROWS($G$10:G164)),"")</f>
        <v/>
      </c>
      <c r="H164" s="9" t="str">
        <f ca="1">IF($G164="","",INDEX(BASE_PRODUTOS!$B$2:$B$1006,$G164))</f>
        <v/>
      </c>
      <c r="I164" s="9" t="str">
        <f ca="1">IF($G164="","",INDEX(BASE_PRODUTOS!$L$2:$L$1006,$G164))</f>
        <v/>
      </c>
      <c r="J164" s="9" t="str">
        <f ca="1">IF($G164="","",INDEX(BASE_PRODUTOS!$A$2:$A$1006,$G164))</f>
        <v/>
      </c>
      <c r="K164" s="9" t="str">
        <f ca="1">IF($G164="","",INDEX(BASE_PRODUTOS!$C$2:$C$1006,$G164))</f>
        <v/>
      </c>
      <c r="L164" s="9" t="str">
        <f ca="1">IF($G164="","",INDEX(BASE_PRODUTOS!$E$2:$E$1006,$G164))</f>
        <v/>
      </c>
      <c r="M164" s="9" t="str">
        <f ca="1">IF($G164="","",INDEX(BASE_PRODUTOS!$F$2:$F$1006,$G164))</f>
        <v/>
      </c>
      <c r="N164" s="9" t="str">
        <f ca="1">IF($G164="","",INDEX(BASE_PRODUTOS!$G$2:$G$1006,$G164))</f>
        <v/>
      </c>
      <c r="O164" s="9" t="str">
        <f ca="1">IF($G164="","",INDEX(BASE_PRODUTOS!$H$2:$H$1006,$G164))</f>
        <v/>
      </c>
      <c r="P164" s="9" t="str">
        <f ca="1">IF($G164="","",INDEX(BASE_PRODUTOS!$I$2:$I$1006,$G164))</f>
        <v/>
      </c>
      <c r="Q164" s="9" t="str">
        <f ca="1">IF($G164="","",INDEX(BASE_PRODUTOS!$J$2:$J$1006,$G164))</f>
        <v/>
      </c>
      <c r="R164" s="9" t="str">
        <f ca="1">IF($G164="","",INDEX(BASE_PRODUTOS!$M$2:$M$1006,$G164))</f>
        <v/>
      </c>
      <c r="S164" s="9" t="str">
        <f ca="1">IF($G164="","",INDEX(BASE_PRODUTOS!$N$2:$N$1006,$G164))</f>
        <v/>
      </c>
      <c r="T164" s="9" t="str">
        <f ca="1">IF($G164="","",INDEX(BASE_PRODUTOS!$D$2:$D$1006,$G164))</f>
        <v/>
      </c>
    </row>
    <row r="165" spans="7:20" ht="18" customHeight="1" x14ac:dyDescent="0.35">
      <c r="G165" t="str">
        <f ca="1">IFERROR(_xludf.aggregate(15,6,(ROW(BASE_PRODUTOS!$L$2:$L$1006)-ROW(BASE_PRODUTOS!$L$2)+1)/(BASE_PRODUTOS!$L$2:$L$1006&gt;0),ROWS($G$10:G165)),"")</f>
        <v/>
      </c>
      <c r="H165" s="9" t="str">
        <f ca="1">IF($G165="","",INDEX(BASE_PRODUTOS!$B$2:$B$1006,$G165))</f>
        <v/>
      </c>
      <c r="I165" s="9" t="str">
        <f ca="1">IF($G165="","",INDEX(BASE_PRODUTOS!$L$2:$L$1006,$G165))</f>
        <v/>
      </c>
      <c r="J165" s="9" t="str">
        <f ca="1">IF($G165="","",INDEX(BASE_PRODUTOS!$A$2:$A$1006,$G165))</f>
        <v/>
      </c>
      <c r="K165" s="9" t="str">
        <f ca="1">IF($G165="","",INDEX(BASE_PRODUTOS!$C$2:$C$1006,$G165))</f>
        <v/>
      </c>
      <c r="L165" s="9" t="str">
        <f ca="1">IF($G165="","",INDEX(BASE_PRODUTOS!$E$2:$E$1006,$G165))</f>
        <v/>
      </c>
      <c r="M165" s="9" t="str">
        <f ca="1">IF($G165="","",INDEX(BASE_PRODUTOS!$F$2:$F$1006,$G165))</f>
        <v/>
      </c>
      <c r="N165" s="9" t="str">
        <f ca="1">IF($G165="","",INDEX(BASE_PRODUTOS!$G$2:$G$1006,$G165))</f>
        <v/>
      </c>
      <c r="O165" s="9" t="str">
        <f ca="1">IF($G165="","",INDEX(BASE_PRODUTOS!$H$2:$H$1006,$G165))</f>
        <v/>
      </c>
      <c r="P165" s="9" t="str">
        <f ca="1">IF($G165="","",INDEX(BASE_PRODUTOS!$I$2:$I$1006,$G165))</f>
        <v/>
      </c>
      <c r="Q165" s="9" t="str">
        <f ca="1">IF($G165="","",INDEX(BASE_PRODUTOS!$J$2:$J$1006,$G165))</f>
        <v/>
      </c>
      <c r="R165" s="9" t="str">
        <f ca="1">IF($G165="","",INDEX(BASE_PRODUTOS!$M$2:$M$1006,$G165))</f>
        <v/>
      </c>
      <c r="S165" s="9" t="str">
        <f ca="1">IF($G165="","",INDEX(BASE_PRODUTOS!$N$2:$N$1006,$G165))</f>
        <v/>
      </c>
      <c r="T165" s="9" t="str">
        <f ca="1">IF($G165="","",INDEX(BASE_PRODUTOS!$D$2:$D$1006,$G165))</f>
        <v/>
      </c>
    </row>
    <row r="166" spans="7:20" ht="18" customHeight="1" x14ac:dyDescent="0.35">
      <c r="G166" t="str">
        <f ca="1">IFERROR(_xludf.aggregate(15,6,(ROW(BASE_PRODUTOS!$L$2:$L$1006)-ROW(BASE_PRODUTOS!$L$2)+1)/(BASE_PRODUTOS!$L$2:$L$1006&gt;0),ROWS($G$10:G166)),"")</f>
        <v/>
      </c>
      <c r="H166" s="9" t="str">
        <f ca="1">IF($G166="","",INDEX(BASE_PRODUTOS!$B$2:$B$1006,$G166))</f>
        <v/>
      </c>
      <c r="I166" s="9" t="str">
        <f ca="1">IF($G166="","",INDEX(BASE_PRODUTOS!$L$2:$L$1006,$G166))</f>
        <v/>
      </c>
      <c r="J166" s="9" t="str">
        <f ca="1">IF($G166="","",INDEX(BASE_PRODUTOS!$A$2:$A$1006,$G166))</f>
        <v/>
      </c>
      <c r="K166" s="9" t="str">
        <f ca="1">IF($G166="","",INDEX(BASE_PRODUTOS!$C$2:$C$1006,$G166))</f>
        <v/>
      </c>
      <c r="L166" s="9" t="str">
        <f ca="1">IF($G166="","",INDEX(BASE_PRODUTOS!$E$2:$E$1006,$G166))</f>
        <v/>
      </c>
      <c r="M166" s="9" t="str">
        <f ca="1">IF($G166="","",INDEX(BASE_PRODUTOS!$F$2:$F$1006,$G166))</f>
        <v/>
      </c>
      <c r="N166" s="9" t="str">
        <f ca="1">IF($G166="","",INDEX(BASE_PRODUTOS!$G$2:$G$1006,$G166))</f>
        <v/>
      </c>
      <c r="O166" s="9" t="str">
        <f ca="1">IF($G166="","",INDEX(BASE_PRODUTOS!$H$2:$H$1006,$G166))</f>
        <v/>
      </c>
      <c r="P166" s="9" t="str">
        <f ca="1">IF($G166="","",INDEX(BASE_PRODUTOS!$I$2:$I$1006,$G166))</f>
        <v/>
      </c>
      <c r="Q166" s="9" t="str">
        <f ca="1">IF($G166="","",INDEX(BASE_PRODUTOS!$J$2:$J$1006,$G166))</f>
        <v/>
      </c>
      <c r="R166" s="9" t="str">
        <f ca="1">IF($G166="","",INDEX(BASE_PRODUTOS!$M$2:$M$1006,$G166))</f>
        <v/>
      </c>
      <c r="S166" s="9" t="str">
        <f ca="1">IF($G166="","",INDEX(BASE_PRODUTOS!$N$2:$N$1006,$G166))</f>
        <v/>
      </c>
      <c r="T166" s="9" t="str">
        <f ca="1">IF($G166="","",INDEX(BASE_PRODUTOS!$D$2:$D$1006,$G166))</f>
        <v/>
      </c>
    </row>
    <row r="167" spans="7:20" ht="18" customHeight="1" x14ac:dyDescent="0.35">
      <c r="G167" t="str">
        <f ca="1">IFERROR(_xludf.aggregate(15,6,(ROW(BASE_PRODUTOS!$L$2:$L$1006)-ROW(BASE_PRODUTOS!$L$2)+1)/(BASE_PRODUTOS!$L$2:$L$1006&gt;0),ROWS($G$10:G167)),"")</f>
        <v/>
      </c>
      <c r="H167" s="9" t="str">
        <f ca="1">IF($G167="","",INDEX(BASE_PRODUTOS!$B$2:$B$1006,$G167))</f>
        <v/>
      </c>
      <c r="I167" s="9" t="str">
        <f ca="1">IF($G167="","",INDEX(BASE_PRODUTOS!$L$2:$L$1006,$G167))</f>
        <v/>
      </c>
      <c r="J167" s="9" t="str">
        <f ca="1">IF($G167="","",INDEX(BASE_PRODUTOS!$A$2:$A$1006,$G167))</f>
        <v/>
      </c>
      <c r="K167" s="9" t="str">
        <f ca="1">IF($G167="","",INDEX(BASE_PRODUTOS!$C$2:$C$1006,$G167))</f>
        <v/>
      </c>
      <c r="L167" s="9" t="str">
        <f ca="1">IF($G167="","",INDEX(BASE_PRODUTOS!$E$2:$E$1006,$G167))</f>
        <v/>
      </c>
      <c r="M167" s="9" t="str">
        <f ca="1">IF($G167="","",INDEX(BASE_PRODUTOS!$F$2:$F$1006,$G167))</f>
        <v/>
      </c>
      <c r="N167" s="9" t="str">
        <f ca="1">IF($G167="","",INDEX(BASE_PRODUTOS!$G$2:$G$1006,$G167))</f>
        <v/>
      </c>
      <c r="O167" s="9" t="str">
        <f ca="1">IF($G167="","",INDEX(BASE_PRODUTOS!$H$2:$H$1006,$G167))</f>
        <v/>
      </c>
      <c r="P167" s="9" t="str">
        <f ca="1">IF($G167="","",INDEX(BASE_PRODUTOS!$I$2:$I$1006,$G167))</f>
        <v/>
      </c>
      <c r="Q167" s="9" t="str">
        <f ca="1">IF($G167="","",INDEX(BASE_PRODUTOS!$J$2:$J$1006,$G167))</f>
        <v/>
      </c>
      <c r="R167" s="9" t="str">
        <f ca="1">IF($G167="","",INDEX(BASE_PRODUTOS!$M$2:$M$1006,$G167))</f>
        <v/>
      </c>
      <c r="S167" s="9" t="str">
        <f ca="1">IF($G167="","",INDEX(BASE_PRODUTOS!$N$2:$N$1006,$G167))</f>
        <v/>
      </c>
      <c r="T167" s="9" t="str">
        <f ca="1">IF($G167="","",INDEX(BASE_PRODUTOS!$D$2:$D$1006,$G167))</f>
        <v/>
      </c>
    </row>
    <row r="168" spans="7:20" ht="18" customHeight="1" x14ac:dyDescent="0.35">
      <c r="G168" t="str">
        <f ca="1">IFERROR(_xludf.aggregate(15,6,(ROW(BASE_PRODUTOS!$L$2:$L$1006)-ROW(BASE_PRODUTOS!$L$2)+1)/(BASE_PRODUTOS!$L$2:$L$1006&gt;0),ROWS($G$10:G168)),"")</f>
        <v/>
      </c>
      <c r="H168" s="9" t="str">
        <f ca="1">IF($G168="","",INDEX(BASE_PRODUTOS!$B$2:$B$1006,$G168))</f>
        <v/>
      </c>
      <c r="I168" s="9" t="str">
        <f ca="1">IF($G168="","",INDEX(BASE_PRODUTOS!$L$2:$L$1006,$G168))</f>
        <v/>
      </c>
      <c r="J168" s="9" t="str">
        <f ca="1">IF($G168="","",INDEX(BASE_PRODUTOS!$A$2:$A$1006,$G168))</f>
        <v/>
      </c>
      <c r="K168" s="9" t="str">
        <f ca="1">IF($G168="","",INDEX(BASE_PRODUTOS!$C$2:$C$1006,$G168))</f>
        <v/>
      </c>
      <c r="L168" s="9" t="str">
        <f ca="1">IF($G168="","",INDEX(BASE_PRODUTOS!$E$2:$E$1006,$G168))</f>
        <v/>
      </c>
      <c r="M168" s="9" t="str">
        <f ca="1">IF($G168="","",INDEX(BASE_PRODUTOS!$F$2:$F$1006,$G168))</f>
        <v/>
      </c>
      <c r="N168" s="9" t="str">
        <f ca="1">IF($G168="","",INDEX(BASE_PRODUTOS!$G$2:$G$1006,$G168))</f>
        <v/>
      </c>
      <c r="O168" s="9" t="str">
        <f ca="1">IF($G168="","",INDEX(BASE_PRODUTOS!$H$2:$H$1006,$G168))</f>
        <v/>
      </c>
      <c r="P168" s="9" t="str">
        <f ca="1">IF($G168="","",INDEX(BASE_PRODUTOS!$I$2:$I$1006,$G168))</f>
        <v/>
      </c>
      <c r="Q168" s="9" t="str">
        <f ca="1">IF($G168="","",INDEX(BASE_PRODUTOS!$J$2:$J$1006,$G168))</f>
        <v/>
      </c>
      <c r="R168" s="9" t="str">
        <f ca="1">IF($G168="","",INDEX(BASE_PRODUTOS!$M$2:$M$1006,$G168))</f>
        <v/>
      </c>
      <c r="S168" s="9" t="str">
        <f ca="1">IF($G168="","",INDEX(BASE_PRODUTOS!$N$2:$N$1006,$G168))</f>
        <v/>
      </c>
      <c r="T168" s="9" t="str">
        <f ca="1">IF($G168="","",INDEX(BASE_PRODUTOS!$D$2:$D$1006,$G168))</f>
        <v/>
      </c>
    </row>
    <row r="169" spans="7:20" ht="18" customHeight="1" x14ac:dyDescent="0.35">
      <c r="G169" t="str">
        <f ca="1">IFERROR(_xludf.aggregate(15,6,(ROW(BASE_PRODUTOS!$L$2:$L$1006)-ROW(BASE_PRODUTOS!$L$2)+1)/(BASE_PRODUTOS!$L$2:$L$1006&gt;0),ROWS($G$10:G169)),"")</f>
        <v/>
      </c>
      <c r="H169" s="9" t="str">
        <f ca="1">IF($G169="","",INDEX(BASE_PRODUTOS!$B$2:$B$1006,$G169))</f>
        <v/>
      </c>
      <c r="I169" s="9" t="str">
        <f ca="1">IF($G169="","",INDEX(BASE_PRODUTOS!$L$2:$L$1006,$G169))</f>
        <v/>
      </c>
      <c r="J169" s="9" t="str">
        <f ca="1">IF($G169="","",INDEX(BASE_PRODUTOS!$A$2:$A$1006,$G169))</f>
        <v/>
      </c>
      <c r="K169" s="9" t="str">
        <f ca="1">IF($G169="","",INDEX(BASE_PRODUTOS!$C$2:$C$1006,$G169))</f>
        <v/>
      </c>
      <c r="L169" s="9" t="str">
        <f ca="1">IF($G169="","",INDEX(BASE_PRODUTOS!$E$2:$E$1006,$G169))</f>
        <v/>
      </c>
      <c r="M169" s="9" t="str">
        <f ca="1">IF($G169="","",INDEX(BASE_PRODUTOS!$F$2:$F$1006,$G169))</f>
        <v/>
      </c>
      <c r="N169" s="9" t="str">
        <f ca="1">IF($G169="","",INDEX(BASE_PRODUTOS!$G$2:$G$1006,$G169))</f>
        <v/>
      </c>
      <c r="O169" s="9" t="str">
        <f ca="1">IF($G169="","",INDEX(BASE_PRODUTOS!$H$2:$H$1006,$G169))</f>
        <v/>
      </c>
      <c r="P169" s="9" t="str">
        <f ca="1">IF($G169="","",INDEX(BASE_PRODUTOS!$I$2:$I$1006,$G169))</f>
        <v/>
      </c>
      <c r="Q169" s="9" t="str">
        <f ca="1">IF($G169="","",INDEX(BASE_PRODUTOS!$J$2:$J$1006,$G169))</f>
        <v/>
      </c>
      <c r="R169" s="9" t="str">
        <f ca="1">IF($G169="","",INDEX(BASE_PRODUTOS!$M$2:$M$1006,$G169))</f>
        <v/>
      </c>
      <c r="S169" s="9" t="str">
        <f ca="1">IF($G169="","",INDEX(BASE_PRODUTOS!$N$2:$N$1006,$G169))</f>
        <v/>
      </c>
      <c r="T169" s="9" t="str">
        <f ca="1">IF($G169="","",INDEX(BASE_PRODUTOS!$D$2:$D$1006,$G169))</f>
        <v/>
      </c>
    </row>
    <row r="170" spans="7:20" ht="18" customHeight="1" x14ac:dyDescent="0.35">
      <c r="G170" t="str">
        <f ca="1">IFERROR(_xludf.aggregate(15,6,(ROW(BASE_PRODUTOS!$L$2:$L$1006)-ROW(BASE_PRODUTOS!$L$2)+1)/(BASE_PRODUTOS!$L$2:$L$1006&gt;0),ROWS($G$10:G170)),"")</f>
        <v/>
      </c>
      <c r="H170" s="9" t="str">
        <f ca="1">IF($G170="","",INDEX(BASE_PRODUTOS!$B$2:$B$1006,$G170))</f>
        <v/>
      </c>
      <c r="I170" s="9" t="str">
        <f ca="1">IF($G170="","",INDEX(BASE_PRODUTOS!$L$2:$L$1006,$G170))</f>
        <v/>
      </c>
      <c r="J170" s="9" t="str">
        <f ca="1">IF($G170="","",INDEX(BASE_PRODUTOS!$A$2:$A$1006,$G170))</f>
        <v/>
      </c>
      <c r="K170" s="9" t="str">
        <f ca="1">IF($G170="","",INDEX(BASE_PRODUTOS!$C$2:$C$1006,$G170))</f>
        <v/>
      </c>
      <c r="L170" s="9" t="str">
        <f ca="1">IF($G170="","",INDEX(BASE_PRODUTOS!$E$2:$E$1006,$G170))</f>
        <v/>
      </c>
      <c r="M170" s="9" t="str">
        <f ca="1">IF($G170="","",INDEX(BASE_PRODUTOS!$F$2:$F$1006,$G170))</f>
        <v/>
      </c>
      <c r="N170" s="9" t="str">
        <f ca="1">IF($G170="","",INDEX(BASE_PRODUTOS!$G$2:$G$1006,$G170))</f>
        <v/>
      </c>
      <c r="O170" s="9" t="str">
        <f ca="1">IF($G170="","",INDEX(BASE_PRODUTOS!$H$2:$H$1006,$G170))</f>
        <v/>
      </c>
      <c r="P170" s="9" t="str">
        <f ca="1">IF($G170="","",INDEX(BASE_PRODUTOS!$I$2:$I$1006,$G170))</f>
        <v/>
      </c>
      <c r="Q170" s="9" t="str">
        <f ca="1">IF($G170="","",INDEX(BASE_PRODUTOS!$J$2:$J$1006,$G170))</f>
        <v/>
      </c>
      <c r="R170" s="9" t="str">
        <f ca="1">IF($G170="","",INDEX(BASE_PRODUTOS!$M$2:$M$1006,$G170))</f>
        <v/>
      </c>
      <c r="S170" s="9" t="str">
        <f ca="1">IF($G170="","",INDEX(BASE_PRODUTOS!$N$2:$N$1006,$G170))</f>
        <v/>
      </c>
      <c r="T170" s="9" t="str">
        <f ca="1">IF($G170="","",INDEX(BASE_PRODUTOS!$D$2:$D$1006,$G170))</f>
        <v/>
      </c>
    </row>
    <row r="171" spans="7:20" ht="18" customHeight="1" x14ac:dyDescent="0.35">
      <c r="G171" t="str">
        <f ca="1">IFERROR(_xludf.aggregate(15,6,(ROW(BASE_PRODUTOS!$L$2:$L$1006)-ROW(BASE_PRODUTOS!$L$2)+1)/(BASE_PRODUTOS!$L$2:$L$1006&gt;0),ROWS($G$10:G171)),"")</f>
        <v/>
      </c>
      <c r="H171" s="9" t="str">
        <f ca="1">IF($G171="","",INDEX(BASE_PRODUTOS!$B$2:$B$1006,$G171))</f>
        <v/>
      </c>
      <c r="I171" s="9" t="str">
        <f ca="1">IF($G171="","",INDEX(BASE_PRODUTOS!$L$2:$L$1006,$G171))</f>
        <v/>
      </c>
      <c r="J171" s="9" t="str">
        <f ca="1">IF($G171="","",INDEX(BASE_PRODUTOS!$A$2:$A$1006,$G171))</f>
        <v/>
      </c>
      <c r="K171" s="9" t="str">
        <f ca="1">IF($G171="","",INDEX(BASE_PRODUTOS!$C$2:$C$1006,$G171))</f>
        <v/>
      </c>
      <c r="L171" s="9" t="str">
        <f ca="1">IF($G171="","",INDEX(BASE_PRODUTOS!$E$2:$E$1006,$G171))</f>
        <v/>
      </c>
      <c r="M171" s="9" t="str">
        <f ca="1">IF($G171="","",INDEX(BASE_PRODUTOS!$F$2:$F$1006,$G171))</f>
        <v/>
      </c>
      <c r="N171" s="9" t="str">
        <f ca="1">IF($G171="","",INDEX(BASE_PRODUTOS!$G$2:$G$1006,$G171))</f>
        <v/>
      </c>
      <c r="O171" s="9" t="str">
        <f ca="1">IF($G171="","",INDEX(BASE_PRODUTOS!$H$2:$H$1006,$G171))</f>
        <v/>
      </c>
      <c r="P171" s="9" t="str">
        <f ca="1">IF($G171="","",INDEX(BASE_PRODUTOS!$I$2:$I$1006,$G171))</f>
        <v/>
      </c>
      <c r="Q171" s="9" t="str">
        <f ca="1">IF($G171="","",INDEX(BASE_PRODUTOS!$J$2:$J$1006,$G171))</f>
        <v/>
      </c>
      <c r="R171" s="9" t="str">
        <f ca="1">IF($G171="","",INDEX(BASE_PRODUTOS!$M$2:$M$1006,$G171))</f>
        <v/>
      </c>
      <c r="S171" s="9" t="str">
        <f ca="1">IF($G171="","",INDEX(BASE_PRODUTOS!$N$2:$N$1006,$G171))</f>
        <v/>
      </c>
      <c r="T171" s="9" t="str">
        <f ca="1">IF($G171="","",INDEX(BASE_PRODUTOS!$D$2:$D$1006,$G171))</f>
        <v/>
      </c>
    </row>
    <row r="172" spans="7:20" ht="18" customHeight="1" x14ac:dyDescent="0.35">
      <c r="G172" t="str">
        <f ca="1">IFERROR(_xludf.aggregate(15,6,(ROW(BASE_PRODUTOS!$L$2:$L$1006)-ROW(BASE_PRODUTOS!$L$2)+1)/(BASE_PRODUTOS!$L$2:$L$1006&gt;0),ROWS($G$10:G172)),"")</f>
        <v/>
      </c>
      <c r="H172" s="9" t="str">
        <f ca="1">IF($G172="","",INDEX(BASE_PRODUTOS!$B$2:$B$1006,$G172))</f>
        <v/>
      </c>
      <c r="I172" s="9" t="str">
        <f ca="1">IF($G172="","",INDEX(BASE_PRODUTOS!$L$2:$L$1006,$G172))</f>
        <v/>
      </c>
      <c r="J172" s="9" t="str">
        <f ca="1">IF($G172="","",INDEX(BASE_PRODUTOS!$A$2:$A$1006,$G172))</f>
        <v/>
      </c>
      <c r="K172" s="9" t="str">
        <f ca="1">IF($G172="","",INDEX(BASE_PRODUTOS!$C$2:$C$1006,$G172))</f>
        <v/>
      </c>
      <c r="L172" s="9" t="str">
        <f ca="1">IF($G172="","",INDEX(BASE_PRODUTOS!$E$2:$E$1006,$G172))</f>
        <v/>
      </c>
      <c r="M172" s="9" t="str">
        <f ca="1">IF($G172="","",INDEX(BASE_PRODUTOS!$F$2:$F$1006,$G172))</f>
        <v/>
      </c>
      <c r="N172" s="9" t="str">
        <f ca="1">IF($G172="","",INDEX(BASE_PRODUTOS!$G$2:$G$1006,$G172))</f>
        <v/>
      </c>
      <c r="O172" s="9" t="str">
        <f ca="1">IF($G172="","",INDEX(BASE_PRODUTOS!$H$2:$H$1006,$G172))</f>
        <v/>
      </c>
      <c r="P172" s="9" t="str">
        <f ca="1">IF($G172="","",INDEX(BASE_PRODUTOS!$I$2:$I$1006,$G172))</f>
        <v/>
      </c>
      <c r="Q172" s="9" t="str">
        <f ca="1">IF($G172="","",INDEX(BASE_PRODUTOS!$J$2:$J$1006,$G172))</f>
        <v/>
      </c>
      <c r="R172" s="9" t="str">
        <f ca="1">IF($G172="","",INDEX(BASE_PRODUTOS!$M$2:$M$1006,$G172))</f>
        <v/>
      </c>
      <c r="S172" s="9" t="str">
        <f ca="1">IF($G172="","",INDEX(BASE_PRODUTOS!$N$2:$N$1006,$G172))</f>
        <v/>
      </c>
      <c r="T172" s="9" t="str">
        <f ca="1">IF($G172="","",INDEX(BASE_PRODUTOS!$D$2:$D$1006,$G172))</f>
        <v/>
      </c>
    </row>
    <row r="173" spans="7:20" ht="18" customHeight="1" x14ac:dyDescent="0.35">
      <c r="G173" t="str">
        <f ca="1">IFERROR(_xludf.aggregate(15,6,(ROW(BASE_PRODUTOS!$L$2:$L$1006)-ROW(BASE_PRODUTOS!$L$2)+1)/(BASE_PRODUTOS!$L$2:$L$1006&gt;0),ROWS($G$10:G173)),"")</f>
        <v/>
      </c>
      <c r="H173" s="9" t="str">
        <f ca="1">IF($G173="","",INDEX(BASE_PRODUTOS!$B$2:$B$1006,$G173))</f>
        <v/>
      </c>
      <c r="I173" s="9" t="str">
        <f ca="1">IF($G173="","",INDEX(BASE_PRODUTOS!$L$2:$L$1006,$G173))</f>
        <v/>
      </c>
      <c r="J173" s="9" t="str">
        <f ca="1">IF($G173="","",INDEX(BASE_PRODUTOS!$A$2:$A$1006,$G173))</f>
        <v/>
      </c>
      <c r="K173" s="9" t="str">
        <f ca="1">IF($G173="","",INDEX(BASE_PRODUTOS!$C$2:$C$1006,$G173))</f>
        <v/>
      </c>
      <c r="L173" s="9" t="str">
        <f ca="1">IF($G173="","",INDEX(BASE_PRODUTOS!$E$2:$E$1006,$G173))</f>
        <v/>
      </c>
      <c r="M173" s="9" t="str">
        <f ca="1">IF($G173="","",INDEX(BASE_PRODUTOS!$F$2:$F$1006,$G173))</f>
        <v/>
      </c>
      <c r="N173" s="9" t="str">
        <f ca="1">IF($G173="","",INDEX(BASE_PRODUTOS!$G$2:$G$1006,$G173))</f>
        <v/>
      </c>
      <c r="O173" s="9" t="str">
        <f ca="1">IF($G173="","",INDEX(BASE_PRODUTOS!$H$2:$H$1006,$G173))</f>
        <v/>
      </c>
      <c r="P173" s="9" t="str">
        <f ca="1">IF($G173="","",INDEX(BASE_PRODUTOS!$I$2:$I$1006,$G173))</f>
        <v/>
      </c>
      <c r="Q173" s="9" t="str">
        <f ca="1">IF($G173="","",INDEX(BASE_PRODUTOS!$J$2:$J$1006,$G173))</f>
        <v/>
      </c>
      <c r="R173" s="9" t="str">
        <f ca="1">IF($G173="","",INDEX(BASE_PRODUTOS!$M$2:$M$1006,$G173))</f>
        <v/>
      </c>
      <c r="S173" s="9" t="str">
        <f ca="1">IF($G173="","",INDEX(BASE_PRODUTOS!$N$2:$N$1006,$G173))</f>
        <v/>
      </c>
      <c r="T173" s="9" t="str">
        <f ca="1">IF($G173="","",INDEX(BASE_PRODUTOS!$D$2:$D$1006,$G173))</f>
        <v/>
      </c>
    </row>
    <row r="174" spans="7:20" ht="18" customHeight="1" x14ac:dyDescent="0.35">
      <c r="G174" t="str">
        <f ca="1">IFERROR(_xludf.aggregate(15,6,(ROW(BASE_PRODUTOS!$L$2:$L$1006)-ROW(BASE_PRODUTOS!$L$2)+1)/(BASE_PRODUTOS!$L$2:$L$1006&gt;0),ROWS($G$10:G174)),"")</f>
        <v/>
      </c>
      <c r="H174" s="9" t="str">
        <f ca="1">IF($G174="","",INDEX(BASE_PRODUTOS!$B$2:$B$1006,$G174))</f>
        <v/>
      </c>
      <c r="I174" s="9" t="str">
        <f ca="1">IF($G174="","",INDEX(BASE_PRODUTOS!$L$2:$L$1006,$G174))</f>
        <v/>
      </c>
      <c r="J174" s="9" t="str">
        <f ca="1">IF($G174="","",INDEX(BASE_PRODUTOS!$A$2:$A$1006,$G174))</f>
        <v/>
      </c>
      <c r="K174" s="9" t="str">
        <f ca="1">IF($G174="","",INDEX(BASE_PRODUTOS!$C$2:$C$1006,$G174))</f>
        <v/>
      </c>
      <c r="L174" s="9" t="str">
        <f ca="1">IF($G174="","",INDEX(BASE_PRODUTOS!$E$2:$E$1006,$G174))</f>
        <v/>
      </c>
      <c r="M174" s="9" t="str">
        <f ca="1">IF($G174="","",INDEX(BASE_PRODUTOS!$F$2:$F$1006,$G174))</f>
        <v/>
      </c>
      <c r="N174" s="9" t="str">
        <f ca="1">IF($G174="","",INDEX(BASE_PRODUTOS!$G$2:$G$1006,$G174))</f>
        <v/>
      </c>
      <c r="O174" s="9" t="str">
        <f ca="1">IF($G174="","",INDEX(BASE_PRODUTOS!$H$2:$H$1006,$G174))</f>
        <v/>
      </c>
      <c r="P174" s="9" t="str">
        <f ca="1">IF($G174="","",INDEX(BASE_PRODUTOS!$I$2:$I$1006,$G174))</f>
        <v/>
      </c>
      <c r="Q174" s="9" t="str">
        <f ca="1">IF($G174="","",INDEX(BASE_PRODUTOS!$J$2:$J$1006,$G174))</f>
        <v/>
      </c>
      <c r="R174" s="9" t="str">
        <f ca="1">IF($G174="","",INDEX(BASE_PRODUTOS!$M$2:$M$1006,$G174))</f>
        <v/>
      </c>
      <c r="S174" s="9" t="str">
        <f ca="1">IF($G174="","",INDEX(BASE_PRODUTOS!$N$2:$N$1006,$G174))</f>
        <v/>
      </c>
      <c r="T174" s="9" t="str">
        <f ca="1">IF($G174="","",INDEX(BASE_PRODUTOS!$D$2:$D$1006,$G174))</f>
        <v/>
      </c>
    </row>
    <row r="175" spans="7:20" ht="18" customHeight="1" x14ac:dyDescent="0.35">
      <c r="G175" t="str">
        <f ca="1">IFERROR(_xludf.aggregate(15,6,(ROW(BASE_PRODUTOS!$L$2:$L$1006)-ROW(BASE_PRODUTOS!$L$2)+1)/(BASE_PRODUTOS!$L$2:$L$1006&gt;0),ROWS($G$10:G175)),"")</f>
        <v/>
      </c>
      <c r="H175" s="9" t="str">
        <f ca="1">IF($G175="","",INDEX(BASE_PRODUTOS!$B$2:$B$1006,$G175))</f>
        <v/>
      </c>
      <c r="I175" s="9" t="str">
        <f ca="1">IF($G175="","",INDEX(BASE_PRODUTOS!$L$2:$L$1006,$G175))</f>
        <v/>
      </c>
      <c r="J175" s="9" t="str">
        <f ca="1">IF($G175="","",INDEX(BASE_PRODUTOS!$A$2:$A$1006,$G175))</f>
        <v/>
      </c>
      <c r="K175" s="9" t="str">
        <f ca="1">IF($G175="","",INDEX(BASE_PRODUTOS!$C$2:$C$1006,$G175))</f>
        <v/>
      </c>
      <c r="L175" s="9" t="str">
        <f ca="1">IF($G175="","",INDEX(BASE_PRODUTOS!$E$2:$E$1006,$G175))</f>
        <v/>
      </c>
      <c r="M175" s="9" t="str">
        <f ca="1">IF($G175="","",INDEX(BASE_PRODUTOS!$F$2:$F$1006,$G175))</f>
        <v/>
      </c>
      <c r="N175" s="9" t="str">
        <f ca="1">IF($G175="","",INDEX(BASE_PRODUTOS!$G$2:$G$1006,$G175))</f>
        <v/>
      </c>
      <c r="O175" s="9" t="str">
        <f ca="1">IF($G175="","",INDEX(BASE_PRODUTOS!$H$2:$H$1006,$G175))</f>
        <v/>
      </c>
      <c r="P175" s="9" t="str">
        <f ca="1">IF($G175="","",INDEX(BASE_PRODUTOS!$I$2:$I$1006,$G175))</f>
        <v/>
      </c>
      <c r="Q175" s="9" t="str">
        <f ca="1">IF($G175="","",INDEX(BASE_PRODUTOS!$J$2:$J$1006,$G175))</f>
        <v/>
      </c>
      <c r="R175" s="9" t="str">
        <f ca="1">IF($G175="","",INDEX(BASE_PRODUTOS!$M$2:$M$1006,$G175))</f>
        <v/>
      </c>
      <c r="S175" s="9" t="str">
        <f ca="1">IF($G175="","",INDEX(BASE_PRODUTOS!$N$2:$N$1006,$G175))</f>
        <v/>
      </c>
      <c r="T175" s="9" t="str">
        <f ca="1">IF($G175="","",INDEX(BASE_PRODUTOS!$D$2:$D$1006,$G175))</f>
        <v/>
      </c>
    </row>
    <row r="176" spans="7:20" ht="18" customHeight="1" x14ac:dyDescent="0.35">
      <c r="G176" t="str">
        <f ca="1">IFERROR(_xludf.aggregate(15,6,(ROW(BASE_PRODUTOS!$L$2:$L$1006)-ROW(BASE_PRODUTOS!$L$2)+1)/(BASE_PRODUTOS!$L$2:$L$1006&gt;0),ROWS($G$10:G176)),"")</f>
        <v/>
      </c>
      <c r="H176" s="9" t="str">
        <f ca="1">IF($G176="","",INDEX(BASE_PRODUTOS!$B$2:$B$1006,$G176))</f>
        <v/>
      </c>
      <c r="I176" s="9" t="str">
        <f ca="1">IF($G176="","",INDEX(BASE_PRODUTOS!$L$2:$L$1006,$G176))</f>
        <v/>
      </c>
      <c r="J176" s="9" t="str">
        <f ca="1">IF($G176="","",INDEX(BASE_PRODUTOS!$A$2:$A$1006,$G176))</f>
        <v/>
      </c>
      <c r="K176" s="9" t="str">
        <f ca="1">IF($G176="","",INDEX(BASE_PRODUTOS!$C$2:$C$1006,$G176))</f>
        <v/>
      </c>
      <c r="L176" s="9" t="str">
        <f ca="1">IF($G176="","",INDEX(BASE_PRODUTOS!$E$2:$E$1006,$G176))</f>
        <v/>
      </c>
      <c r="M176" s="9" t="str">
        <f ca="1">IF($G176="","",INDEX(BASE_PRODUTOS!$F$2:$F$1006,$G176))</f>
        <v/>
      </c>
      <c r="N176" s="9" t="str">
        <f ca="1">IF($G176="","",INDEX(BASE_PRODUTOS!$G$2:$G$1006,$G176))</f>
        <v/>
      </c>
      <c r="O176" s="9" t="str">
        <f ca="1">IF($G176="","",INDEX(BASE_PRODUTOS!$H$2:$H$1006,$G176))</f>
        <v/>
      </c>
      <c r="P176" s="9" t="str">
        <f ca="1">IF($G176="","",INDEX(BASE_PRODUTOS!$I$2:$I$1006,$G176))</f>
        <v/>
      </c>
      <c r="Q176" s="9" t="str">
        <f ca="1">IF($G176="","",INDEX(BASE_PRODUTOS!$J$2:$J$1006,$G176))</f>
        <v/>
      </c>
      <c r="R176" s="9" t="str">
        <f ca="1">IF($G176="","",INDEX(BASE_PRODUTOS!$M$2:$M$1006,$G176))</f>
        <v/>
      </c>
      <c r="S176" s="9" t="str">
        <f ca="1">IF($G176="","",INDEX(BASE_PRODUTOS!$N$2:$N$1006,$G176))</f>
        <v/>
      </c>
      <c r="T176" s="9" t="str">
        <f ca="1">IF($G176="","",INDEX(BASE_PRODUTOS!$D$2:$D$1006,$G176))</f>
        <v/>
      </c>
    </row>
    <row r="177" spans="7:20" ht="18" customHeight="1" x14ac:dyDescent="0.35">
      <c r="G177" t="str">
        <f ca="1">IFERROR(_xludf.aggregate(15,6,(ROW(BASE_PRODUTOS!$L$2:$L$1006)-ROW(BASE_PRODUTOS!$L$2)+1)/(BASE_PRODUTOS!$L$2:$L$1006&gt;0),ROWS($G$10:G177)),"")</f>
        <v/>
      </c>
      <c r="H177" s="9" t="str">
        <f ca="1">IF($G177="","",INDEX(BASE_PRODUTOS!$B$2:$B$1006,$G177))</f>
        <v/>
      </c>
      <c r="I177" s="9" t="str">
        <f ca="1">IF($G177="","",INDEX(BASE_PRODUTOS!$L$2:$L$1006,$G177))</f>
        <v/>
      </c>
      <c r="J177" s="9" t="str">
        <f ca="1">IF($G177="","",INDEX(BASE_PRODUTOS!$A$2:$A$1006,$G177))</f>
        <v/>
      </c>
      <c r="K177" s="9" t="str">
        <f ca="1">IF($G177="","",INDEX(BASE_PRODUTOS!$C$2:$C$1006,$G177))</f>
        <v/>
      </c>
      <c r="L177" s="9" t="str">
        <f ca="1">IF($G177="","",INDEX(BASE_PRODUTOS!$E$2:$E$1006,$G177))</f>
        <v/>
      </c>
      <c r="M177" s="9" t="str">
        <f ca="1">IF($G177="","",INDEX(BASE_PRODUTOS!$F$2:$F$1006,$G177))</f>
        <v/>
      </c>
      <c r="N177" s="9" t="str">
        <f ca="1">IF($G177="","",INDEX(BASE_PRODUTOS!$G$2:$G$1006,$G177))</f>
        <v/>
      </c>
      <c r="O177" s="9" t="str">
        <f ca="1">IF($G177="","",INDEX(BASE_PRODUTOS!$H$2:$H$1006,$G177))</f>
        <v/>
      </c>
      <c r="P177" s="9" t="str">
        <f ca="1">IF($G177="","",INDEX(BASE_PRODUTOS!$I$2:$I$1006,$G177))</f>
        <v/>
      </c>
      <c r="Q177" s="9" t="str">
        <f ca="1">IF($G177="","",INDEX(BASE_PRODUTOS!$J$2:$J$1006,$G177))</f>
        <v/>
      </c>
      <c r="R177" s="9" t="str">
        <f ca="1">IF($G177="","",INDEX(BASE_PRODUTOS!$M$2:$M$1006,$G177))</f>
        <v/>
      </c>
      <c r="S177" s="9" t="str">
        <f ca="1">IF($G177="","",INDEX(BASE_PRODUTOS!$N$2:$N$1006,$G177))</f>
        <v/>
      </c>
      <c r="T177" s="9" t="str">
        <f ca="1">IF($G177="","",INDEX(BASE_PRODUTOS!$D$2:$D$1006,$G177))</f>
        <v/>
      </c>
    </row>
    <row r="178" spans="7:20" ht="18" customHeight="1" x14ac:dyDescent="0.35">
      <c r="G178" t="str">
        <f ca="1">IFERROR(_xludf.aggregate(15,6,(ROW(BASE_PRODUTOS!$L$2:$L$1006)-ROW(BASE_PRODUTOS!$L$2)+1)/(BASE_PRODUTOS!$L$2:$L$1006&gt;0),ROWS($G$10:G178)),"")</f>
        <v/>
      </c>
      <c r="H178" s="9" t="str">
        <f ca="1">IF($G178="","",INDEX(BASE_PRODUTOS!$B$2:$B$1006,$G178))</f>
        <v/>
      </c>
      <c r="I178" s="9" t="str">
        <f ca="1">IF($G178="","",INDEX(BASE_PRODUTOS!$L$2:$L$1006,$G178))</f>
        <v/>
      </c>
      <c r="J178" s="9" t="str">
        <f ca="1">IF($G178="","",INDEX(BASE_PRODUTOS!$A$2:$A$1006,$G178))</f>
        <v/>
      </c>
      <c r="K178" s="9" t="str">
        <f ca="1">IF($G178="","",INDEX(BASE_PRODUTOS!$C$2:$C$1006,$G178))</f>
        <v/>
      </c>
      <c r="L178" s="9" t="str">
        <f ca="1">IF($G178="","",INDEX(BASE_PRODUTOS!$E$2:$E$1006,$G178))</f>
        <v/>
      </c>
      <c r="M178" s="9" t="str">
        <f ca="1">IF($G178="","",INDEX(BASE_PRODUTOS!$F$2:$F$1006,$G178))</f>
        <v/>
      </c>
      <c r="N178" s="9" t="str">
        <f ca="1">IF($G178="","",INDEX(BASE_PRODUTOS!$G$2:$G$1006,$G178))</f>
        <v/>
      </c>
      <c r="O178" s="9" t="str">
        <f ca="1">IF($G178="","",INDEX(BASE_PRODUTOS!$H$2:$H$1006,$G178))</f>
        <v/>
      </c>
      <c r="P178" s="9" t="str">
        <f ca="1">IF($G178="","",INDEX(BASE_PRODUTOS!$I$2:$I$1006,$G178))</f>
        <v/>
      </c>
      <c r="Q178" s="9" t="str">
        <f ca="1">IF($G178="","",INDEX(BASE_PRODUTOS!$J$2:$J$1006,$G178))</f>
        <v/>
      </c>
      <c r="R178" s="9" t="str">
        <f ca="1">IF($G178="","",INDEX(BASE_PRODUTOS!$M$2:$M$1006,$G178))</f>
        <v/>
      </c>
      <c r="S178" s="9" t="str">
        <f ca="1">IF($G178="","",INDEX(BASE_PRODUTOS!$N$2:$N$1006,$G178))</f>
        <v/>
      </c>
      <c r="T178" s="9" t="str">
        <f ca="1">IF($G178="","",INDEX(BASE_PRODUTOS!$D$2:$D$1006,$G178))</f>
        <v/>
      </c>
    </row>
    <row r="179" spans="7:20" ht="18" customHeight="1" x14ac:dyDescent="0.35">
      <c r="G179" t="str">
        <f ca="1">IFERROR(_xludf.aggregate(15,6,(ROW(BASE_PRODUTOS!$L$2:$L$1006)-ROW(BASE_PRODUTOS!$L$2)+1)/(BASE_PRODUTOS!$L$2:$L$1006&gt;0),ROWS($G$10:G179)),"")</f>
        <v/>
      </c>
      <c r="H179" s="9" t="str">
        <f ca="1">IF($G179="","",INDEX(BASE_PRODUTOS!$B$2:$B$1006,$G179))</f>
        <v/>
      </c>
      <c r="I179" s="9" t="str">
        <f ca="1">IF($G179="","",INDEX(BASE_PRODUTOS!$L$2:$L$1006,$G179))</f>
        <v/>
      </c>
      <c r="J179" s="9" t="str">
        <f ca="1">IF($G179="","",INDEX(BASE_PRODUTOS!$A$2:$A$1006,$G179))</f>
        <v/>
      </c>
      <c r="K179" s="9" t="str">
        <f ca="1">IF($G179="","",INDEX(BASE_PRODUTOS!$C$2:$C$1006,$G179))</f>
        <v/>
      </c>
      <c r="L179" s="9" t="str">
        <f ca="1">IF($G179="","",INDEX(BASE_PRODUTOS!$E$2:$E$1006,$G179))</f>
        <v/>
      </c>
      <c r="M179" s="9" t="str">
        <f ca="1">IF($G179="","",INDEX(BASE_PRODUTOS!$F$2:$F$1006,$G179))</f>
        <v/>
      </c>
      <c r="N179" s="9" t="str">
        <f ca="1">IF($G179="","",INDEX(BASE_PRODUTOS!$G$2:$G$1006,$G179))</f>
        <v/>
      </c>
      <c r="O179" s="9" t="str">
        <f ca="1">IF($G179="","",INDEX(BASE_PRODUTOS!$H$2:$H$1006,$G179))</f>
        <v/>
      </c>
      <c r="P179" s="9" t="str">
        <f ca="1">IF($G179="","",INDEX(BASE_PRODUTOS!$I$2:$I$1006,$G179))</f>
        <v/>
      </c>
      <c r="Q179" s="9" t="str">
        <f ca="1">IF($G179="","",INDEX(BASE_PRODUTOS!$J$2:$J$1006,$G179))</f>
        <v/>
      </c>
      <c r="R179" s="9" t="str">
        <f ca="1">IF($G179="","",INDEX(BASE_PRODUTOS!$M$2:$M$1006,$G179))</f>
        <v/>
      </c>
      <c r="S179" s="9" t="str">
        <f ca="1">IF($G179="","",INDEX(BASE_PRODUTOS!$N$2:$N$1006,$G179))</f>
        <v/>
      </c>
      <c r="T179" s="9" t="str">
        <f ca="1">IF($G179="","",INDEX(BASE_PRODUTOS!$D$2:$D$1006,$G179))</f>
        <v/>
      </c>
    </row>
    <row r="180" spans="7:20" ht="18" customHeight="1" x14ac:dyDescent="0.35">
      <c r="G180" t="str">
        <f ca="1">IFERROR(_xludf.aggregate(15,6,(ROW(BASE_PRODUTOS!$L$2:$L$1006)-ROW(BASE_PRODUTOS!$L$2)+1)/(BASE_PRODUTOS!$L$2:$L$1006&gt;0),ROWS($G$10:G180)),"")</f>
        <v/>
      </c>
      <c r="H180" s="9" t="str">
        <f ca="1">IF($G180="","",INDEX(BASE_PRODUTOS!$B$2:$B$1006,$G180))</f>
        <v/>
      </c>
      <c r="I180" s="9" t="str">
        <f ca="1">IF($G180="","",INDEX(BASE_PRODUTOS!$L$2:$L$1006,$G180))</f>
        <v/>
      </c>
      <c r="J180" s="9" t="str">
        <f ca="1">IF($G180="","",INDEX(BASE_PRODUTOS!$A$2:$A$1006,$G180))</f>
        <v/>
      </c>
      <c r="K180" s="9" t="str">
        <f ca="1">IF($G180="","",INDEX(BASE_PRODUTOS!$C$2:$C$1006,$G180))</f>
        <v/>
      </c>
      <c r="L180" s="9" t="str">
        <f ca="1">IF($G180="","",INDEX(BASE_PRODUTOS!$E$2:$E$1006,$G180))</f>
        <v/>
      </c>
      <c r="M180" s="9" t="str">
        <f ca="1">IF($G180="","",INDEX(BASE_PRODUTOS!$F$2:$F$1006,$G180))</f>
        <v/>
      </c>
      <c r="N180" s="9" t="str">
        <f ca="1">IF($G180="","",INDEX(BASE_PRODUTOS!$G$2:$G$1006,$G180))</f>
        <v/>
      </c>
      <c r="O180" s="9" t="str">
        <f ca="1">IF($G180="","",INDEX(BASE_PRODUTOS!$H$2:$H$1006,$G180))</f>
        <v/>
      </c>
      <c r="P180" s="9" t="str">
        <f ca="1">IF($G180="","",INDEX(BASE_PRODUTOS!$I$2:$I$1006,$G180))</f>
        <v/>
      </c>
      <c r="Q180" s="9" t="str">
        <f ca="1">IF($G180="","",INDEX(BASE_PRODUTOS!$J$2:$J$1006,$G180))</f>
        <v/>
      </c>
      <c r="R180" s="9" t="str">
        <f ca="1">IF($G180="","",INDEX(BASE_PRODUTOS!$M$2:$M$1006,$G180))</f>
        <v/>
      </c>
      <c r="S180" s="9" t="str">
        <f ca="1">IF($G180="","",INDEX(BASE_PRODUTOS!$N$2:$N$1006,$G180))</f>
        <v/>
      </c>
      <c r="T180" s="9" t="str">
        <f ca="1">IF($G180="","",INDEX(BASE_PRODUTOS!$D$2:$D$1006,$G180))</f>
        <v/>
      </c>
    </row>
    <row r="181" spans="7:20" ht="18" customHeight="1" x14ac:dyDescent="0.35">
      <c r="G181" t="str">
        <f ca="1">IFERROR(_xludf.aggregate(15,6,(ROW(BASE_PRODUTOS!$L$2:$L$1006)-ROW(BASE_PRODUTOS!$L$2)+1)/(BASE_PRODUTOS!$L$2:$L$1006&gt;0),ROWS($G$10:G181)),"")</f>
        <v/>
      </c>
      <c r="H181" s="9" t="str">
        <f ca="1">IF($G181="","",INDEX(BASE_PRODUTOS!$B$2:$B$1006,$G181))</f>
        <v/>
      </c>
      <c r="I181" s="9" t="str">
        <f ca="1">IF($G181="","",INDEX(BASE_PRODUTOS!$L$2:$L$1006,$G181))</f>
        <v/>
      </c>
      <c r="J181" s="9" t="str">
        <f ca="1">IF($G181="","",INDEX(BASE_PRODUTOS!$A$2:$A$1006,$G181))</f>
        <v/>
      </c>
      <c r="K181" s="9" t="str">
        <f ca="1">IF($G181="","",INDEX(BASE_PRODUTOS!$C$2:$C$1006,$G181))</f>
        <v/>
      </c>
      <c r="L181" s="9" t="str">
        <f ca="1">IF($G181="","",INDEX(BASE_PRODUTOS!$E$2:$E$1006,$G181))</f>
        <v/>
      </c>
      <c r="M181" s="9" t="str">
        <f ca="1">IF($G181="","",INDEX(BASE_PRODUTOS!$F$2:$F$1006,$G181))</f>
        <v/>
      </c>
      <c r="N181" s="9" t="str">
        <f ca="1">IF($G181="","",INDEX(BASE_PRODUTOS!$G$2:$G$1006,$G181))</f>
        <v/>
      </c>
      <c r="O181" s="9" t="str">
        <f ca="1">IF($G181="","",INDEX(BASE_PRODUTOS!$H$2:$H$1006,$G181))</f>
        <v/>
      </c>
      <c r="P181" s="9" t="str">
        <f ca="1">IF($G181="","",INDEX(BASE_PRODUTOS!$I$2:$I$1006,$G181))</f>
        <v/>
      </c>
      <c r="Q181" s="9" t="str">
        <f ca="1">IF($G181="","",INDEX(BASE_PRODUTOS!$J$2:$J$1006,$G181))</f>
        <v/>
      </c>
      <c r="R181" s="9" t="str">
        <f ca="1">IF($G181="","",INDEX(BASE_PRODUTOS!$M$2:$M$1006,$G181))</f>
        <v/>
      </c>
      <c r="S181" s="9" t="str">
        <f ca="1">IF($G181="","",INDEX(BASE_PRODUTOS!$N$2:$N$1006,$G181))</f>
        <v/>
      </c>
      <c r="T181" s="9" t="str">
        <f ca="1">IF($G181="","",INDEX(BASE_PRODUTOS!$D$2:$D$1006,$G181))</f>
        <v/>
      </c>
    </row>
    <row r="182" spans="7:20" ht="18" customHeight="1" x14ac:dyDescent="0.35">
      <c r="G182" t="str">
        <f ca="1">IFERROR(_xludf.aggregate(15,6,(ROW(BASE_PRODUTOS!$L$2:$L$1006)-ROW(BASE_PRODUTOS!$L$2)+1)/(BASE_PRODUTOS!$L$2:$L$1006&gt;0),ROWS($G$10:G182)),"")</f>
        <v/>
      </c>
      <c r="H182" s="9" t="str">
        <f ca="1">IF($G182="","",INDEX(BASE_PRODUTOS!$B$2:$B$1006,$G182))</f>
        <v/>
      </c>
      <c r="I182" s="9" t="str">
        <f ca="1">IF($G182="","",INDEX(BASE_PRODUTOS!$L$2:$L$1006,$G182))</f>
        <v/>
      </c>
      <c r="J182" s="9" t="str">
        <f ca="1">IF($G182="","",INDEX(BASE_PRODUTOS!$A$2:$A$1006,$G182))</f>
        <v/>
      </c>
      <c r="K182" s="9" t="str">
        <f ca="1">IF($G182="","",INDEX(BASE_PRODUTOS!$C$2:$C$1006,$G182))</f>
        <v/>
      </c>
      <c r="L182" s="9" t="str">
        <f ca="1">IF($G182="","",INDEX(BASE_PRODUTOS!$E$2:$E$1006,$G182))</f>
        <v/>
      </c>
      <c r="M182" s="9" t="str">
        <f ca="1">IF($G182="","",INDEX(BASE_PRODUTOS!$F$2:$F$1006,$G182))</f>
        <v/>
      </c>
      <c r="N182" s="9" t="str">
        <f ca="1">IF($G182="","",INDEX(BASE_PRODUTOS!$G$2:$G$1006,$G182))</f>
        <v/>
      </c>
      <c r="O182" s="9" t="str">
        <f ca="1">IF($G182="","",INDEX(BASE_PRODUTOS!$H$2:$H$1006,$G182))</f>
        <v/>
      </c>
      <c r="P182" s="9" t="str">
        <f ca="1">IF($G182="","",INDEX(BASE_PRODUTOS!$I$2:$I$1006,$G182))</f>
        <v/>
      </c>
      <c r="Q182" s="9" t="str">
        <f ca="1">IF($G182="","",INDEX(BASE_PRODUTOS!$J$2:$J$1006,$G182))</f>
        <v/>
      </c>
      <c r="R182" s="9" t="str">
        <f ca="1">IF($G182="","",INDEX(BASE_PRODUTOS!$M$2:$M$1006,$G182))</f>
        <v/>
      </c>
      <c r="S182" s="9" t="str">
        <f ca="1">IF($G182="","",INDEX(BASE_PRODUTOS!$N$2:$N$1006,$G182))</f>
        <v/>
      </c>
      <c r="T182" s="9" t="str">
        <f ca="1">IF($G182="","",INDEX(BASE_PRODUTOS!$D$2:$D$1006,$G182))</f>
        <v/>
      </c>
    </row>
    <row r="183" spans="7:20" ht="18" customHeight="1" x14ac:dyDescent="0.35">
      <c r="G183" t="str">
        <f ca="1">IFERROR(_xludf.aggregate(15,6,(ROW(BASE_PRODUTOS!$L$2:$L$1006)-ROW(BASE_PRODUTOS!$L$2)+1)/(BASE_PRODUTOS!$L$2:$L$1006&gt;0),ROWS($G$10:G183)),"")</f>
        <v/>
      </c>
      <c r="H183" s="9" t="str">
        <f ca="1">IF($G183="","",INDEX(BASE_PRODUTOS!$B$2:$B$1006,$G183))</f>
        <v/>
      </c>
      <c r="I183" s="9" t="str">
        <f ca="1">IF($G183="","",INDEX(BASE_PRODUTOS!$L$2:$L$1006,$G183))</f>
        <v/>
      </c>
      <c r="J183" s="9" t="str">
        <f ca="1">IF($G183="","",INDEX(BASE_PRODUTOS!$A$2:$A$1006,$G183))</f>
        <v/>
      </c>
      <c r="K183" s="9" t="str">
        <f ca="1">IF($G183="","",INDEX(BASE_PRODUTOS!$C$2:$C$1006,$G183))</f>
        <v/>
      </c>
      <c r="L183" s="9" t="str">
        <f ca="1">IF($G183="","",INDEX(BASE_PRODUTOS!$E$2:$E$1006,$G183))</f>
        <v/>
      </c>
      <c r="M183" s="9" t="str">
        <f ca="1">IF($G183="","",INDEX(BASE_PRODUTOS!$F$2:$F$1006,$G183))</f>
        <v/>
      </c>
      <c r="N183" s="9" t="str">
        <f ca="1">IF($G183="","",INDEX(BASE_PRODUTOS!$G$2:$G$1006,$G183))</f>
        <v/>
      </c>
      <c r="O183" s="9" t="str">
        <f ca="1">IF($G183="","",INDEX(BASE_PRODUTOS!$H$2:$H$1006,$G183))</f>
        <v/>
      </c>
      <c r="P183" s="9" t="str">
        <f ca="1">IF($G183="","",INDEX(BASE_PRODUTOS!$I$2:$I$1006,$G183))</f>
        <v/>
      </c>
      <c r="Q183" s="9" t="str">
        <f ca="1">IF($G183="","",INDEX(BASE_PRODUTOS!$J$2:$J$1006,$G183))</f>
        <v/>
      </c>
      <c r="R183" s="9" t="str">
        <f ca="1">IF($G183="","",INDEX(BASE_PRODUTOS!$M$2:$M$1006,$G183))</f>
        <v/>
      </c>
      <c r="S183" s="9" t="str">
        <f ca="1">IF($G183="","",INDEX(BASE_PRODUTOS!$N$2:$N$1006,$G183))</f>
        <v/>
      </c>
      <c r="T183" s="9" t="str">
        <f ca="1">IF($G183="","",INDEX(BASE_PRODUTOS!$D$2:$D$1006,$G183))</f>
        <v/>
      </c>
    </row>
    <row r="184" spans="7:20" ht="18" customHeight="1" x14ac:dyDescent="0.35">
      <c r="G184" t="str">
        <f ca="1">IFERROR(_xludf.aggregate(15,6,(ROW(BASE_PRODUTOS!$L$2:$L$1006)-ROW(BASE_PRODUTOS!$L$2)+1)/(BASE_PRODUTOS!$L$2:$L$1006&gt;0),ROWS($G$10:G184)),"")</f>
        <v/>
      </c>
      <c r="H184" s="9" t="str">
        <f ca="1">IF($G184="","",INDEX(BASE_PRODUTOS!$B$2:$B$1006,$G184))</f>
        <v/>
      </c>
      <c r="I184" s="9" t="str">
        <f ca="1">IF($G184="","",INDEX(BASE_PRODUTOS!$L$2:$L$1006,$G184))</f>
        <v/>
      </c>
      <c r="J184" s="9" t="str">
        <f ca="1">IF($G184="","",INDEX(BASE_PRODUTOS!$A$2:$A$1006,$G184))</f>
        <v/>
      </c>
      <c r="K184" s="9" t="str">
        <f ca="1">IF($G184="","",INDEX(BASE_PRODUTOS!$C$2:$C$1006,$G184))</f>
        <v/>
      </c>
      <c r="L184" s="9" t="str">
        <f ca="1">IF($G184="","",INDEX(BASE_PRODUTOS!$E$2:$E$1006,$G184))</f>
        <v/>
      </c>
      <c r="M184" s="9" t="str">
        <f ca="1">IF($G184="","",INDEX(BASE_PRODUTOS!$F$2:$F$1006,$G184))</f>
        <v/>
      </c>
      <c r="N184" s="9" t="str">
        <f ca="1">IF($G184="","",INDEX(BASE_PRODUTOS!$G$2:$G$1006,$G184))</f>
        <v/>
      </c>
      <c r="O184" s="9" t="str">
        <f ca="1">IF($G184="","",INDEX(BASE_PRODUTOS!$H$2:$H$1006,$G184))</f>
        <v/>
      </c>
      <c r="P184" s="9" t="str">
        <f ca="1">IF($G184="","",INDEX(BASE_PRODUTOS!$I$2:$I$1006,$G184))</f>
        <v/>
      </c>
      <c r="Q184" s="9" t="str">
        <f ca="1">IF($G184="","",INDEX(BASE_PRODUTOS!$J$2:$J$1006,$G184))</f>
        <v/>
      </c>
      <c r="R184" s="9" t="str">
        <f ca="1">IF($G184="","",INDEX(BASE_PRODUTOS!$M$2:$M$1006,$G184))</f>
        <v/>
      </c>
      <c r="S184" s="9" t="str">
        <f ca="1">IF($G184="","",INDEX(BASE_PRODUTOS!$N$2:$N$1006,$G184))</f>
        <v/>
      </c>
      <c r="T184" s="9" t="str">
        <f ca="1">IF($G184="","",INDEX(BASE_PRODUTOS!$D$2:$D$1006,$G184))</f>
        <v/>
      </c>
    </row>
    <row r="185" spans="7:20" ht="18" customHeight="1" x14ac:dyDescent="0.35">
      <c r="G185" t="str">
        <f ca="1">IFERROR(_xludf.aggregate(15,6,(ROW(BASE_PRODUTOS!$L$2:$L$1006)-ROW(BASE_PRODUTOS!$L$2)+1)/(BASE_PRODUTOS!$L$2:$L$1006&gt;0),ROWS($G$10:G185)),"")</f>
        <v/>
      </c>
      <c r="H185" s="9" t="str">
        <f ca="1">IF($G185="","",INDEX(BASE_PRODUTOS!$B$2:$B$1006,$G185))</f>
        <v/>
      </c>
      <c r="I185" s="9" t="str">
        <f ca="1">IF($G185="","",INDEX(BASE_PRODUTOS!$L$2:$L$1006,$G185))</f>
        <v/>
      </c>
      <c r="J185" s="9" t="str">
        <f ca="1">IF($G185="","",INDEX(BASE_PRODUTOS!$A$2:$A$1006,$G185))</f>
        <v/>
      </c>
      <c r="K185" s="9" t="str">
        <f ca="1">IF($G185="","",INDEX(BASE_PRODUTOS!$C$2:$C$1006,$G185))</f>
        <v/>
      </c>
      <c r="L185" s="9" t="str">
        <f ca="1">IF($G185="","",INDEX(BASE_PRODUTOS!$E$2:$E$1006,$G185))</f>
        <v/>
      </c>
      <c r="M185" s="9" t="str">
        <f ca="1">IF($G185="","",INDEX(BASE_PRODUTOS!$F$2:$F$1006,$G185))</f>
        <v/>
      </c>
      <c r="N185" s="9" t="str">
        <f ca="1">IF($G185="","",INDEX(BASE_PRODUTOS!$G$2:$G$1006,$G185))</f>
        <v/>
      </c>
      <c r="O185" s="9" t="str">
        <f ca="1">IF($G185="","",INDEX(BASE_PRODUTOS!$H$2:$H$1006,$G185))</f>
        <v/>
      </c>
      <c r="P185" s="9" t="str">
        <f ca="1">IF($G185="","",INDEX(BASE_PRODUTOS!$I$2:$I$1006,$G185))</f>
        <v/>
      </c>
      <c r="Q185" s="9" t="str">
        <f ca="1">IF($G185="","",INDEX(BASE_PRODUTOS!$J$2:$J$1006,$G185))</f>
        <v/>
      </c>
      <c r="R185" s="9" t="str">
        <f ca="1">IF($G185="","",INDEX(BASE_PRODUTOS!$M$2:$M$1006,$G185))</f>
        <v/>
      </c>
      <c r="S185" s="9" t="str">
        <f ca="1">IF($G185="","",INDEX(BASE_PRODUTOS!$N$2:$N$1006,$G185))</f>
        <v/>
      </c>
      <c r="T185" s="9" t="str">
        <f ca="1">IF($G185="","",INDEX(BASE_PRODUTOS!$D$2:$D$1006,$G185))</f>
        <v/>
      </c>
    </row>
    <row r="186" spans="7:20" ht="18" customHeight="1" x14ac:dyDescent="0.35">
      <c r="G186" t="str">
        <f ca="1">IFERROR(_xludf.aggregate(15,6,(ROW(BASE_PRODUTOS!$L$2:$L$1006)-ROW(BASE_PRODUTOS!$L$2)+1)/(BASE_PRODUTOS!$L$2:$L$1006&gt;0),ROWS($G$10:G186)),"")</f>
        <v/>
      </c>
      <c r="H186" s="9" t="str">
        <f ca="1">IF($G186="","",INDEX(BASE_PRODUTOS!$B$2:$B$1006,$G186))</f>
        <v/>
      </c>
      <c r="I186" s="9" t="str">
        <f ca="1">IF($G186="","",INDEX(BASE_PRODUTOS!$L$2:$L$1006,$G186))</f>
        <v/>
      </c>
      <c r="J186" s="9" t="str">
        <f ca="1">IF($G186="","",INDEX(BASE_PRODUTOS!$A$2:$A$1006,$G186))</f>
        <v/>
      </c>
      <c r="K186" s="9" t="str">
        <f ca="1">IF($G186="","",INDEX(BASE_PRODUTOS!$C$2:$C$1006,$G186))</f>
        <v/>
      </c>
      <c r="L186" s="9" t="str">
        <f ca="1">IF($G186="","",INDEX(BASE_PRODUTOS!$E$2:$E$1006,$G186))</f>
        <v/>
      </c>
      <c r="M186" s="9" t="str">
        <f ca="1">IF($G186="","",INDEX(BASE_PRODUTOS!$F$2:$F$1006,$G186))</f>
        <v/>
      </c>
      <c r="N186" s="9" t="str">
        <f ca="1">IF($G186="","",INDEX(BASE_PRODUTOS!$G$2:$G$1006,$G186))</f>
        <v/>
      </c>
      <c r="O186" s="9" t="str">
        <f ca="1">IF($G186="","",INDEX(BASE_PRODUTOS!$H$2:$H$1006,$G186))</f>
        <v/>
      </c>
      <c r="P186" s="9" t="str">
        <f ca="1">IF($G186="","",INDEX(BASE_PRODUTOS!$I$2:$I$1006,$G186))</f>
        <v/>
      </c>
      <c r="Q186" s="9" t="str">
        <f ca="1">IF($G186="","",INDEX(BASE_PRODUTOS!$J$2:$J$1006,$G186))</f>
        <v/>
      </c>
      <c r="R186" s="9" t="str">
        <f ca="1">IF($G186="","",INDEX(BASE_PRODUTOS!$M$2:$M$1006,$G186))</f>
        <v/>
      </c>
      <c r="S186" s="9" t="str">
        <f ca="1">IF($G186="","",INDEX(BASE_PRODUTOS!$N$2:$N$1006,$G186))</f>
        <v/>
      </c>
      <c r="T186" s="9" t="str">
        <f ca="1">IF($G186="","",INDEX(BASE_PRODUTOS!$D$2:$D$1006,$G186))</f>
        <v/>
      </c>
    </row>
    <row r="187" spans="7:20" ht="18" customHeight="1" x14ac:dyDescent="0.35">
      <c r="G187" t="str">
        <f ca="1">IFERROR(_xludf.aggregate(15,6,(ROW(BASE_PRODUTOS!$L$2:$L$1006)-ROW(BASE_PRODUTOS!$L$2)+1)/(BASE_PRODUTOS!$L$2:$L$1006&gt;0),ROWS($G$10:G187)),"")</f>
        <v/>
      </c>
      <c r="H187" s="9" t="str">
        <f ca="1">IF($G187="","",INDEX(BASE_PRODUTOS!$B$2:$B$1006,$G187))</f>
        <v/>
      </c>
      <c r="I187" s="9" t="str">
        <f ca="1">IF($G187="","",INDEX(BASE_PRODUTOS!$L$2:$L$1006,$G187))</f>
        <v/>
      </c>
      <c r="J187" s="9" t="str">
        <f ca="1">IF($G187="","",INDEX(BASE_PRODUTOS!$A$2:$A$1006,$G187))</f>
        <v/>
      </c>
      <c r="K187" s="9" t="str">
        <f ca="1">IF($G187="","",INDEX(BASE_PRODUTOS!$C$2:$C$1006,$G187))</f>
        <v/>
      </c>
      <c r="L187" s="9" t="str">
        <f ca="1">IF($G187="","",INDEX(BASE_PRODUTOS!$E$2:$E$1006,$G187))</f>
        <v/>
      </c>
      <c r="M187" s="9" t="str">
        <f ca="1">IF($G187="","",INDEX(BASE_PRODUTOS!$F$2:$F$1006,$G187))</f>
        <v/>
      </c>
      <c r="N187" s="9" t="str">
        <f ca="1">IF($G187="","",INDEX(BASE_PRODUTOS!$G$2:$G$1006,$G187))</f>
        <v/>
      </c>
      <c r="O187" s="9" t="str">
        <f ca="1">IF($G187="","",INDEX(BASE_PRODUTOS!$H$2:$H$1006,$G187))</f>
        <v/>
      </c>
      <c r="P187" s="9" t="str">
        <f ca="1">IF($G187="","",INDEX(BASE_PRODUTOS!$I$2:$I$1006,$G187))</f>
        <v/>
      </c>
      <c r="Q187" s="9" t="str">
        <f ca="1">IF($G187="","",INDEX(BASE_PRODUTOS!$J$2:$J$1006,$G187))</f>
        <v/>
      </c>
      <c r="R187" s="9" t="str">
        <f ca="1">IF($G187="","",INDEX(BASE_PRODUTOS!$M$2:$M$1006,$G187))</f>
        <v/>
      </c>
      <c r="S187" s="9" t="str">
        <f ca="1">IF($G187="","",INDEX(BASE_PRODUTOS!$N$2:$N$1006,$G187))</f>
        <v/>
      </c>
      <c r="T187" s="9" t="str">
        <f ca="1">IF($G187="","",INDEX(BASE_PRODUTOS!$D$2:$D$1006,$G187))</f>
        <v/>
      </c>
    </row>
    <row r="188" spans="7:20" ht="18" customHeight="1" x14ac:dyDescent="0.35">
      <c r="G188" t="str">
        <f ca="1">IFERROR(_xludf.aggregate(15,6,(ROW(BASE_PRODUTOS!$L$2:$L$1006)-ROW(BASE_PRODUTOS!$L$2)+1)/(BASE_PRODUTOS!$L$2:$L$1006&gt;0),ROWS($G$10:G188)),"")</f>
        <v/>
      </c>
      <c r="H188" s="9" t="str">
        <f ca="1">IF($G188="","",INDEX(BASE_PRODUTOS!$B$2:$B$1006,$G188))</f>
        <v/>
      </c>
      <c r="I188" s="9" t="str">
        <f ca="1">IF($G188="","",INDEX(BASE_PRODUTOS!$L$2:$L$1006,$G188))</f>
        <v/>
      </c>
      <c r="J188" s="9" t="str">
        <f ca="1">IF($G188="","",INDEX(BASE_PRODUTOS!$A$2:$A$1006,$G188))</f>
        <v/>
      </c>
      <c r="K188" s="9" t="str">
        <f ca="1">IF($G188="","",INDEX(BASE_PRODUTOS!$C$2:$C$1006,$G188))</f>
        <v/>
      </c>
      <c r="L188" s="9" t="str">
        <f ca="1">IF($G188="","",INDEX(BASE_PRODUTOS!$E$2:$E$1006,$G188))</f>
        <v/>
      </c>
      <c r="M188" s="9" t="str">
        <f ca="1">IF($G188="","",INDEX(BASE_PRODUTOS!$F$2:$F$1006,$G188))</f>
        <v/>
      </c>
      <c r="N188" s="9" t="str">
        <f ca="1">IF($G188="","",INDEX(BASE_PRODUTOS!$G$2:$G$1006,$G188))</f>
        <v/>
      </c>
      <c r="O188" s="9" t="str">
        <f ca="1">IF($G188="","",INDEX(BASE_PRODUTOS!$H$2:$H$1006,$G188))</f>
        <v/>
      </c>
      <c r="P188" s="9" t="str">
        <f ca="1">IF($G188="","",INDEX(BASE_PRODUTOS!$I$2:$I$1006,$G188))</f>
        <v/>
      </c>
      <c r="Q188" s="9" t="str">
        <f ca="1">IF($G188="","",INDEX(BASE_PRODUTOS!$J$2:$J$1006,$G188))</f>
        <v/>
      </c>
      <c r="R188" s="9" t="str">
        <f ca="1">IF($G188="","",INDEX(BASE_PRODUTOS!$M$2:$M$1006,$G188))</f>
        <v/>
      </c>
      <c r="S188" s="9" t="str">
        <f ca="1">IF($G188="","",INDEX(BASE_PRODUTOS!$N$2:$N$1006,$G188))</f>
        <v/>
      </c>
      <c r="T188" s="9" t="str">
        <f ca="1">IF($G188="","",INDEX(BASE_PRODUTOS!$D$2:$D$1006,$G188))</f>
        <v/>
      </c>
    </row>
    <row r="189" spans="7:20" ht="18" customHeight="1" x14ac:dyDescent="0.35">
      <c r="G189" t="str">
        <f ca="1">IFERROR(_xludf.aggregate(15,6,(ROW(BASE_PRODUTOS!$L$2:$L$1006)-ROW(BASE_PRODUTOS!$L$2)+1)/(BASE_PRODUTOS!$L$2:$L$1006&gt;0),ROWS($G$10:G189)),"")</f>
        <v/>
      </c>
      <c r="H189" s="9" t="str">
        <f ca="1">IF($G189="","",INDEX(BASE_PRODUTOS!$B$2:$B$1006,$G189))</f>
        <v/>
      </c>
      <c r="I189" s="9" t="str">
        <f ca="1">IF($G189="","",INDEX(BASE_PRODUTOS!$L$2:$L$1006,$G189))</f>
        <v/>
      </c>
      <c r="J189" s="9" t="str">
        <f ca="1">IF($G189="","",INDEX(BASE_PRODUTOS!$A$2:$A$1006,$G189))</f>
        <v/>
      </c>
      <c r="K189" s="9" t="str">
        <f ca="1">IF($G189="","",INDEX(BASE_PRODUTOS!$C$2:$C$1006,$G189))</f>
        <v/>
      </c>
      <c r="L189" s="9" t="str">
        <f ca="1">IF($G189="","",INDEX(BASE_PRODUTOS!$E$2:$E$1006,$G189))</f>
        <v/>
      </c>
      <c r="M189" s="9" t="str">
        <f ca="1">IF($G189="","",INDEX(BASE_PRODUTOS!$F$2:$F$1006,$G189))</f>
        <v/>
      </c>
      <c r="N189" s="9" t="str">
        <f ca="1">IF($G189="","",INDEX(BASE_PRODUTOS!$G$2:$G$1006,$G189))</f>
        <v/>
      </c>
      <c r="O189" s="9" t="str">
        <f ca="1">IF($G189="","",INDEX(BASE_PRODUTOS!$H$2:$H$1006,$G189))</f>
        <v/>
      </c>
      <c r="P189" s="9" t="str">
        <f ca="1">IF($G189="","",INDEX(BASE_PRODUTOS!$I$2:$I$1006,$G189))</f>
        <v/>
      </c>
      <c r="Q189" s="9" t="str">
        <f ca="1">IF($G189="","",INDEX(BASE_PRODUTOS!$J$2:$J$1006,$G189))</f>
        <v/>
      </c>
      <c r="R189" s="9" t="str">
        <f ca="1">IF($G189="","",INDEX(BASE_PRODUTOS!$M$2:$M$1006,$G189))</f>
        <v/>
      </c>
      <c r="S189" s="9" t="str">
        <f ca="1">IF($G189="","",INDEX(BASE_PRODUTOS!$N$2:$N$1006,$G189))</f>
        <v/>
      </c>
      <c r="T189" s="9" t="str">
        <f ca="1">IF($G189="","",INDEX(BASE_PRODUTOS!$D$2:$D$1006,$G189))</f>
        <v/>
      </c>
    </row>
    <row r="190" spans="7:20" ht="18" customHeight="1" x14ac:dyDescent="0.35">
      <c r="G190" t="str">
        <f ca="1">IFERROR(_xludf.aggregate(15,6,(ROW(BASE_PRODUTOS!$L$2:$L$1006)-ROW(BASE_PRODUTOS!$L$2)+1)/(BASE_PRODUTOS!$L$2:$L$1006&gt;0),ROWS($G$10:G190)),"")</f>
        <v/>
      </c>
      <c r="H190" s="9" t="str">
        <f ca="1">IF($G190="","",INDEX(BASE_PRODUTOS!$B$2:$B$1006,$G190))</f>
        <v/>
      </c>
      <c r="I190" s="9" t="str">
        <f ca="1">IF($G190="","",INDEX(BASE_PRODUTOS!$L$2:$L$1006,$G190))</f>
        <v/>
      </c>
      <c r="J190" s="9" t="str">
        <f ca="1">IF($G190="","",INDEX(BASE_PRODUTOS!$A$2:$A$1006,$G190))</f>
        <v/>
      </c>
      <c r="K190" s="9" t="str">
        <f ca="1">IF($G190="","",INDEX(BASE_PRODUTOS!$C$2:$C$1006,$G190))</f>
        <v/>
      </c>
      <c r="L190" s="9" t="str">
        <f ca="1">IF($G190="","",INDEX(BASE_PRODUTOS!$E$2:$E$1006,$G190))</f>
        <v/>
      </c>
      <c r="M190" s="9" t="str">
        <f ca="1">IF($G190="","",INDEX(BASE_PRODUTOS!$F$2:$F$1006,$G190))</f>
        <v/>
      </c>
      <c r="N190" s="9" t="str">
        <f ca="1">IF($G190="","",INDEX(BASE_PRODUTOS!$G$2:$G$1006,$G190))</f>
        <v/>
      </c>
      <c r="O190" s="9" t="str">
        <f ca="1">IF($G190="","",INDEX(BASE_PRODUTOS!$H$2:$H$1006,$G190))</f>
        <v/>
      </c>
      <c r="P190" s="9" t="str">
        <f ca="1">IF($G190="","",INDEX(BASE_PRODUTOS!$I$2:$I$1006,$G190))</f>
        <v/>
      </c>
      <c r="Q190" s="9" t="str">
        <f ca="1">IF($G190="","",INDEX(BASE_PRODUTOS!$J$2:$J$1006,$G190))</f>
        <v/>
      </c>
      <c r="R190" s="9" t="str">
        <f ca="1">IF($G190="","",INDEX(BASE_PRODUTOS!$M$2:$M$1006,$G190))</f>
        <v/>
      </c>
      <c r="S190" s="9" t="str">
        <f ca="1">IF($G190="","",INDEX(BASE_PRODUTOS!$N$2:$N$1006,$G190))</f>
        <v/>
      </c>
      <c r="T190" s="9" t="str">
        <f ca="1">IF($G190="","",INDEX(BASE_PRODUTOS!$D$2:$D$1006,$G190))</f>
        <v/>
      </c>
    </row>
    <row r="191" spans="7:20" ht="18" customHeight="1" x14ac:dyDescent="0.35">
      <c r="G191" t="str">
        <f ca="1">IFERROR(_xludf.aggregate(15,6,(ROW(BASE_PRODUTOS!$L$2:$L$1006)-ROW(BASE_PRODUTOS!$L$2)+1)/(BASE_PRODUTOS!$L$2:$L$1006&gt;0),ROWS($G$10:G191)),"")</f>
        <v/>
      </c>
      <c r="H191" s="9" t="str">
        <f ca="1">IF($G191="","",INDEX(BASE_PRODUTOS!$B$2:$B$1006,$G191))</f>
        <v/>
      </c>
      <c r="I191" s="9" t="str">
        <f ca="1">IF($G191="","",INDEX(BASE_PRODUTOS!$L$2:$L$1006,$G191))</f>
        <v/>
      </c>
      <c r="J191" s="9" t="str">
        <f ca="1">IF($G191="","",INDEX(BASE_PRODUTOS!$A$2:$A$1006,$G191))</f>
        <v/>
      </c>
      <c r="K191" s="9" t="str">
        <f ca="1">IF($G191="","",INDEX(BASE_PRODUTOS!$C$2:$C$1006,$G191))</f>
        <v/>
      </c>
      <c r="L191" s="9" t="str">
        <f ca="1">IF($G191="","",INDEX(BASE_PRODUTOS!$E$2:$E$1006,$G191))</f>
        <v/>
      </c>
      <c r="M191" s="9" t="str">
        <f ca="1">IF($G191="","",INDEX(BASE_PRODUTOS!$F$2:$F$1006,$G191))</f>
        <v/>
      </c>
      <c r="N191" s="9" t="str">
        <f ca="1">IF($G191="","",INDEX(BASE_PRODUTOS!$G$2:$G$1006,$G191))</f>
        <v/>
      </c>
      <c r="O191" s="9" t="str">
        <f ca="1">IF($G191="","",INDEX(BASE_PRODUTOS!$H$2:$H$1006,$G191))</f>
        <v/>
      </c>
      <c r="P191" s="9" t="str">
        <f ca="1">IF($G191="","",INDEX(BASE_PRODUTOS!$I$2:$I$1006,$G191))</f>
        <v/>
      </c>
      <c r="Q191" s="9" t="str">
        <f ca="1">IF($G191="","",INDEX(BASE_PRODUTOS!$J$2:$J$1006,$G191))</f>
        <v/>
      </c>
      <c r="R191" s="9" t="str">
        <f ca="1">IF($G191="","",INDEX(BASE_PRODUTOS!$M$2:$M$1006,$G191))</f>
        <v/>
      </c>
      <c r="S191" s="9" t="str">
        <f ca="1">IF($G191="","",INDEX(BASE_PRODUTOS!$N$2:$N$1006,$G191))</f>
        <v/>
      </c>
      <c r="T191" s="9" t="str">
        <f ca="1">IF($G191="","",INDEX(BASE_PRODUTOS!$D$2:$D$1006,$G191))</f>
        <v/>
      </c>
    </row>
    <row r="192" spans="7:20" ht="18" customHeight="1" x14ac:dyDescent="0.35">
      <c r="G192" t="str">
        <f ca="1">IFERROR(_xludf.aggregate(15,6,(ROW(BASE_PRODUTOS!$L$2:$L$1006)-ROW(BASE_PRODUTOS!$L$2)+1)/(BASE_PRODUTOS!$L$2:$L$1006&gt;0),ROWS($G$10:G192)),"")</f>
        <v/>
      </c>
      <c r="H192" s="9" t="str">
        <f ca="1">IF($G192="","",INDEX(BASE_PRODUTOS!$B$2:$B$1006,$G192))</f>
        <v/>
      </c>
      <c r="I192" s="9" t="str">
        <f ca="1">IF($G192="","",INDEX(BASE_PRODUTOS!$L$2:$L$1006,$G192))</f>
        <v/>
      </c>
      <c r="J192" s="9" t="str">
        <f ca="1">IF($G192="","",INDEX(BASE_PRODUTOS!$A$2:$A$1006,$G192))</f>
        <v/>
      </c>
      <c r="K192" s="9" t="str">
        <f ca="1">IF($G192="","",INDEX(BASE_PRODUTOS!$C$2:$C$1006,$G192))</f>
        <v/>
      </c>
      <c r="L192" s="9" t="str">
        <f ca="1">IF($G192="","",INDEX(BASE_PRODUTOS!$E$2:$E$1006,$G192))</f>
        <v/>
      </c>
      <c r="M192" s="9" t="str">
        <f ca="1">IF($G192="","",INDEX(BASE_PRODUTOS!$F$2:$F$1006,$G192))</f>
        <v/>
      </c>
      <c r="N192" s="9" t="str">
        <f ca="1">IF($G192="","",INDEX(BASE_PRODUTOS!$G$2:$G$1006,$G192))</f>
        <v/>
      </c>
      <c r="O192" s="9" t="str">
        <f ca="1">IF($G192="","",INDEX(BASE_PRODUTOS!$H$2:$H$1006,$G192))</f>
        <v/>
      </c>
      <c r="P192" s="9" t="str">
        <f ca="1">IF($G192="","",INDEX(BASE_PRODUTOS!$I$2:$I$1006,$G192))</f>
        <v/>
      </c>
      <c r="Q192" s="9" t="str">
        <f ca="1">IF($G192="","",INDEX(BASE_PRODUTOS!$J$2:$J$1006,$G192))</f>
        <v/>
      </c>
      <c r="R192" s="9" t="str">
        <f ca="1">IF($G192="","",INDEX(BASE_PRODUTOS!$M$2:$M$1006,$G192))</f>
        <v/>
      </c>
      <c r="S192" s="9" t="str">
        <f ca="1">IF($G192="","",INDEX(BASE_PRODUTOS!$N$2:$N$1006,$G192))</f>
        <v/>
      </c>
      <c r="T192" s="9" t="str">
        <f ca="1">IF($G192="","",INDEX(BASE_PRODUTOS!$D$2:$D$1006,$G192))</f>
        <v/>
      </c>
    </row>
    <row r="193" spans="7:20" ht="18" customHeight="1" x14ac:dyDescent="0.35">
      <c r="G193" t="str">
        <f ca="1">IFERROR(_xludf.aggregate(15,6,(ROW(BASE_PRODUTOS!$L$2:$L$1006)-ROW(BASE_PRODUTOS!$L$2)+1)/(BASE_PRODUTOS!$L$2:$L$1006&gt;0),ROWS($G$10:G193)),"")</f>
        <v/>
      </c>
      <c r="H193" s="9" t="str">
        <f ca="1">IF($G193="","",INDEX(BASE_PRODUTOS!$B$2:$B$1006,$G193))</f>
        <v/>
      </c>
      <c r="I193" s="9" t="str">
        <f ca="1">IF($G193="","",INDEX(BASE_PRODUTOS!$L$2:$L$1006,$G193))</f>
        <v/>
      </c>
      <c r="J193" s="9" t="str">
        <f ca="1">IF($G193="","",INDEX(BASE_PRODUTOS!$A$2:$A$1006,$G193))</f>
        <v/>
      </c>
      <c r="K193" s="9" t="str">
        <f ca="1">IF($G193="","",INDEX(BASE_PRODUTOS!$C$2:$C$1006,$G193))</f>
        <v/>
      </c>
      <c r="L193" s="9" t="str">
        <f ca="1">IF($G193="","",INDEX(BASE_PRODUTOS!$E$2:$E$1006,$G193))</f>
        <v/>
      </c>
      <c r="M193" s="9" t="str">
        <f ca="1">IF($G193="","",INDEX(BASE_PRODUTOS!$F$2:$F$1006,$G193))</f>
        <v/>
      </c>
      <c r="N193" s="9" t="str">
        <f ca="1">IF($G193="","",INDEX(BASE_PRODUTOS!$G$2:$G$1006,$G193))</f>
        <v/>
      </c>
      <c r="O193" s="9" t="str">
        <f ca="1">IF($G193="","",INDEX(BASE_PRODUTOS!$H$2:$H$1006,$G193))</f>
        <v/>
      </c>
      <c r="P193" s="9" t="str">
        <f ca="1">IF($G193="","",INDEX(BASE_PRODUTOS!$I$2:$I$1006,$G193))</f>
        <v/>
      </c>
      <c r="Q193" s="9" t="str">
        <f ca="1">IF($G193="","",INDEX(BASE_PRODUTOS!$J$2:$J$1006,$G193))</f>
        <v/>
      </c>
      <c r="R193" s="9" t="str">
        <f ca="1">IF($G193="","",INDEX(BASE_PRODUTOS!$M$2:$M$1006,$G193))</f>
        <v/>
      </c>
      <c r="S193" s="9" t="str">
        <f ca="1">IF($G193="","",INDEX(BASE_PRODUTOS!$N$2:$N$1006,$G193))</f>
        <v/>
      </c>
      <c r="T193" s="9" t="str">
        <f ca="1">IF($G193="","",INDEX(BASE_PRODUTOS!$D$2:$D$1006,$G193))</f>
        <v/>
      </c>
    </row>
    <row r="194" spans="7:20" ht="18" customHeight="1" x14ac:dyDescent="0.35">
      <c r="G194" t="str">
        <f ca="1">IFERROR(_xludf.aggregate(15,6,(ROW(BASE_PRODUTOS!$L$2:$L$1006)-ROW(BASE_PRODUTOS!$L$2)+1)/(BASE_PRODUTOS!$L$2:$L$1006&gt;0),ROWS($G$10:G194)),"")</f>
        <v/>
      </c>
      <c r="H194" s="9" t="str">
        <f ca="1">IF($G194="","",INDEX(BASE_PRODUTOS!$B$2:$B$1006,$G194))</f>
        <v/>
      </c>
      <c r="I194" s="9" t="str">
        <f ca="1">IF($G194="","",INDEX(BASE_PRODUTOS!$L$2:$L$1006,$G194))</f>
        <v/>
      </c>
      <c r="J194" s="9" t="str">
        <f ca="1">IF($G194="","",INDEX(BASE_PRODUTOS!$A$2:$A$1006,$G194))</f>
        <v/>
      </c>
      <c r="K194" s="9" t="str">
        <f ca="1">IF($G194="","",INDEX(BASE_PRODUTOS!$C$2:$C$1006,$G194))</f>
        <v/>
      </c>
      <c r="L194" s="9" t="str">
        <f ca="1">IF($G194="","",INDEX(BASE_PRODUTOS!$E$2:$E$1006,$G194))</f>
        <v/>
      </c>
      <c r="M194" s="9" t="str">
        <f ca="1">IF($G194="","",INDEX(BASE_PRODUTOS!$F$2:$F$1006,$G194))</f>
        <v/>
      </c>
      <c r="N194" s="9" t="str">
        <f ca="1">IF($G194="","",INDEX(BASE_PRODUTOS!$G$2:$G$1006,$G194))</f>
        <v/>
      </c>
      <c r="O194" s="9" t="str">
        <f ca="1">IF($G194="","",INDEX(BASE_PRODUTOS!$H$2:$H$1006,$G194))</f>
        <v/>
      </c>
      <c r="P194" s="9" t="str">
        <f ca="1">IF($G194="","",INDEX(BASE_PRODUTOS!$I$2:$I$1006,$G194))</f>
        <v/>
      </c>
      <c r="Q194" s="9" t="str">
        <f ca="1">IF($G194="","",INDEX(BASE_PRODUTOS!$J$2:$J$1006,$G194))</f>
        <v/>
      </c>
      <c r="R194" s="9" t="str">
        <f ca="1">IF($G194="","",INDEX(BASE_PRODUTOS!$M$2:$M$1006,$G194))</f>
        <v/>
      </c>
      <c r="S194" s="9" t="str">
        <f ca="1">IF($G194="","",INDEX(BASE_PRODUTOS!$N$2:$N$1006,$G194))</f>
        <v/>
      </c>
      <c r="T194" s="9" t="str">
        <f ca="1">IF($G194="","",INDEX(BASE_PRODUTOS!$D$2:$D$1006,$G194))</f>
        <v/>
      </c>
    </row>
    <row r="195" spans="7:20" ht="18" customHeight="1" x14ac:dyDescent="0.35">
      <c r="G195" t="str">
        <f ca="1">IFERROR(_xludf.aggregate(15,6,(ROW(BASE_PRODUTOS!$L$2:$L$1006)-ROW(BASE_PRODUTOS!$L$2)+1)/(BASE_PRODUTOS!$L$2:$L$1006&gt;0),ROWS($G$10:G195)),"")</f>
        <v/>
      </c>
      <c r="H195" s="9" t="str">
        <f ca="1">IF($G195="","",INDEX(BASE_PRODUTOS!$B$2:$B$1006,$G195))</f>
        <v/>
      </c>
      <c r="I195" s="9" t="str">
        <f ca="1">IF($G195="","",INDEX(BASE_PRODUTOS!$L$2:$L$1006,$G195))</f>
        <v/>
      </c>
      <c r="J195" s="9" t="str">
        <f ca="1">IF($G195="","",INDEX(BASE_PRODUTOS!$A$2:$A$1006,$G195))</f>
        <v/>
      </c>
      <c r="K195" s="9" t="str">
        <f ca="1">IF($G195="","",INDEX(BASE_PRODUTOS!$C$2:$C$1006,$G195))</f>
        <v/>
      </c>
      <c r="L195" s="9" t="str">
        <f ca="1">IF($G195="","",INDEX(BASE_PRODUTOS!$E$2:$E$1006,$G195))</f>
        <v/>
      </c>
      <c r="M195" s="9" t="str">
        <f ca="1">IF($G195="","",INDEX(BASE_PRODUTOS!$F$2:$F$1006,$G195))</f>
        <v/>
      </c>
      <c r="N195" s="9" t="str">
        <f ca="1">IF($G195="","",INDEX(BASE_PRODUTOS!$G$2:$G$1006,$G195))</f>
        <v/>
      </c>
      <c r="O195" s="9" t="str">
        <f ca="1">IF($G195="","",INDEX(BASE_PRODUTOS!$H$2:$H$1006,$G195))</f>
        <v/>
      </c>
      <c r="P195" s="9" t="str">
        <f ca="1">IF($G195="","",INDEX(BASE_PRODUTOS!$I$2:$I$1006,$G195))</f>
        <v/>
      </c>
      <c r="Q195" s="9" t="str">
        <f ca="1">IF($G195="","",INDEX(BASE_PRODUTOS!$J$2:$J$1006,$G195))</f>
        <v/>
      </c>
      <c r="R195" s="9" t="str">
        <f ca="1">IF($G195="","",INDEX(BASE_PRODUTOS!$M$2:$M$1006,$G195))</f>
        <v/>
      </c>
      <c r="S195" s="9" t="str">
        <f ca="1">IF($G195="","",INDEX(BASE_PRODUTOS!$N$2:$N$1006,$G195))</f>
        <v/>
      </c>
      <c r="T195" s="9" t="str">
        <f ca="1">IF($G195="","",INDEX(BASE_PRODUTOS!$D$2:$D$1006,$G195))</f>
        <v/>
      </c>
    </row>
    <row r="196" spans="7:20" ht="18" customHeight="1" x14ac:dyDescent="0.35">
      <c r="G196" t="str">
        <f ca="1">IFERROR(_xludf.aggregate(15,6,(ROW(BASE_PRODUTOS!$L$2:$L$1006)-ROW(BASE_PRODUTOS!$L$2)+1)/(BASE_PRODUTOS!$L$2:$L$1006&gt;0),ROWS($G$10:G196)),"")</f>
        <v/>
      </c>
      <c r="H196" s="9" t="str">
        <f ca="1">IF($G196="","",INDEX(BASE_PRODUTOS!$B$2:$B$1006,$G196))</f>
        <v/>
      </c>
      <c r="I196" s="9" t="str">
        <f ca="1">IF($G196="","",INDEX(BASE_PRODUTOS!$L$2:$L$1006,$G196))</f>
        <v/>
      </c>
      <c r="J196" s="9" t="str">
        <f ca="1">IF($G196="","",INDEX(BASE_PRODUTOS!$A$2:$A$1006,$G196))</f>
        <v/>
      </c>
      <c r="K196" s="9" t="str">
        <f ca="1">IF($G196="","",INDEX(BASE_PRODUTOS!$C$2:$C$1006,$G196))</f>
        <v/>
      </c>
      <c r="L196" s="9" t="str">
        <f ca="1">IF($G196="","",INDEX(BASE_PRODUTOS!$E$2:$E$1006,$G196))</f>
        <v/>
      </c>
      <c r="M196" s="9" t="str">
        <f ca="1">IF($G196="","",INDEX(BASE_PRODUTOS!$F$2:$F$1006,$G196))</f>
        <v/>
      </c>
      <c r="N196" s="9" t="str">
        <f ca="1">IF($G196="","",INDEX(BASE_PRODUTOS!$G$2:$G$1006,$G196))</f>
        <v/>
      </c>
      <c r="O196" s="9" t="str">
        <f ca="1">IF($G196="","",INDEX(BASE_PRODUTOS!$H$2:$H$1006,$G196))</f>
        <v/>
      </c>
      <c r="P196" s="9" t="str">
        <f ca="1">IF($G196="","",INDEX(BASE_PRODUTOS!$I$2:$I$1006,$G196))</f>
        <v/>
      </c>
      <c r="Q196" s="9" t="str">
        <f ca="1">IF($G196="","",INDEX(BASE_PRODUTOS!$J$2:$J$1006,$G196))</f>
        <v/>
      </c>
      <c r="R196" s="9" t="str">
        <f ca="1">IF($G196="","",INDEX(BASE_PRODUTOS!$M$2:$M$1006,$G196))</f>
        <v/>
      </c>
      <c r="S196" s="9" t="str">
        <f ca="1">IF($G196="","",INDEX(BASE_PRODUTOS!$N$2:$N$1006,$G196))</f>
        <v/>
      </c>
      <c r="T196" s="9" t="str">
        <f ca="1">IF($G196="","",INDEX(BASE_PRODUTOS!$D$2:$D$1006,$G196))</f>
        <v/>
      </c>
    </row>
    <row r="197" spans="7:20" ht="18" customHeight="1" x14ac:dyDescent="0.35">
      <c r="G197" t="str">
        <f ca="1">IFERROR(_xludf.aggregate(15,6,(ROW(BASE_PRODUTOS!$L$2:$L$1006)-ROW(BASE_PRODUTOS!$L$2)+1)/(BASE_PRODUTOS!$L$2:$L$1006&gt;0),ROWS($G$10:G197)),"")</f>
        <v/>
      </c>
      <c r="H197" s="9" t="str">
        <f ca="1">IF($G197="","",INDEX(BASE_PRODUTOS!$B$2:$B$1006,$G197))</f>
        <v/>
      </c>
      <c r="I197" s="9" t="str">
        <f ca="1">IF($G197="","",INDEX(BASE_PRODUTOS!$L$2:$L$1006,$G197))</f>
        <v/>
      </c>
      <c r="J197" s="9" t="str">
        <f ca="1">IF($G197="","",INDEX(BASE_PRODUTOS!$A$2:$A$1006,$G197))</f>
        <v/>
      </c>
      <c r="K197" s="9" t="str">
        <f ca="1">IF($G197="","",INDEX(BASE_PRODUTOS!$C$2:$C$1006,$G197))</f>
        <v/>
      </c>
      <c r="L197" s="9" t="str">
        <f ca="1">IF($G197="","",INDEX(BASE_PRODUTOS!$E$2:$E$1006,$G197))</f>
        <v/>
      </c>
      <c r="M197" s="9" t="str">
        <f ca="1">IF($G197="","",INDEX(BASE_PRODUTOS!$F$2:$F$1006,$G197))</f>
        <v/>
      </c>
      <c r="N197" s="9" t="str">
        <f ca="1">IF($G197="","",INDEX(BASE_PRODUTOS!$G$2:$G$1006,$G197))</f>
        <v/>
      </c>
      <c r="O197" s="9" t="str">
        <f ca="1">IF($G197="","",INDEX(BASE_PRODUTOS!$H$2:$H$1006,$G197))</f>
        <v/>
      </c>
      <c r="P197" s="9" t="str">
        <f ca="1">IF($G197="","",INDEX(BASE_PRODUTOS!$I$2:$I$1006,$G197))</f>
        <v/>
      </c>
      <c r="Q197" s="9" t="str">
        <f ca="1">IF($G197="","",INDEX(BASE_PRODUTOS!$J$2:$J$1006,$G197))</f>
        <v/>
      </c>
      <c r="R197" s="9" t="str">
        <f ca="1">IF($G197="","",INDEX(BASE_PRODUTOS!$M$2:$M$1006,$G197))</f>
        <v/>
      </c>
      <c r="S197" s="9" t="str">
        <f ca="1">IF($G197="","",INDEX(BASE_PRODUTOS!$N$2:$N$1006,$G197))</f>
        <v/>
      </c>
      <c r="T197" s="9" t="str">
        <f ca="1">IF($G197="","",INDEX(BASE_PRODUTOS!$D$2:$D$1006,$G197))</f>
        <v/>
      </c>
    </row>
    <row r="198" spans="7:20" ht="18" customHeight="1" x14ac:dyDescent="0.35">
      <c r="G198" t="str">
        <f ca="1">IFERROR(_xludf.aggregate(15,6,(ROW(BASE_PRODUTOS!$L$2:$L$1006)-ROW(BASE_PRODUTOS!$L$2)+1)/(BASE_PRODUTOS!$L$2:$L$1006&gt;0),ROWS($G$10:G198)),"")</f>
        <v/>
      </c>
      <c r="H198" s="9" t="str">
        <f ca="1">IF($G198="","",INDEX(BASE_PRODUTOS!$B$2:$B$1006,$G198))</f>
        <v/>
      </c>
      <c r="I198" s="9" t="str">
        <f ca="1">IF($G198="","",INDEX(BASE_PRODUTOS!$L$2:$L$1006,$G198))</f>
        <v/>
      </c>
      <c r="J198" s="9" t="str">
        <f ca="1">IF($G198="","",INDEX(BASE_PRODUTOS!$A$2:$A$1006,$G198))</f>
        <v/>
      </c>
      <c r="K198" s="9" t="str">
        <f ca="1">IF($G198="","",INDEX(BASE_PRODUTOS!$C$2:$C$1006,$G198))</f>
        <v/>
      </c>
      <c r="L198" s="9" t="str">
        <f ca="1">IF($G198="","",INDEX(BASE_PRODUTOS!$E$2:$E$1006,$G198))</f>
        <v/>
      </c>
      <c r="M198" s="9" t="str">
        <f ca="1">IF($G198="","",INDEX(BASE_PRODUTOS!$F$2:$F$1006,$G198))</f>
        <v/>
      </c>
      <c r="N198" s="9" t="str">
        <f ca="1">IF($G198="","",INDEX(BASE_PRODUTOS!$G$2:$G$1006,$G198))</f>
        <v/>
      </c>
      <c r="O198" s="9" t="str">
        <f ca="1">IF($G198="","",INDEX(BASE_PRODUTOS!$H$2:$H$1006,$G198))</f>
        <v/>
      </c>
      <c r="P198" s="9" t="str">
        <f ca="1">IF($G198="","",INDEX(BASE_PRODUTOS!$I$2:$I$1006,$G198))</f>
        <v/>
      </c>
      <c r="Q198" s="9" t="str">
        <f ca="1">IF($G198="","",INDEX(BASE_PRODUTOS!$J$2:$J$1006,$G198))</f>
        <v/>
      </c>
      <c r="R198" s="9" t="str">
        <f ca="1">IF($G198="","",INDEX(BASE_PRODUTOS!$M$2:$M$1006,$G198))</f>
        <v/>
      </c>
      <c r="S198" s="9" t="str">
        <f ca="1">IF($G198="","",INDEX(BASE_PRODUTOS!$N$2:$N$1006,$G198))</f>
        <v/>
      </c>
      <c r="T198" s="9" t="str">
        <f ca="1">IF($G198="","",INDEX(BASE_PRODUTOS!$D$2:$D$1006,$G198))</f>
        <v/>
      </c>
    </row>
    <row r="199" spans="7:20" ht="18" customHeight="1" x14ac:dyDescent="0.35">
      <c r="G199" t="str">
        <f ca="1">IFERROR(_xludf.aggregate(15,6,(ROW(BASE_PRODUTOS!$L$2:$L$1006)-ROW(BASE_PRODUTOS!$L$2)+1)/(BASE_PRODUTOS!$L$2:$L$1006&gt;0),ROWS($G$10:G199)),"")</f>
        <v/>
      </c>
      <c r="H199" s="9" t="str">
        <f ca="1">IF($G199="","",INDEX(BASE_PRODUTOS!$B$2:$B$1006,$G199))</f>
        <v/>
      </c>
      <c r="I199" s="9" t="str">
        <f ca="1">IF($G199="","",INDEX(BASE_PRODUTOS!$L$2:$L$1006,$G199))</f>
        <v/>
      </c>
      <c r="J199" s="9" t="str">
        <f ca="1">IF($G199="","",INDEX(BASE_PRODUTOS!$A$2:$A$1006,$G199))</f>
        <v/>
      </c>
      <c r="K199" s="9" t="str">
        <f ca="1">IF($G199="","",INDEX(BASE_PRODUTOS!$C$2:$C$1006,$G199))</f>
        <v/>
      </c>
      <c r="L199" s="9" t="str">
        <f ca="1">IF($G199="","",INDEX(BASE_PRODUTOS!$E$2:$E$1006,$G199))</f>
        <v/>
      </c>
      <c r="M199" s="9" t="str">
        <f ca="1">IF($G199="","",INDEX(BASE_PRODUTOS!$F$2:$F$1006,$G199))</f>
        <v/>
      </c>
      <c r="N199" s="9" t="str">
        <f ca="1">IF($G199="","",INDEX(BASE_PRODUTOS!$G$2:$G$1006,$G199))</f>
        <v/>
      </c>
      <c r="O199" s="9" t="str">
        <f ca="1">IF($G199="","",INDEX(BASE_PRODUTOS!$H$2:$H$1006,$G199))</f>
        <v/>
      </c>
      <c r="P199" s="9" t="str">
        <f ca="1">IF($G199="","",INDEX(BASE_PRODUTOS!$I$2:$I$1006,$G199))</f>
        <v/>
      </c>
      <c r="Q199" s="9" t="str">
        <f ca="1">IF($G199="","",INDEX(BASE_PRODUTOS!$J$2:$J$1006,$G199))</f>
        <v/>
      </c>
      <c r="R199" s="9" t="str">
        <f ca="1">IF($G199="","",INDEX(BASE_PRODUTOS!$M$2:$M$1006,$G199))</f>
        <v/>
      </c>
      <c r="S199" s="9" t="str">
        <f ca="1">IF($G199="","",INDEX(BASE_PRODUTOS!$N$2:$N$1006,$G199))</f>
        <v/>
      </c>
      <c r="T199" s="9" t="str">
        <f ca="1">IF($G199="","",INDEX(BASE_PRODUTOS!$D$2:$D$1006,$G199))</f>
        <v/>
      </c>
    </row>
    <row r="200" spans="7:20" ht="18" customHeight="1" x14ac:dyDescent="0.35">
      <c r="G200" t="str">
        <f ca="1">IFERROR(_xludf.aggregate(15,6,(ROW(BASE_PRODUTOS!$L$2:$L$1006)-ROW(BASE_PRODUTOS!$L$2)+1)/(BASE_PRODUTOS!$L$2:$L$1006&gt;0),ROWS($G$10:G200)),"")</f>
        <v/>
      </c>
      <c r="H200" s="9" t="str">
        <f ca="1">IF($G200="","",INDEX(BASE_PRODUTOS!$B$2:$B$1006,$G200))</f>
        <v/>
      </c>
      <c r="I200" s="9" t="str">
        <f ca="1">IF($G200="","",INDEX(BASE_PRODUTOS!$L$2:$L$1006,$G200))</f>
        <v/>
      </c>
      <c r="J200" s="9" t="str">
        <f ca="1">IF($G200="","",INDEX(BASE_PRODUTOS!$A$2:$A$1006,$G200))</f>
        <v/>
      </c>
      <c r="K200" s="9" t="str">
        <f ca="1">IF($G200="","",INDEX(BASE_PRODUTOS!$C$2:$C$1006,$G200))</f>
        <v/>
      </c>
      <c r="L200" s="9" t="str">
        <f ca="1">IF($G200="","",INDEX(BASE_PRODUTOS!$E$2:$E$1006,$G200))</f>
        <v/>
      </c>
      <c r="M200" s="9" t="str">
        <f ca="1">IF($G200="","",INDEX(BASE_PRODUTOS!$F$2:$F$1006,$G200))</f>
        <v/>
      </c>
      <c r="N200" s="9" t="str">
        <f ca="1">IF($G200="","",INDEX(BASE_PRODUTOS!$G$2:$G$1006,$G200))</f>
        <v/>
      </c>
      <c r="O200" s="9" t="str">
        <f ca="1">IF($G200="","",INDEX(BASE_PRODUTOS!$H$2:$H$1006,$G200))</f>
        <v/>
      </c>
      <c r="P200" s="9" t="str">
        <f ca="1">IF($G200="","",INDEX(BASE_PRODUTOS!$I$2:$I$1006,$G200))</f>
        <v/>
      </c>
      <c r="Q200" s="9" t="str">
        <f ca="1">IF($G200="","",INDEX(BASE_PRODUTOS!$J$2:$J$1006,$G200))</f>
        <v/>
      </c>
      <c r="R200" s="9" t="str">
        <f ca="1">IF($G200="","",INDEX(BASE_PRODUTOS!$M$2:$M$1006,$G200))</f>
        <v/>
      </c>
      <c r="S200" s="9" t="str">
        <f ca="1">IF($G200="","",INDEX(BASE_PRODUTOS!$N$2:$N$1006,$G200))</f>
        <v/>
      </c>
      <c r="T200" s="9" t="str">
        <f ca="1">IF($G200="","",INDEX(BASE_PRODUTOS!$D$2:$D$1006,$G200))</f>
        <v/>
      </c>
    </row>
    <row r="201" spans="7:20" ht="18" customHeight="1" x14ac:dyDescent="0.35">
      <c r="G201" t="str">
        <f ca="1">IFERROR(_xludf.aggregate(15,6,(ROW(BASE_PRODUTOS!$L$2:$L$1006)-ROW(BASE_PRODUTOS!$L$2)+1)/(BASE_PRODUTOS!$L$2:$L$1006&gt;0),ROWS($G$10:G201)),"")</f>
        <v/>
      </c>
      <c r="H201" s="9" t="str">
        <f ca="1">IF($G201="","",INDEX(BASE_PRODUTOS!$B$2:$B$1006,$G201))</f>
        <v/>
      </c>
      <c r="I201" s="9" t="str">
        <f ca="1">IF($G201="","",INDEX(BASE_PRODUTOS!$L$2:$L$1006,$G201))</f>
        <v/>
      </c>
      <c r="J201" s="9" t="str">
        <f ca="1">IF($G201="","",INDEX(BASE_PRODUTOS!$A$2:$A$1006,$G201))</f>
        <v/>
      </c>
      <c r="K201" s="9" t="str">
        <f ca="1">IF($G201="","",INDEX(BASE_PRODUTOS!$C$2:$C$1006,$G201))</f>
        <v/>
      </c>
      <c r="L201" s="9" t="str">
        <f ca="1">IF($G201="","",INDEX(BASE_PRODUTOS!$E$2:$E$1006,$G201))</f>
        <v/>
      </c>
      <c r="M201" s="9" t="str">
        <f ca="1">IF($G201="","",INDEX(BASE_PRODUTOS!$F$2:$F$1006,$G201))</f>
        <v/>
      </c>
      <c r="N201" s="9" t="str">
        <f ca="1">IF($G201="","",INDEX(BASE_PRODUTOS!$G$2:$G$1006,$G201))</f>
        <v/>
      </c>
      <c r="O201" s="9" t="str">
        <f ca="1">IF($G201="","",INDEX(BASE_PRODUTOS!$H$2:$H$1006,$G201))</f>
        <v/>
      </c>
      <c r="P201" s="9" t="str">
        <f ca="1">IF($G201="","",INDEX(BASE_PRODUTOS!$I$2:$I$1006,$G201))</f>
        <v/>
      </c>
      <c r="Q201" s="9" t="str">
        <f ca="1">IF($G201="","",INDEX(BASE_PRODUTOS!$J$2:$J$1006,$G201))</f>
        <v/>
      </c>
      <c r="R201" s="9" t="str">
        <f ca="1">IF($G201="","",INDEX(BASE_PRODUTOS!$M$2:$M$1006,$G201))</f>
        <v/>
      </c>
      <c r="S201" s="9" t="str">
        <f ca="1">IF($G201="","",INDEX(BASE_PRODUTOS!$N$2:$N$1006,$G201))</f>
        <v/>
      </c>
      <c r="T201" s="9" t="str">
        <f ca="1">IF($G201="","",INDEX(BASE_PRODUTOS!$D$2:$D$1006,$G201))</f>
        <v/>
      </c>
    </row>
    <row r="202" spans="7:20" ht="18" customHeight="1" x14ac:dyDescent="0.35">
      <c r="G202" t="str">
        <f ca="1">IFERROR(_xludf.aggregate(15,6,(ROW(BASE_PRODUTOS!$L$2:$L$1006)-ROW(BASE_PRODUTOS!$L$2)+1)/(BASE_PRODUTOS!$L$2:$L$1006&gt;0),ROWS($G$10:G202)),"")</f>
        <v/>
      </c>
      <c r="H202" s="9" t="str">
        <f ca="1">IF($G202="","",INDEX(BASE_PRODUTOS!$B$2:$B$1006,$G202))</f>
        <v/>
      </c>
      <c r="I202" s="9" t="str">
        <f ca="1">IF($G202="","",INDEX(BASE_PRODUTOS!$L$2:$L$1006,$G202))</f>
        <v/>
      </c>
      <c r="J202" s="9" t="str">
        <f ca="1">IF($G202="","",INDEX(BASE_PRODUTOS!$A$2:$A$1006,$G202))</f>
        <v/>
      </c>
      <c r="K202" s="9" t="str">
        <f ca="1">IF($G202="","",INDEX(BASE_PRODUTOS!$C$2:$C$1006,$G202))</f>
        <v/>
      </c>
      <c r="L202" s="9" t="str">
        <f ca="1">IF($G202="","",INDEX(BASE_PRODUTOS!$E$2:$E$1006,$G202))</f>
        <v/>
      </c>
      <c r="M202" s="9" t="str">
        <f ca="1">IF($G202="","",INDEX(BASE_PRODUTOS!$F$2:$F$1006,$G202))</f>
        <v/>
      </c>
      <c r="N202" s="9" t="str">
        <f ca="1">IF($G202="","",INDEX(BASE_PRODUTOS!$G$2:$G$1006,$G202))</f>
        <v/>
      </c>
      <c r="O202" s="9" t="str">
        <f ca="1">IF($G202="","",INDEX(BASE_PRODUTOS!$H$2:$H$1006,$G202))</f>
        <v/>
      </c>
      <c r="P202" s="9" t="str">
        <f ca="1">IF($G202="","",INDEX(BASE_PRODUTOS!$I$2:$I$1006,$G202))</f>
        <v/>
      </c>
      <c r="Q202" s="9" t="str">
        <f ca="1">IF($G202="","",INDEX(BASE_PRODUTOS!$J$2:$J$1006,$G202))</f>
        <v/>
      </c>
      <c r="R202" s="9" t="str">
        <f ca="1">IF($G202="","",INDEX(BASE_PRODUTOS!$M$2:$M$1006,$G202))</f>
        <v/>
      </c>
      <c r="S202" s="9" t="str">
        <f ca="1">IF($G202="","",INDEX(BASE_PRODUTOS!$N$2:$N$1006,$G202))</f>
        <v/>
      </c>
      <c r="T202" s="9" t="str">
        <f ca="1">IF($G202="","",INDEX(BASE_PRODUTOS!$D$2:$D$1006,$G202))</f>
        <v/>
      </c>
    </row>
    <row r="203" spans="7:20" ht="18" customHeight="1" x14ac:dyDescent="0.35">
      <c r="G203" t="str">
        <f ca="1">IFERROR(_xludf.aggregate(15,6,(ROW(BASE_PRODUTOS!$L$2:$L$1006)-ROW(BASE_PRODUTOS!$L$2)+1)/(BASE_PRODUTOS!$L$2:$L$1006&gt;0),ROWS($G$10:G203)),"")</f>
        <v/>
      </c>
      <c r="H203" s="9" t="str">
        <f ca="1">IF($G203="","",INDEX(BASE_PRODUTOS!$B$2:$B$1006,$G203))</f>
        <v/>
      </c>
      <c r="I203" s="9" t="str">
        <f ca="1">IF($G203="","",INDEX(BASE_PRODUTOS!$L$2:$L$1006,$G203))</f>
        <v/>
      </c>
      <c r="J203" s="9" t="str">
        <f ca="1">IF($G203="","",INDEX(BASE_PRODUTOS!$A$2:$A$1006,$G203))</f>
        <v/>
      </c>
      <c r="K203" s="9" t="str">
        <f ca="1">IF($G203="","",INDEX(BASE_PRODUTOS!$C$2:$C$1006,$G203))</f>
        <v/>
      </c>
      <c r="L203" s="9" t="str">
        <f ca="1">IF($G203="","",INDEX(BASE_PRODUTOS!$E$2:$E$1006,$G203))</f>
        <v/>
      </c>
      <c r="M203" s="9" t="str">
        <f ca="1">IF($G203="","",INDEX(BASE_PRODUTOS!$F$2:$F$1006,$G203))</f>
        <v/>
      </c>
      <c r="N203" s="9" t="str">
        <f ca="1">IF($G203="","",INDEX(BASE_PRODUTOS!$G$2:$G$1006,$G203))</f>
        <v/>
      </c>
      <c r="O203" s="9" t="str">
        <f ca="1">IF($G203="","",INDEX(BASE_PRODUTOS!$H$2:$H$1006,$G203))</f>
        <v/>
      </c>
      <c r="P203" s="9" t="str">
        <f ca="1">IF($G203="","",INDEX(BASE_PRODUTOS!$I$2:$I$1006,$G203))</f>
        <v/>
      </c>
      <c r="Q203" s="9" t="str">
        <f ca="1">IF($G203="","",INDEX(BASE_PRODUTOS!$J$2:$J$1006,$G203))</f>
        <v/>
      </c>
      <c r="R203" s="9" t="str">
        <f ca="1">IF($G203="","",INDEX(BASE_PRODUTOS!$M$2:$M$1006,$G203))</f>
        <v/>
      </c>
      <c r="S203" s="9" t="str">
        <f ca="1">IF($G203="","",INDEX(BASE_PRODUTOS!$N$2:$N$1006,$G203))</f>
        <v/>
      </c>
      <c r="T203" s="9" t="str">
        <f ca="1">IF($G203="","",INDEX(BASE_PRODUTOS!$D$2:$D$1006,$G203))</f>
        <v/>
      </c>
    </row>
    <row r="204" spans="7:20" ht="18" customHeight="1" x14ac:dyDescent="0.35">
      <c r="G204" t="str">
        <f ca="1">IFERROR(_xludf.aggregate(15,6,(ROW(BASE_PRODUTOS!$L$2:$L$1006)-ROW(BASE_PRODUTOS!$L$2)+1)/(BASE_PRODUTOS!$L$2:$L$1006&gt;0),ROWS($G$10:G204)),"")</f>
        <v/>
      </c>
      <c r="H204" s="9" t="str">
        <f ca="1">IF($G204="","",INDEX(BASE_PRODUTOS!$B$2:$B$1006,$G204))</f>
        <v/>
      </c>
      <c r="I204" s="9" t="str">
        <f ca="1">IF($G204="","",INDEX(BASE_PRODUTOS!$L$2:$L$1006,$G204))</f>
        <v/>
      </c>
      <c r="J204" s="9" t="str">
        <f ca="1">IF($G204="","",INDEX(BASE_PRODUTOS!$A$2:$A$1006,$G204))</f>
        <v/>
      </c>
      <c r="K204" s="9" t="str">
        <f ca="1">IF($G204="","",INDEX(BASE_PRODUTOS!$C$2:$C$1006,$G204))</f>
        <v/>
      </c>
      <c r="L204" s="9" t="str">
        <f ca="1">IF($G204="","",INDEX(BASE_PRODUTOS!$E$2:$E$1006,$G204))</f>
        <v/>
      </c>
      <c r="M204" s="9" t="str">
        <f ca="1">IF($G204="","",INDEX(BASE_PRODUTOS!$F$2:$F$1006,$G204))</f>
        <v/>
      </c>
      <c r="N204" s="9" t="str">
        <f ca="1">IF($G204="","",INDEX(BASE_PRODUTOS!$G$2:$G$1006,$G204))</f>
        <v/>
      </c>
      <c r="O204" s="9" t="str">
        <f ca="1">IF($G204="","",INDEX(BASE_PRODUTOS!$H$2:$H$1006,$G204))</f>
        <v/>
      </c>
      <c r="P204" s="9" t="str">
        <f ca="1">IF($G204="","",INDEX(BASE_PRODUTOS!$I$2:$I$1006,$G204))</f>
        <v/>
      </c>
      <c r="Q204" s="9" t="str">
        <f ca="1">IF($G204="","",INDEX(BASE_PRODUTOS!$J$2:$J$1006,$G204))</f>
        <v/>
      </c>
      <c r="R204" s="9" t="str">
        <f ca="1">IF($G204="","",INDEX(BASE_PRODUTOS!$M$2:$M$1006,$G204))</f>
        <v/>
      </c>
      <c r="S204" s="9" t="str">
        <f ca="1">IF($G204="","",INDEX(BASE_PRODUTOS!$N$2:$N$1006,$G204))</f>
        <v/>
      </c>
      <c r="T204" s="9" t="str">
        <f ca="1">IF($G204="","",INDEX(BASE_PRODUTOS!$D$2:$D$1006,$G204))</f>
        <v/>
      </c>
    </row>
    <row r="205" spans="7:20" ht="18" customHeight="1" x14ac:dyDescent="0.35">
      <c r="G205" t="str">
        <f ca="1">IFERROR(_xludf.aggregate(15,6,(ROW(BASE_PRODUTOS!$L$2:$L$1006)-ROW(BASE_PRODUTOS!$L$2)+1)/(BASE_PRODUTOS!$L$2:$L$1006&gt;0),ROWS($G$10:G205)),"")</f>
        <v/>
      </c>
      <c r="H205" s="9" t="str">
        <f ca="1">IF($G205="","",INDEX(BASE_PRODUTOS!$B$2:$B$1006,$G205))</f>
        <v/>
      </c>
      <c r="I205" s="9" t="str">
        <f ca="1">IF($G205="","",INDEX(BASE_PRODUTOS!$L$2:$L$1006,$G205))</f>
        <v/>
      </c>
      <c r="J205" s="9" t="str">
        <f ca="1">IF($G205="","",INDEX(BASE_PRODUTOS!$A$2:$A$1006,$G205))</f>
        <v/>
      </c>
      <c r="K205" s="9" t="str">
        <f ca="1">IF($G205="","",INDEX(BASE_PRODUTOS!$C$2:$C$1006,$G205))</f>
        <v/>
      </c>
      <c r="L205" s="9" t="str">
        <f ca="1">IF($G205="","",INDEX(BASE_PRODUTOS!$E$2:$E$1006,$G205))</f>
        <v/>
      </c>
      <c r="M205" s="9" t="str">
        <f ca="1">IF($G205="","",INDEX(BASE_PRODUTOS!$F$2:$F$1006,$G205))</f>
        <v/>
      </c>
      <c r="N205" s="9" t="str">
        <f ca="1">IF($G205="","",INDEX(BASE_PRODUTOS!$G$2:$G$1006,$G205))</f>
        <v/>
      </c>
      <c r="O205" s="9" t="str">
        <f ca="1">IF($G205="","",INDEX(BASE_PRODUTOS!$H$2:$H$1006,$G205))</f>
        <v/>
      </c>
      <c r="P205" s="9" t="str">
        <f ca="1">IF($G205="","",INDEX(BASE_PRODUTOS!$I$2:$I$1006,$G205))</f>
        <v/>
      </c>
      <c r="Q205" s="9" t="str">
        <f ca="1">IF($G205="","",INDEX(BASE_PRODUTOS!$J$2:$J$1006,$G205))</f>
        <v/>
      </c>
      <c r="R205" s="9" t="str">
        <f ca="1">IF($G205="","",INDEX(BASE_PRODUTOS!$M$2:$M$1006,$G205))</f>
        <v/>
      </c>
      <c r="S205" s="9" t="str">
        <f ca="1">IF($G205="","",INDEX(BASE_PRODUTOS!$N$2:$N$1006,$G205))</f>
        <v/>
      </c>
      <c r="T205" s="9" t="str">
        <f ca="1">IF($G205="","",INDEX(BASE_PRODUTOS!$D$2:$D$1006,$G205))</f>
        <v/>
      </c>
    </row>
    <row r="206" spans="7:20" ht="18" customHeight="1" x14ac:dyDescent="0.35">
      <c r="G206" t="str">
        <f ca="1">IFERROR(_xludf.aggregate(15,6,(ROW(BASE_PRODUTOS!$L$2:$L$1006)-ROW(BASE_PRODUTOS!$L$2)+1)/(BASE_PRODUTOS!$L$2:$L$1006&gt;0),ROWS($G$10:G206)),"")</f>
        <v/>
      </c>
      <c r="H206" s="9" t="str">
        <f ca="1">IF($G206="","",INDEX(BASE_PRODUTOS!$B$2:$B$1006,$G206))</f>
        <v/>
      </c>
      <c r="I206" s="9" t="str">
        <f ca="1">IF($G206="","",INDEX(BASE_PRODUTOS!$L$2:$L$1006,$G206))</f>
        <v/>
      </c>
      <c r="J206" s="9" t="str">
        <f ca="1">IF($G206="","",INDEX(BASE_PRODUTOS!$A$2:$A$1006,$G206))</f>
        <v/>
      </c>
      <c r="K206" s="9" t="str">
        <f ca="1">IF($G206="","",INDEX(BASE_PRODUTOS!$C$2:$C$1006,$G206))</f>
        <v/>
      </c>
      <c r="L206" s="9" t="str">
        <f ca="1">IF($G206="","",INDEX(BASE_PRODUTOS!$E$2:$E$1006,$G206))</f>
        <v/>
      </c>
      <c r="M206" s="9" t="str">
        <f ca="1">IF($G206="","",INDEX(BASE_PRODUTOS!$F$2:$F$1006,$G206))</f>
        <v/>
      </c>
      <c r="N206" s="9" t="str">
        <f ca="1">IF($G206="","",INDEX(BASE_PRODUTOS!$G$2:$G$1006,$G206))</f>
        <v/>
      </c>
      <c r="O206" s="9" t="str">
        <f ca="1">IF($G206="","",INDEX(BASE_PRODUTOS!$H$2:$H$1006,$G206))</f>
        <v/>
      </c>
      <c r="P206" s="9" t="str">
        <f ca="1">IF($G206="","",INDEX(BASE_PRODUTOS!$I$2:$I$1006,$G206))</f>
        <v/>
      </c>
      <c r="Q206" s="9" t="str">
        <f ca="1">IF($G206="","",INDEX(BASE_PRODUTOS!$J$2:$J$1006,$G206))</f>
        <v/>
      </c>
      <c r="R206" s="9" t="str">
        <f ca="1">IF($G206="","",INDEX(BASE_PRODUTOS!$M$2:$M$1006,$G206))</f>
        <v/>
      </c>
      <c r="S206" s="9" t="str">
        <f ca="1">IF($G206="","",INDEX(BASE_PRODUTOS!$N$2:$N$1006,$G206))</f>
        <v/>
      </c>
      <c r="T206" s="9" t="str">
        <f ca="1">IF($G206="","",INDEX(BASE_PRODUTOS!$D$2:$D$1006,$G206))</f>
        <v/>
      </c>
    </row>
    <row r="207" spans="7:20" ht="18" customHeight="1" x14ac:dyDescent="0.35">
      <c r="G207" t="str">
        <f ca="1">IFERROR(_xludf.aggregate(15,6,(ROW(BASE_PRODUTOS!$L$2:$L$1006)-ROW(BASE_PRODUTOS!$L$2)+1)/(BASE_PRODUTOS!$L$2:$L$1006&gt;0),ROWS($G$10:G207)),"")</f>
        <v/>
      </c>
      <c r="H207" s="9" t="str">
        <f ca="1">IF($G207="","",INDEX(BASE_PRODUTOS!$B$2:$B$1006,$G207))</f>
        <v/>
      </c>
      <c r="I207" s="9" t="str">
        <f ca="1">IF($G207="","",INDEX(BASE_PRODUTOS!$L$2:$L$1006,$G207))</f>
        <v/>
      </c>
      <c r="J207" s="9" t="str">
        <f ca="1">IF($G207="","",INDEX(BASE_PRODUTOS!$A$2:$A$1006,$G207))</f>
        <v/>
      </c>
      <c r="K207" s="9" t="str">
        <f ca="1">IF($G207="","",INDEX(BASE_PRODUTOS!$C$2:$C$1006,$G207))</f>
        <v/>
      </c>
      <c r="L207" s="9" t="str">
        <f ca="1">IF($G207="","",INDEX(BASE_PRODUTOS!$E$2:$E$1006,$G207))</f>
        <v/>
      </c>
      <c r="M207" s="9" t="str">
        <f ca="1">IF($G207="","",INDEX(BASE_PRODUTOS!$F$2:$F$1006,$G207))</f>
        <v/>
      </c>
      <c r="N207" s="9" t="str">
        <f ca="1">IF($G207="","",INDEX(BASE_PRODUTOS!$G$2:$G$1006,$G207))</f>
        <v/>
      </c>
      <c r="O207" s="9" t="str">
        <f ca="1">IF($G207="","",INDEX(BASE_PRODUTOS!$H$2:$H$1006,$G207))</f>
        <v/>
      </c>
      <c r="P207" s="9" t="str">
        <f ca="1">IF($G207="","",INDEX(BASE_PRODUTOS!$I$2:$I$1006,$G207))</f>
        <v/>
      </c>
      <c r="Q207" s="9" t="str">
        <f ca="1">IF($G207="","",INDEX(BASE_PRODUTOS!$J$2:$J$1006,$G207))</f>
        <v/>
      </c>
      <c r="R207" s="9" t="str">
        <f ca="1">IF($G207="","",INDEX(BASE_PRODUTOS!$M$2:$M$1006,$G207))</f>
        <v/>
      </c>
      <c r="S207" s="9" t="str">
        <f ca="1">IF($G207="","",INDEX(BASE_PRODUTOS!$N$2:$N$1006,$G207))</f>
        <v/>
      </c>
      <c r="T207" s="9" t="str">
        <f ca="1">IF($G207="","",INDEX(BASE_PRODUTOS!$D$2:$D$1006,$G207))</f>
        <v/>
      </c>
    </row>
    <row r="208" spans="7:20" ht="18" customHeight="1" x14ac:dyDescent="0.35">
      <c r="G208" t="str">
        <f ca="1">IFERROR(_xludf.aggregate(15,6,(ROW(BASE_PRODUTOS!$L$2:$L$1006)-ROW(BASE_PRODUTOS!$L$2)+1)/(BASE_PRODUTOS!$L$2:$L$1006&gt;0),ROWS($G$10:G208)),"")</f>
        <v/>
      </c>
      <c r="H208" s="9" t="str">
        <f ca="1">IF($G208="","",INDEX(BASE_PRODUTOS!$B$2:$B$1006,$G208))</f>
        <v/>
      </c>
      <c r="I208" s="9" t="str">
        <f ca="1">IF($G208="","",INDEX(BASE_PRODUTOS!$L$2:$L$1006,$G208))</f>
        <v/>
      </c>
      <c r="J208" s="9" t="str">
        <f ca="1">IF($G208="","",INDEX(BASE_PRODUTOS!$A$2:$A$1006,$G208))</f>
        <v/>
      </c>
      <c r="K208" s="9" t="str">
        <f ca="1">IF($G208="","",INDEX(BASE_PRODUTOS!$C$2:$C$1006,$G208))</f>
        <v/>
      </c>
      <c r="L208" s="9" t="str">
        <f ca="1">IF($G208="","",INDEX(BASE_PRODUTOS!$E$2:$E$1006,$G208))</f>
        <v/>
      </c>
      <c r="M208" s="9" t="str">
        <f ca="1">IF($G208="","",INDEX(BASE_PRODUTOS!$F$2:$F$1006,$G208))</f>
        <v/>
      </c>
      <c r="N208" s="9" t="str">
        <f ca="1">IF($G208="","",INDEX(BASE_PRODUTOS!$G$2:$G$1006,$G208))</f>
        <v/>
      </c>
      <c r="O208" s="9" t="str">
        <f ca="1">IF($G208="","",INDEX(BASE_PRODUTOS!$H$2:$H$1006,$G208))</f>
        <v/>
      </c>
      <c r="P208" s="9" t="str">
        <f ca="1">IF($G208="","",INDEX(BASE_PRODUTOS!$I$2:$I$1006,$G208))</f>
        <v/>
      </c>
      <c r="Q208" s="9" t="str">
        <f ca="1">IF($G208="","",INDEX(BASE_PRODUTOS!$J$2:$J$1006,$G208))</f>
        <v/>
      </c>
      <c r="R208" s="9" t="str">
        <f ca="1">IF($G208="","",INDEX(BASE_PRODUTOS!$M$2:$M$1006,$G208))</f>
        <v/>
      </c>
      <c r="S208" s="9" t="str">
        <f ca="1">IF($G208="","",INDEX(BASE_PRODUTOS!$N$2:$N$1006,$G208))</f>
        <v/>
      </c>
      <c r="T208" s="9" t="str">
        <f ca="1">IF($G208="","",INDEX(BASE_PRODUTOS!$D$2:$D$1006,$G208))</f>
        <v/>
      </c>
    </row>
    <row r="209" spans="7:20" ht="18" customHeight="1" x14ac:dyDescent="0.35">
      <c r="G209" t="str">
        <f ca="1">IFERROR(_xludf.aggregate(15,6,(ROW(BASE_PRODUTOS!$L$2:$L$1006)-ROW(BASE_PRODUTOS!$L$2)+1)/(BASE_PRODUTOS!$L$2:$L$1006&gt;0),ROWS($G$10:G209)),"")</f>
        <v/>
      </c>
      <c r="H209" s="9" t="str">
        <f ca="1">IF($G209="","",INDEX(BASE_PRODUTOS!$B$2:$B$1006,$G209))</f>
        <v/>
      </c>
      <c r="I209" s="9" t="str">
        <f ca="1">IF($G209="","",INDEX(BASE_PRODUTOS!$L$2:$L$1006,$G209))</f>
        <v/>
      </c>
      <c r="J209" s="9" t="str">
        <f ca="1">IF($G209="","",INDEX(BASE_PRODUTOS!$A$2:$A$1006,$G209))</f>
        <v/>
      </c>
      <c r="K209" s="9" t="str">
        <f ca="1">IF($G209="","",INDEX(BASE_PRODUTOS!$C$2:$C$1006,$G209))</f>
        <v/>
      </c>
      <c r="L209" s="9" t="str">
        <f ca="1">IF($G209="","",INDEX(BASE_PRODUTOS!$E$2:$E$1006,$G209))</f>
        <v/>
      </c>
      <c r="M209" s="9" t="str">
        <f ca="1">IF($G209="","",INDEX(BASE_PRODUTOS!$F$2:$F$1006,$G209))</f>
        <v/>
      </c>
      <c r="N209" s="9" t="str">
        <f ca="1">IF($G209="","",INDEX(BASE_PRODUTOS!$G$2:$G$1006,$G209))</f>
        <v/>
      </c>
      <c r="O209" s="9" t="str">
        <f ca="1">IF($G209="","",INDEX(BASE_PRODUTOS!$H$2:$H$1006,$G209))</f>
        <v/>
      </c>
      <c r="P209" s="9" t="str">
        <f ca="1">IF($G209="","",INDEX(BASE_PRODUTOS!$I$2:$I$1006,$G209))</f>
        <v/>
      </c>
      <c r="Q209" s="9" t="str">
        <f ca="1">IF($G209="","",INDEX(BASE_PRODUTOS!$J$2:$J$1006,$G209))</f>
        <v/>
      </c>
      <c r="R209" s="9" t="str">
        <f ca="1">IF($G209="","",INDEX(BASE_PRODUTOS!$M$2:$M$1006,$G209))</f>
        <v/>
      </c>
      <c r="S209" s="9" t="str">
        <f ca="1">IF($G209="","",INDEX(BASE_PRODUTOS!$N$2:$N$1006,$G209))</f>
        <v/>
      </c>
      <c r="T209" s="9" t="str">
        <f ca="1">IF($G209="","",INDEX(BASE_PRODUTOS!$D$2:$D$1006,$G209))</f>
        <v/>
      </c>
    </row>
    <row r="210" spans="7:20" ht="18" customHeight="1" x14ac:dyDescent="0.35">
      <c r="G210" t="str">
        <f ca="1">IFERROR(_xludf.aggregate(15,6,(ROW(BASE_PRODUTOS!$L$2:$L$1006)-ROW(BASE_PRODUTOS!$L$2)+1)/(BASE_PRODUTOS!$L$2:$L$1006&gt;0),ROWS($G$10:G210)),"")</f>
        <v/>
      </c>
      <c r="H210" s="9" t="str">
        <f ca="1">IF($G210="","",INDEX(BASE_PRODUTOS!$B$2:$B$1006,$G210))</f>
        <v/>
      </c>
      <c r="I210" s="9" t="str">
        <f ca="1">IF($G210="","",INDEX(BASE_PRODUTOS!$L$2:$L$1006,$G210))</f>
        <v/>
      </c>
      <c r="J210" s="9" t="str">
        <f ca="1">IF($G210="","",INDEX(BASE_PRODUTOS!$A$2:$A$1006,$G210))</f>
        <v/>
      </c>
      <c r="K210" s="9" t="str">
        <f ca="1">IF($G210="","",INDEX(BASE_PRODUTOS!$C$2:$C$1006,$G210))</f>
        <v/>
      </c>
      <c r="L210" s="9" t="str">
        <f ca="1">IF($G210="","",INDEX(BASE_PRODUTOS!$E$2:$E$1006,$G210))</f>
        <v/>
      </c>
      <c r="M210" s="9" t="str">
        <f ca="1">IF($G210="","",INDEX(BASE_PRODUTOS!$F$2:$F$1006,$G210))</f>
        <v/>
      </c>
      <c r="N210" s="9" t="str">
        <f ca="1">IF($G210="","",INDEX(BASE_PRODUTOS!$G$2:$G$1006,$G210))</f>
        <v/>
      </c>
      <c r="O210" s="9" t="str">
        <f ca="1">IF($G210="","",INDEX(BASE_PRODUTOS!$H$2:$H$1006,$G210))</f>
        <v/>
      </c>
      <c r="P210" s="9" t="str">
        <f ca="1">IF($G210="","",INDEX(BASE_PRODUTOS!$I$2:$I$1006,$G210))</f>
        <v/>
      </c>
      <c r="Q210" s="9" t="str">
        <f ca="1">IF($G210="","",INDEX(BASE_PRODUTOS!$J$2:$J$1006,$G210))</f>
        <v/>
      </c>
      <c r="R210" s="9" t="str">
        <f ca="1">IF($G210="","",INDEX(BASE_PRODUTOS!$M$2:$M$1006,$G210))</f>
        <v/>
      </c>
      <c r="S210" s="9" t="str">
        <f ca="1">IF($G210="","",INDEX(BASE_PRODUTOS!$N$2:$N$1006,$G210))</f>
        <v/>
      </c>
      <c r="T210" s="9" t="str">
        <f ca="1">IF($G210="","",INDEX(BASE_PRODUTOS!$D$2:$D$1006,$G210))</f>
        <v/>
      </c>
    </row>
    <row r="211" spans="7:20" ht="18" customHeight="1" x14ac:dyDescent="0.35">
      <c r="G211" t="str">
        <f ca="1">IFERROR(_xludf.aggregate(15,6,(ROW(BASE_PRODUTOS!$L$2:$L$1006)-ROW(BASE_PRODUTOS!$L$2)+1)/(BASE_PRODUTOS!$L$2:$L$1006&gt;0),ROWS($G$10:G211)),"")</f>
        <v/>
      </c>
      <c r="H211" s="9" t="str">
        <f ca="1">IF($G211="","",INDEX(BASE_PRODUTOS!$B$2:$B$1006,$G211))</f>
        <v/>
      </c>
      <c r="I211" s="9" t="str">
        <f ca="1">IF($G211="","",INDEX(BASE_PRODUTOS!$L$2:$L$1006,$G211))</f>
        <v/>
      </c>
      <c r="J211" s="9" t="str">
        <f ca="1">IF($G211="","",INDEX(BASE_PRODUTOS!$A$2:$A$1006,$G211))</f>
        <v/>
      </c>
      <c r="K211" s="9" t="str">
        <f ca="1">IF($G211="","",INDEX(BASE_PRODUTOS!$C$2:$C$1006,$G211))</f>
        <v/>
      </c>
      <c r="L211" s="9" t="str">
        <f ca="1">IF($G211="","",INDEX(BASE_PRODUTOS!$E$2:$E$1006,$G211))</f>
        <v/>
      </c>
      <c r="M211" s="9" t="str">
        <f ca="1">IF($G211="","",INDEX(BASE_PRODUTOS!$F$2:$F$1006,$G211))</f>
        <v/>
      </c>
      <c r="N211" s="9" t="str">
        <f ca="1">IF($G211="","",INDEX(BASE_PRODUTOS!$G$2:$G$1006,$G211))</f>
        <v/>
      </c>
      <c r="O211" s="9" t="str">
        <f ca="1">IF($G211="","",INDEX(BASE_PRODUTOS!$H$2:$H$1006,$G211))</f>
        <v/>
      </c>
      <c r="P211" s="9" t="str">
        <f ca="1">IF($G211="","",INDEX(BASE_PRODUTOS!$I$2:$I$1006,$G211))</f>
        <v/>
      </c>
      <c r="Q211" s="9" t="str">
        <f ca="1">IF($G211="","",INDEX(BASE_PRODUTOS!$J$2:$J$1006,$G211))</f>
        <v/>
      </c>
      <c r="R211" s="9" t="str">
        <f ca="1">IF($G211="","",INDEX(BASE_PRODUTOS!$M$2:$M$1006,$G211))</f>
        <v/>
      </c>
      <c r="S211" s="9" t="str">
        <f ca="1">IF($G211="","",INDEX(BASE_PRODUTOS!$N$2:$N$1006,$G211))</f>
        <v/>
      </c>
      <c r="T211" s="9" t="str">
        <f ca="1">IF($G211="","",INDEX(BASE_PRODUTOS!$D$2:$D$1006,$G211))</f>
        <v/>
      </c>
    </row>
    <row r="212" spans="7:20" ht="18" customHeight="1" x14ac:dyDescent="0.35">
      <c r="G212" t="str">
        <f ca="1">IFERROR(_xludf.aggregate(15,6,(ROW(BASE_PRODUTOS!$L$2:$L$1006)-ROW(BASE_PRODUTOS!$L$2)+1)/(BASE_PRODUTOS!$L$2:$L$1006&gt;0),ROWS($G$10:G212)),"")</f>
        <v/>
      </c>
      <c r="H212" s="9" t="str">
        <f ca="1">IF($G212="","",INDEX(BASE_PRODUTOS!$B$2:$B$1006,$G212))</f>
        <v/>
      </c>
      <c r="I212" s="9" t="str">
        <f ca="1">IF($G212="","",INDEX(BASE_PRODUTOS!$L$2:$L$1006,$G212))</f>
        <v/>
      </c>
      <c r="J212" s="9" t="str">
        <f ca="1">IF($G212="","",INDEX(BASE_PRODUTOS!$A$2:$A$1006,$G212))</f>
        <v/>
      </c>
      <c r="K212" s="9" t="str">
        <f ca="1">IF($G212="","",INDEX(BASE_PRODUTOS!$C$2:$C$1006,$G212))</f>
        <v/>
      </c>
      <c r="L212" s="9" t="str">
        <f ca="1">IF($G212="","",INDEX(BASE_PRODUTOS!$E$2:$E$1006,$G212))</f>
        <v/>
      </c>
      <c r="M212" s="9" t="str">
        <f ca="1">IF($G212="","",INDEX(BASE_PRODUTOS!$F$2:$F$1006,$G212))</f>
        <v/>
      </c>
      <c r="N212" s="9" t="str">
        <f ca="1">IF($G212="","",INDEX(BASE_PRODUTOS!$G$2:$G$1006,$G212))</f>
        <v/>
      </c>
      <c r="O212" s="9" t="str">
        <f ca="1">IF($G212="","",INDEX(BASE_PRODUTOS!$H$2:$H$1006,$G212))</f>
        <v/>
      </c>
      <c r="P212" s="9" t="str">
        <f ca="1">IF($G212="","",INDEX(BASE_PRODUTOS!$I$2:$I$1006,$G212))</f>
        <v/>
      </c>
      <c r="Q212" s="9" t="str">
        <f ca="1">IF($G212="","",INDEX(BASE_PRODUTOS!$J$2:$J$1006,$G212))</f>
        <v/>
      </c>
      <c r="R212" s="9" t="str">
        <f ca="1">IF($G212="","",INDEX(BASE_PRODUTOS!$M$2:$M$1006,$G212))</f>
        <v/>
      </c>
      <c r="S212" s="9" t="str">
        <f ca="1">IF($G212="","",INDEX(BASE_PRODUTOS!$N$2:$N$1006,$G212))</f>
        <v/>
      </c>
      <c r="T212" s="9" t="str">
        <f ca="1">IF($G212="","",INDEX(BASE_PRODUTOS!$D$2:$D$1006,$G212))</f>
        <v/>
      </c>
    </row>
    <row r="213" spans="7:20" ht="18" customHeight="1" x14ac:dyDescent="0.35">
      <c r="G213" t="str">
        <f ca="1">IFERROR(_xludf.aggregate(15,6,(ROW(BASE_PRODUTOS!$L$2:$L$1006)-ROW(BASE_PRODUTOS!$L$2)+1)/(BASE_PRODUTOS!$L$2:$L$1006&gt;0),ROWS($G$10:G213)),"")</f>
        <v/>
      </c>
      <c r="H213" s="9" t="str">
        <f ca="1">IF($G213="","",INDEX(BASE_PRODUTOS!$B$2:$B$1006,$G213))</f>
        <v/>
      </c>
      <c r="I213" s="9" t="str">
        <f ca="1">IF($G213="","",INDEX(BASE_PRODUTOS!$L$2:$L$1006,$G213))</f>
        <v/>
      </c>
      <c r="J213" s="9" t="str">
        <f ca="1">IF($G213="","",INDEX(BASE_PRODUTOS!$A$2:$A$1006,$G213))</f>
        <v/>
      </c>
      <c r="K213" s="9" t="str">
        <f ca="1">IF($G213="","",INDEX(BASE_PRODUTOS!$C$2:$C$1006,$G213))</f>
        <v/>
      </c>
      <c r="L213" s="9" t="str">
        <f ca="1">IF($G213="","",INDEX(BASE_PRODUTOS!$E$2:$E$1006,$G213))</f>
        <v/>
      </c>
      <c r="M213" s="9" t="str">
        <f ca="1">IF($G213="","",INDEX(BASE_PRODUTOS!$F$2:$F$1006,$G213))</f>
        <v/>
      </c>
      <c r="N213" s="9" t="str">
        <f ca="1">IF($G213="","",INDEX(BASE_PRODUTOS!$G$2:$G$1006,$G213))</f>
        <v/>
      </c>
      <c r="O213" s="9" t="str">
        <f ca="1">IF($G213="","",INDEX(BASE_PRODUTOS!$H$2:$H$1006,$G213))</f>
        <v/>
      </c>
      <c r="P213" s="9" t="str">
        <f ca="1">IF($G213="","",INDEX(BASE_PRODUTOS!$I$2:$I$1006,$G213))</f>
        <v/>
      </c>
      <c r="Q213" s="9" t="str">
        <f ca="1">IF($G213="","",INDEX(BASE_PRODUTOS!$J$2:$J$1006,$G213))</f>
        <v/>
      </c>
      <c r="R213" s="9" t="str">
        <f ca="1">IF($G213="","",INDEX(BASE_PRODUTOS!$M$2:$M$1006,$G213))</f>
        <v/>
      </c>
      <c r="S213" s="9" t="str">
        <f ca="1">IF($G213="","",INDEX(BASE_PRODUTOS!$N$2:$N$1006,$G213))</f>
        <v/>
      </c>
      <c r="T213" s="9" t="str">
        <f ca="1">IF($G213="","",INDEX(BASE_PRODUTOS!$D$2:$D$1006,$G213))</f>
        <v/>
      </c>
    </row>
    <row r="214" spans="7:20" ht="18" customHeight="1" x14ac:dyDescent="0.35">
      <c r="G214" t="str">
        <f ca="1">IFERROR(_xludf.aggregate(15,6,(ROW(BASE_PRODUTOS!$L$2:$L$1006)-ROW(BASE_PRODUTOS!$L$2)+1)/(BASE_PRODUTOS!$L$2:$L$1006&gt;0),ROWS($G$10:G214)),"")</f>
        <v/>
      </c>
      <c r="H214" s="9" t="str">
        <f ca="1">IF($G214="","",INDEX(BASE_PRODUTOS!$B$2:$B$1006,$G214))</f>
        <v/>
      </c>
      <c r="I214" s="9" t="str">
        <f ca="1">IF($G214="","",INDEX(BASE_PRODUTOS!$L$2:$L$1006,$G214))</f>
        <v/>
      </c>
      <c r="J214" s="9" t="str">
        <f ca="1">IF($G214="","",INDEX(BASE_PRODUTOS!$A$2:$A$1006,$G214))</f>
        <v/>
      </c>
      <c r="K214" s="9" t="str">
        <f ca="1">IF($G214="","",INDEX(BASE_PRODUTOS!$C$2:$C$1006,$G214))</f>
        <v/>
      </c>
      <c r="L214" s="9" t="str">
        <f ca="1">IF($G214="","",INDEX(BASE_PRODUTOS!$E$2:$E$1006,$G214))</f>
        <v/>
      </c>
      <c r="M214" s="9" t="str">
        <f ca="1">IF($G214="","",INDEX(BASE_PRODUTOS!$F$2:$F$1006,$G214))</f>
        <v/>
      </c>
      <c r="N214" s="9" t="str">
        <f ca="1">IF($G214="","",INDEX(BASE_PRODUTOS!$G$2:$G$1006,$G214))</f>
        <v/>
      </c>
      <c r="O214" s="9" t="str">
        <f ca="1">IF($G214="","",INDEX(BASE_PRODUTOS!$H$2:$H$1006,$G214))</f>
        <v/>
      </c>
      <c r="P214" s="9" t="str">
        <f ca="1">IF($G214="","",INDEX(BASE_PRODUTOS!$I$2:$I$1006,$G214))</f>
        <v/>
      </c>
      <c r="Q214" s="9" t="str">
        <f ca="1">IF($G214="","",INDEX(BASE_PRODUTOS!$J$2:$J$1006,$G214))</f>
        <v/>
      </c>
      <c r="R214" s="9" t="str">
        <f ca="1">IF($G214="","",INDEX(BASE_PRODUTOS!$M$2:$M$1006,$G214))</f>
        <v/>
      </c>
      <c r="S214" s="9" t="str">
        <f ca="1">IF($G214="","",INDEX(BASE_PRODUTOS!$N$2:$N$1006,$G214))</f>
        <v/>
      </c>
      <c r="T214" s="9" t="str">
        <f ca="1">IF($G214="","",INDEX(BASE_PRODUTOS!$D$2:$D$1006,$G214))</f>
        <v/>
      </c>
    </row>
    <row r="215" spans="7:20" ht="18" customHeight="1" x14ac:dyDescent="0.35">
      <c r="G215" t="str">
        <f ca="1">IFERROR(_xludf.aggregate(15,6,(ROW(BASE_PRODUTOS!$L$2:$L$1006)-ROW(BASE_PRODUTOS!$L$2)+1)/(BASE_PRODUTOS!$L$2:$L$1006&gt;0),ROWS($G$10:G215)),"")</f>
        <v/>
      </c>
      <c r="H215" s="9" t="str">
        <f ca="1">IF($G215="","",INDEX(BASE_PRODUTOS!$B$2:$B$1006,$G215))</f>
        <v/>
      </c>
      <c r="I215" s="9" t="str">
        <f ca="1">IF($G215="","",INDEX(BASE_PRODUTOS!$L$2:$L$1006,$G215))</f>
        <v/>
      </c>
      <c r="J215" s="9" t="str">
        <f ca="1">IF($G215="","",INDEX(BASE_PRODUTOS!$A$2:$A$1006,$G215))</f>
        <v/>
      </c>
      <c r="K215" s="9" t="str">
        <f ca="1">IF($G215="","",INDEX(BASE_PRODUTOS!$C$2:$C$1006,$G215))</f>
        <v/>
      </c>
      <c r="L215" s="9" t="str">
        <f ca="1">IF($G215="","",INDEX(BASE_PRODUTOS!$E$2:$E$1006,$G215))</f>
        <v/>
      </c>
      <c r="M215" s="9" t="str">
        <f ca="1">IF($G215="","",INDEX(BASE_PRODUTOS!$F$2:$F$1006,$G215))</f>
        <v/>
      </c>
      <c r="N215" s="9" t="str">
        <f ca="1">IF($G215="","",INDEX(BASE_PRODUTOS!$G$2:$G$1006,$G215))</f>
        <v/>
      </c>
      <c r="O215" s="9" t="str">
        <f ca="1">IF($G215="","",INDEX(BASE_PRODUTOS!$H$2:$H$1006,$G215))</f>
        <v/>
      </c>
      <c r="P215" s="9" t="str">
        <f ca="1">IF($G215="","",INDEX(BASE_PRODUTOS!$I$2:$I$1006,$G215))</f>
        <v/>
      </c>
      <c r="Q215" s="9" t="str">
        <f ca="1">IF($G215="","",INDEX(BASE_PRODUTOS!$J$2:$J$1006,$G215))</f>
        <v/>
      </c>
      <c r="R215" s="9" t="str">
        <f ca="1">IF($G215="","",INDEX(BASE_PRODUTOS!$M$2:$M$1006,$G215))</f>
        <v/>
      </c>
      <c r="S215" s="9" t="str">
        <f ca="1">IF($G215="","",INDEX(BASE_PRODUTOS!$N$2:$N$1006,$G215))</f>
        <v/>
      </c>
      <c r="T215" s="9" t="str">
        <f ca="1">IF($G215="","",INDEX(BASE_PRODUTOS!$D$2:$D$1006,$G215))</f>
        <v/>
      </c>
    </row>
    <row r="216" spans="7:20" ht="18" customHeight="1" x14ac:dyDescent="0.35">
      <c r="G216" t="str">
        <f ca="1">IFERROR(_xludf.aggregate(15,6,(ROW(BASE_PRODUTOS!$L$2:$L$1006)-ROW(BASE_PRODUTOS!$L$2)+1)/(BASE_PRODUTOS!$L$2:$L$1006&gt;0),ROWS($G$10:G216)),"")</f>
        <v/>
      </c>
      <c r="H216" s="9" t="str">
        <f ca="1">IF($G216="","",INDEX(BASE_PRODUTOS!$B$2:$B$1006,$G216))</f>
        <v/>
      </c>
      <c r="I216" s="9" t="str">
        <f ca="1">IF($G216="","",INDEX(BASE_PRODUTOS!$L$2:$L$1006,$G216))</f>
        <v/>
      </c>
      <c r="J216" s="9" t="str">
        <f ca="1">IF($G216="","",INDEX(BASE_PRODUTOS!$A$2:$A$1006,$G216))</f>
        <v/>
      </c>
      <c r="K216" s="9" t="str">
        <f ca="1">IF($G216="","",INDEX(BASE_PRODUTOS!$C$2:$C$1006,$G216))</f>
        <v/>
      </c>
      <c r="L216" s="9" t="str">
        <f ca="1">IF($G216="","",INDEX(BASE_PRODUTOS!$E$2:$E$1006,$G216))</f>
        <v/>
      </c>
      <c r="M216" s="9" t="str">
        <f ca="1">IF($G216="","",INDEX(BASE_PRODUTOS!$F$2:$F$1006,$G216))</f>
        <v/>
      </c>
      <c r="N216" s="9" t="str">
        <f ca="1">IF($G216="","",INDEX(BASE_PRODUTOS!$G$2:$G$1006,$G216))</f>
        <v/>
      </c>
      <c r="O216" s="9" t="str">
        <f ca="1">IF($G216="","",INDEX(BASE_PRODUTOS!$H$2:$H$1006,$G216))</f>
        <v/>
      </c>
      <c r="P216" s="9" t="str">
        <f ca="1">IF($G216="","",INDEX(BASE_PRODUTOS!$I$2:$I$1006,$G216))</f>
        <v/>
      </c>
      <c r="Q216" s="9" t="str">
        <f ca="1">IF($G216="","",INDEX(BASE_PRODUTOS!$J$2:$J$1006,$G216))</f>
        <v/>
      </c>
      <c r="R216" s="9" t="str">
        <f ca="1">IF($G216="","",INDEX(BASE_PRODUTOS!$M$2:$M$1006,$G216))</f>
        <v/>
      </c>
      <c r="S216" s="9" t="str">
        <f ca="1">IF($G216="","",INDEX(BASE_PRODUTOS!$N$2:$N$1006,$G216))</f>
        <v/>
      </c>
      <c r="T216" s="9" t="str">
        <f ca="1">IF($G216="","",INDEX(BASE_PRODUTOS!$D$2:$D$1006,$G216))</f>
        <v/>
      </c>
    </row>
    <row r="217" spans="7:20" ht="18" customHeight="1" x14ac:dyDescent="0.35">
      <c r="G217" t="str">
        <f ca="1">IFERROR(_xludf.aggregate(15,6,(ROW(BASE_PRODUTOS!$L$2:$L$1006)-ROW(BASE_PRODUTOS!$L$2)+1)/(BASE_PRODUTOS!$L$2:$L$1006&gt;0),ROWS($G$10:G217)),"")</f>
        <v/>
      </c>
      <c r="H217" s="9" t="str">
        <f ca="1">IF($G217="","",INDEX(BASE_PRODUTOS!$B$2:$B$1006,$G217))</f>
        <v/>
      </c>
      <c r="I217" s="9" t="str">
        <f ca="1">IF($G217="","",INDEX(BASE_PRODUTOS!$L$2:$L$1006,$G217))</f>
        <v/>
      </c>
      <c r="J217" s="9" t="str">
        <f ca="1">IF($G217="","",INDEX(BASE_PRODUTOS!$A$2:$A$1006,$G217))</f>
        <v/>
      </c>
      <c r="K217" s="9" t="str">
        <f ca="1">IF($G217="","",INDEX(BASE_PRODUTOS!$C$2:$C$1006,$G217))</f>
        <v/>
      </c>
      <c r="L217" s="9" t="str">
        <f ca="1">IF($G217="","",INDEX(BASE_PRODUTOS!$E$2:$E$1006,$G217))</f>
        <v/>
      </c>
      <c r="M217" s="9" t="str">
        <f ca="1">IF($G217="","",INDEX(BASE_PRODUTOS!$F$2:$F$1006,$G217))</f>
        <v/>
      </c>
      <c r="N217" s="9" t="str">
        <f ca="1">IF($G217="","",INDEX(BASE_PRODUTOS!$G$2:$G$1006,$G217))</f>
        <v/>
      </c>
      <c r="O217" s="9" t="str">
        <f ca="1">IF($G217="","",INDEX(BASE_PRODUTOS!$H$2:$H$1006,$G217))</f>
        <v/>
      </c>
      <c r="P217" s="9" t="str">
        <f ca="1">IF($G217="","",INDEX(BASE_PRODUTOS!$I$2:$I$1006,$G217))</f>
        <v/>
      </c>
      <c r="Q217" s="9" t="str">
        <f ca="1">IF($G217="","",INDEX(BASE_PRODUTOS!$J$2:$J$1006,$G217))</f>
        <v/>
      </c>
      <c r="R217" s="9" t="str">
        <f ca="1">IF($G217="","",INDEX(BASE_PRODUTOS!$M$2:$M$1006,$G217))</f>
        <v/>
      </c>
      <c r="S217" s="9" t="str">
        <f ca="1">IF($G217="","",INDEX(BASE_PRODUTOS!$N$2:$N$1006,$G217))</f>
        <v/>
      </c>
      <c r="T217" s="9" t="str">
        <f ca="1">IF($G217="","",INDEX(BASE_PRODUTOS!$D$2:$D$1006,$G217))</f>
        <v/>
      </c>
    </row>
    <row r="218" spans="7:20" ht="18" customHeight="1" x14ac:dyDescent="0.35">
      <c r="G218" t="str">
        <f ca="1">IFERROR(_xludf.aggregate(15,6,(ROW(BASE_PRODUTOS!$L$2:$L$1006)-ROW(BASE_PRODUTOS!$L$2)+1)/(BASE_PRODUTOS!$L$2:$L$1006&gt;0),ROWS($G$10:G218)),"")</f>
        <v/>
      </c>
      <c r="H218" s="9" t="str">
        <f ca="1">IF($G218="","",INDEX(BASE_PRODUTOS!$B$2:$B$1006,$G218))</f>
        <v/>
      </c>
      <c r="I218" s="9" t="str">
        <f ca="1">IF($G218="","",INDEX(BASE_PRODUTOS!$L$2:$L$1006,$G218))</f>
        <v/>
      </c>
      <c r="J218" s="9" t="str">
        <f ca="1">IF($G218="","",INDEX(BASE_PRODUTOS!$A$2:$A$1006,$G218))</f>
        <v/>
      </c>
      <c r="K218" s="9" t="str">
        <f ca="1">IF($G218="","",INDEX(BASE_PRODUTOS!$C$2:$C$1006,$G218))</f>
        <v/>
      </c>
      <c r="L218" s="9" t="str">
        <f ca="1">IF($G218="","",INDEX(BASE_PRODUTOS!$E$2:$E$1006,$G218))</f>
        <v/>
      </c>
      <c r="M218" s="9" t="str">
        <f ca="1">IF($G218="","",INDEX(BASE_PRODUTOS!$F$2:$F$1006,$G218))</f>
        <v/>
      </c>
      <c r="N218" s="9" t="str">
        <f ca="1">IF($G218="","",INDEX(BASE_PRODUTOS!$G$2:$G$1006,$G218))</f>
        <v/>
      </c>
      <c r="O218" s="9" t="str">
        <f ca="1">IF($G218="","",INDEX(BASE_PRODUTOS!$H$2:$H$1006,$G218))</f>
        <v/>
      </c>
      <c r="P218" s="9" t="str">
        <f ca="1">IF($G218="","",INDEX(BASE_PRODUTOS!$I$2:$I$1006,$G218))</f>
        <v/>
      </c>
      <c r="Q218" s="9" t="str">
        <f ca="1">IF($G218="","",INDEX(BASE_PRODUTOS!$J$2:$J$1006,$G218))</f>
        <v/>
      </c>
      <c r="R218" s="9" t="str">
        <f ca="1">IF($G218="","",INDEX(BASE_PRODUTOS!$M$2:$M$1006,$G218))</f>
        <v/>
      </c>
      <c r="S218" s="9" t="str">
        <f ca="1">IF($G218="","",INDEX(BASE_PRODUTOS!$N$2:$N$1006,$G218))</f>
        <v/>
      </c>
      <c r="T218" s="9" t="str">
        <f ca="1">IF($G218="","",INDEX(BASE_PRODUTOS!$D$2:$D$1006,$G218))</f>
        <v/>
      </c>
    </row>
    <row r="219" spans="7:20" ht="18" customHeight="1" x14ac:dyDescent="0.35">
      <c r="G219" t="str">
        <f ca="1">IFERROR(_xludf.aggregate(15,6,(ROW(BASE_PRODUTOS!$L$2:$L$1006)-ROW(BASE_PRODUTOS!$L$2)+1)/(BASE_PRODUTOS!$L$2:$L$1006&gt;0),ROWS($G$10:G219)),"")</f>
        <v/>
      </c>
      <c r="H219" s="9" t="str">
        <f ca="1">IF($G219="","",INDEX(BASE_PRODUTOS!$B$2:$B$1006,$G219))</f>
        <v/>
      </c>
      <c r="I219" s="9" t="str">
        <f ca="1">IF($G219="","",INDEX(BASE_PRODUTOS!$L$2:$L$1006,$G219))</f>
        <v/>
      </c>
      <c r="J219" s="9" t="str">
        <f ca="1">IF($G219="","",INDEX(BASE_PRODUTOS!$A$2:$A$1006,$G219))</f>
        <v/>
      </c>
      <c r="K219" s="9" t="str">
        <f ca="1">IF($G219="","",INDEX(BASE_PRODUTOS!$C$2:$C$1006,$G219))</f>
        <v/>
      </c>
      <c r="L219" s="9" t="str">
        <f ca="1">IF($G219="","",INDEX(BASE_PRODUTOS!$E$2:$E$1006,$G219))</f>
        <v/>
      </c>
      <c r="M219" s="9" t="str">
        <f ca="1">IF($G219="","",INDEX(BASE_PRODUTOS!$F$2:$F$1006,$G219))</f>
        <v/>
      </c>
      <c r="N219" s="9" t="str">
        <f ca="1">IF($G219="","",INDEX(BASE_PRODUTOS!$G$2:$G$1006,$G219))</f>
        <v/>
      </c>
      <c r="O219" s="9" t="str">
        <f ca="1">IF($G219="","",INDEX(BASE_PRODUTOS!$H$2:$H$1006,$G219))</f>
        <v/>
      </c>
      <c r="P219" s="9" t="str">
        <f ca="1">IF($G219="","",INDEX(BASE_PRODUTOS!$I$2:$I$1006,$G219))</f>
        <v/>
      </c>
      <c r="Q219" s="9" t="str">
        <f ca="1">IF($G219="","",INDEX(BASE_PRODUTOS!$J$2:$J$1006,$G219))</f>
        <v/>
      </c>
      <c r="R219" s="9" t="str">
        <f ca="1">IF($G219="","",INDEX(BASE_PRODUTOS!$M$2:$M$1006,$G219))</f>
        <v/>
      </c>
      <c r="S219" s="9" t="str">
        <f ca="1">IF($G219="","",INDEX(BASE_PRODUTOS!$N$2:$N$1006,$G219))</f>
        <v/>
      </c>
      <c r="T219" s="9" t="str">
        <f ca="1">IF($G219="","",INDEX(BASE_PRODUTOS!$D$2:$D$1006,$G219))</f>
        <v/>
      </c>
    </row>
    <row r="220" spans="7:20" ht="18" customHeight="1" x14ac:dyDescent="0.35">
      <c r="G220" t="str">
        <f ca="1">IFERROR(_xludf.aggregate(15,6,(ROW(BASE_PRODUTOS!$L$2:$L$1006)-ROW(BASE_PRODUTOS!$L$2)+1)/(BASE_PRODUTOS!$L$2:$L$1006&gt;0),ROWS($G$10:G220)),"")</f>
        <v/>
      </c>
      <c r="H220" s="9" t="str">
        <f ca="1">IF($G220="","",INDEX(BASE_PRODUTOS!$B$2:$B$1006,$G220))</f>
        <v/>
      </c>
      <c r="I220" s="9" t="str">
        <f ca="1">IF($G220="","",INDEX(BASE_PRODUTOS!$L$2:$L$1006,$G220))</f>
        <v/>
      </c>
      <c r="J220" s="9" t="str">
        <f ca="1">IF($G220="","",INDEX(BASE_PRODUTOS!$A$2:$A$1006,$G220))</f>
        <v/>
      </c>
      <c r="K220" s="9" t="str">
        <f ca="1">IF($G220="","",INDEX(BASE_PRODUTOS!$C$2:$C$1006,$G220))</f>
        <v/>
      </c>
      <c r="L220" s="9" t="str">
        <f ca="1">IF($G220="","",INDEX(BASE_PRODUTOS!$E$2:$E$1006,$G220))</f>
        <v/>
      </c>
      <c r="M220" s="9" t="str">
        <f ca="1">IF($G220="","",INDEX(BASE_PRODUTOS!$F$2:$F$1006,$G220))</f>
        <v/>
      </c>
      <c r="N220" s="9" t="str">
        <f ca="1">IF($G220="","",INDEX(BASE_PRODUTOS!$G$2:$G$1006,$G220))</f>
        <v/>
      </c>
      <c r="O220" s="9" t="str">
        <f ca="1">IF($G220="","",INDEX(BASE_PRODUTOS!$H$2:$H$1006,$G220))</f>
        <v/>
      </c>
      <c r="P220" s="9" t="str">
        <f ca="1">IF($G220="","",INDEX(BASE_PRODUTOS!$I$2:$I$1006,$G220))</f>
        <v/>
      </c>
      <c r="Q220" s="9" t="str">
        <f ca="1">IF($G220="","",INDEX(BASE_PRODUTOS!$J$2:$J$1006,$G220))</f>
        <v/>
      </c>
      <c r="R220" s="9" t="str">
        <f ca="1">IF($G220="","",INDEX(BASE_PRODUTOS!$M$2:$M$1006,$G220))</f>
        <v/>
      </c>
      <c r="S220" s="9" t="str">
        <f ca="1">IF($G220="","",INDEX(BASE_PRODUTOS!$N$2:$N$1006,$G220))</f>
        <v/>
      </c>
      <c r="T220" s="9" t="str">
        <f ca="1">IF($G220="","",INDEX(BASE_PRODUTOS!$D$2:$D$1006,$G220))</f>
        <v/>
      </c>
    </row>
    <row r="221" spans="7:20" ht="18" customHeight="1" x14ac:dyDescent="0.35">
      <c r="G221" t="str">
        <f ca="1">IFERROR(_xludf.aggregate(15,6,(ROW(BASE_PRODUTOS!$L$2:$L$1006)-ROW(BASE_PRODUTOS!$L$2)+1)/(BASE_PRODUTOS!$L$2:$L$1006&gt;0),ROWS($G$10:G221)),"")</f>
        <v/>
      </c>
      <c r="H221" s="9" t="str">
        <f ca="1">IF($G221="","",INDEX(BASE_PRODUTOS!$B$2:$B$1006,$G221))</f>
        <v/>
      </c>
      <c r="I221" s="9" t="str">
        <f ca="1">IF($G221="","",INDEX(BASE_PRODUTOS!$L$2:$L$1006,$G221))</f>
        <v/>
      </c>
      <c r="J221" s="9" t="str">
        <f ca="1">IF($G221="","",INDEX(BASE_PRODUTOS!$A$2:$A$1006,$G221))</f>
        <v/>
      </c>
      <c r="K221" s="9" t="str">
        <f ca="1">IF($G221="","",INDEX(BASE_PRODUTOS!$C$2:$C$1006,$G221))</f>
        <v/>
      </c>
      <c r="L221" s="9" t="str">
        <f ca="1">IF($G221="","",INDEX(BASE_PRODUTOS!$E$2:$E$1006,$G221))</f>
        <v/>
      </c>
      <c r="M221" s="9" t="str">
        <f ca="1">IF($G221="","",INDEX(BASE_PRODUTOS!$F$2:$F$1006,$G221))</f>
        <v/>
      </c>
      <c r="N221" s="9" t="str">
        <f ca="1">IF($G221="","",INDEX(BASE_PRODUTOS!$G$2:$G$1006,$G221))</f>
        <v/>
      </c>
      <c r="O221" s="9" t="str">
        <f ca="1">IF($G221="","",INDEX(BASE_PRODUTOS!$H$2:$H$1006,$G221))</f>
        <v/>
      </c>
      <c r="P221" s="9" t="str">
        <f ca="1">IF($G221="","",INDEX(BASE_PRODUTOS!$I$2:$I$1006,$G221))</f>
        <v/>
      </c>
      <c r="Q221" s="9" t="str">
        <f ca="1">IF($G221="","",INDEX(BASE_PRODUTOS!$J$2:$J$1006,$G221))</f>
        <v/>
      </c>
      <c r="R221" s="9" t="str">
        <f ca="1">IF($G221="","",INDEX(BASE_PRODUTOS!$M$2:$M$1006,$G221))</f>
        <v/>
      </c>
      <c r="S221" s="9" t="str">
        <f ca="1">IF($G221="","",INDEX(BASE_PRODUTOS!$N$2:$N$1006,$G221))</f>
        <v/>
      </c>
      <c r="T221" s="9" t="str">
        <f ca="1">IF($G221="","",INDEX(BASE_PRODUTOS!$D$2:$D$1006,$G221))</f>
        <v/>
      </c>
    </row>
    <row r="222" spans="7:20" ht="18" customHeight="1" x14ac:dyDescent="0.35">
      <c r="G222" t="str">
        <f ca="1">IFERROR(_xludf.aggregate(15,6,(ROW(BASE_PRODUTOS!$L$2:$L$1006)-ROW(BASE_PRODUTOS!$L$2)+1)/(BASE_PRODUTOS!$L$2:$L$1006&gt;0),ROWS($G$10:G222)),"")</f>
        <v/>
      </c>
      <c r="H222" s="9" t="str">
        <f ca="1">IF($G222="","",INDEX(BASE_PRODUTOS!$B$2:$B$1006,$G222))</f>
        <v/>
      </c>
      <c r="I222" s="9" t="str">
        <f ca="1">IF($G222="","",INDEX(BASE_PRODUTOS!$L$2:$L$1006,$G222))</f>
        <v/>
      </c>
      <c r="J222" s="9" t="str">
        <f ca="1">IF($G222="","",INDEX(BASE_PRODUTOS!$A$2:$A$1006,$G222))</f>
        <v/>
      </c>
      <c r="K222" s="9" t="str">
        <f ca="1">IF($G222="","",INDEX(BASE_PRODUTOS!$C$2:$C$1006,$G222))</f>
        <v/>
      </c>
      <c r="L222" s="9" t="str">
        <f ca="1">IF($G222="","",INDEX(BASE_PRODUTOS!$E$2:$E$1006,$G222))</f>
        <v/>
      </c>
      <c r="M222" s="9" t="str">
        <f ca="1">IF($G222="","",INDEX(BASE_PRODUTOS!$F$2:$F$1006,$G222))</f>
        <v/>
      </c>
      <c r="N222" s="9" t="str">
        <f ca="1">IF($G222="","",INDEX(BASE_PRODUTOS!$G$2:$G$1006,$G222))</f>
        <v/>
      </c>
      <c r="O222" s="9" t="str">
        <f ca="1">IF($G222="","",INDEX(BASE_PRODUTOS!$H$2:$H$1006,$G222))</f>
        <v/>
      </c>
      <c r="P222" s="9" t="str">
        <f ca="1">IF($G222="","",INDEX(BASE_PRODUTOS!$I$2:$I$1006,$G222))</f>
        <v/>
      </c>
      <c r="Q222" s="9" t="str">
        <f ca="1">IF($G222="","",INDEX(BASE_PRODUTOS!$J$2:$J$1006,$G222))</f>
        <v/>
      </c>
      <c r="R222" s="9" t="str">
        <f ca="1">IF($G222="","",INDEX(BASE_PRODUTOS!$M$2:$M$1006,$G222))</f>
        <v/>
      </c>
      <c r="S222" s="9" t="str">
        <f ca="1">IF($G222="","",INDEX(BASE_PRODUTOS!$N$2:$N$1006,$G222))</f>
        <v/>
      </c>
      <c r="T222" s="9" t="str">
        <f ca="1">IF($G222="","",INDEX(BASE_PRODUTOS!$D$2:$D$1006,$G222))</f>
        <v/>
      </c>
    </row>
    <row r="223" spans="7:20" ht="18" customHeight="1" x14ac:dyDescent="0.35">
      <c r="G223" t="str">
        <f ca="1">IFERROR(_xludf.aggregate(15,6,(ROW(BASE_PRODUTOS!$L$2:$L$1006)-ROW(BASE_PRODUTOS!$L$2)+1)/(BASE_PRODUTOS!$L$2:$L$1006&gt;0),ROWS($G$10:G223)),"")</f>
        <v/>
      </c>
      <c r="H223" s="9" t="str">
        <f ca="1">IF($G223="","",INDEX(BASE_PRODUTOS!$B$2:$B$1006,$G223))</f>
        <v/>
      </c>
      <c r="I223" s="9" t="str">
        <f ca="1">IF($G223="","",INDEX(BASE_PRODUTOS!$L$2:$L$1006,$G223))</f>
        <v/>
      </c>
      <c r="J223" s="9" t="str">
        <f ca="1">IF($G223="","",INDEX(BASE_PRODUTOS!$A$2:$A$1006,$G223))</f>
        <v/>
      </c>
      <c r="K223" s="9" t="str">
        <f ca="1">IF($G223="","",INDEX(BASE_PRODUTOS!$C$2:$C$1006,$G223))</f>
        <v/>
      </c>
      <c r="L223" s="9" t="str">
        <f ca="1">IF($G223="","",INDEX(BASE_PRODUTOS!$E$2:$E$1006,$G223))</f>
        <v/>
      </c>
      <c r="M223" s="9" t="str">
        <f ca="1">IF($G223="","",INDEX(BASE_PRODUTOS!$F$2:$F$1006,$G223))</f>
        <v/>
      </c>
      <c r="N223" s="9" t="str">
        <f ca="1">IF($G223="","",INDEX(BASE_PRODUTOS!$G$2:$G$1006,$G223))</f>
        <v/>
      </c>
      <c r="O223" s="9" t="str">
        <f ca="1">IF($G223="","",INDEX(BASE_PRODUTOS!$H$2:$H$1006,$G223))</f>
        <v/>
      </c>
      <c r="P223" s="9" t="str">
        <f ca="1">IF($G223="","",INDEX(BASE_PRODUTOS!$I$2:$I$1006,$G223))</f>
        <v/>
      </c>
      <c r="Q223" s="9" t="str">
        <f ca="1">IF($G223="","",INDEX(BASE_PRODUTOS!$J$2:$J$1006,$G223))</f>
        <v/>
      </c>
      <c r="R223" s="9" t="str">
        <f ca="1">IF($G223="","",INDEX(BASE_PRODUTOS!$M$2:$M$1006,$G223))</f>
        <v/>
      </c>
      <c r="S223" s="9" t="str">
        <f ca="1">IF($G223="","",INDEX(BASE_PRODUTOS!$N$2:$N$1006,$G223))</f>
        <v/>
      </c>
      <c r="T223" s="9" t="str">
        <f ca="1">IF($G223="","",INDEX(BASE_PRODUTOS!$D$2:$D$1006,$G223))</f>
        <v/>
      </c>
    </row>
    <row r="224" spans="7:20" ht="18" customHeight="1" x14ac:dyDescent="0.35">
      <c r="G224" t="str">
        <f ca="1">IFERROR(_xludf.aggregate(15,6,(ROW(BASE_PRODUTOS!$L$2:$L$1006)-ROW(BASE_PRODUTOS!$L$2)+1)/(BASE_PRODUTOS!$L$2:$L$1006&gt;0),ROWS($G$10:G224)),"")</f>
        <v/>
      </c>
      <c r="H224" s="9" t="str">
        <f ca="1">IF($G224="","",INDEX(BASE_PRODUTOS!$B$2:$B$1006,$G224))</f>
        <v/>
      </c>
      <c r="I224" s="9" t="str">
        <f ca="1">IF($G224="","",INDEX(BASE_PRODUTOS!$L$2:$L$1006,$G224))</f>
        <v/>
      </c>
      <c r="J224" s="9" t="str">
        <f ca="1">IF($G224="","",INDEX(BASE_PRODUTOS!$A$2:$A$1006,$G224))</f>
        <v/>
      </c>
      <c r="K224" s="9" t="str">
        <f ca="1">IF($G224="","",INDEX(BASE_PRODUTOS!$C$2:$C$1006,$G224))</f>
        <v/>
      </c>
      <c r="L224" s="9" t="str">
        <f ca="1">IF($G224="","",INDEX(BASE_PRODUTOS!$E$2:$E$1006,$G224))</f>
        <v/>
      </c>
      <c r="M224" s="9" t="str">
        <f ca="1">IF($G224="","",INDEX(BASE_PRODUTOS!$F$2:$F$1006,$G224))</f>
        <v/>
      </c>
      <c r="N224" s="9" t="str">
        <f ca="1">IF($G224="","",INDEX(BASE_PRODUTOS!$G$2:$G$1006,$G224))</f>
        <v/>
      </c>
      <c r="O224" s="9" t="str">
        <f ca="1">IF($G224="","",INDEX(BASE_PRODUTOS!$H$2:$H$1006,$G224))</f>
        <v/>
      </c>
      <c r="P224" s="9" t="str">
        <f ca="1">IF($G224="","",INDEX(BASE_PRODUTOS!$I$2:$I$1006,$G224))</f>
        <v/>
      </c>
      <c r="Q224" s="9" t="str">
        <f ca="1">IF($G224="","",INDEX(BASE_PRODUTOS!$J$2:$J$1006,$G224))</f>
        <v/>
      </c>
      <c r="R224" s="9" t="str">
        <f ca="1">IF($G224="","",INDEX(BASE_PRODUTOS!$M$2:$M$1006,$G224))</f>
        <v/>
      </c>
      <c r="S224" s="9" t="str">
        <f ca="1">IF($G224="","",INDEX(BASE_PRODUTOS!$N$2:$N$1006,$G224))</f>
        <v/>
      </c>
      <c r="T224" s="9" t="str">
        <f ca="1">IF($G224="","",INDEX(BASE_PRODUTOS!$D$2:$D$1006,$G224))</f>
        <v/>
      </c>
    </row>
    <row r="225" spans="7:20" ht="18" customHeight="1" x14ac:dyDescent="0.35">
      <c r="G225" t="str">
        <f ca="1">IFERROR(_xludf.aggregate(15,6,(ROW(BASE_PRODUTOS!$L$2:$L$1006)-ROW(BASE_PRODUTOS!$L$2)+1)/(BASE_PRODUTOS!$L$2:$L$1006&gt;0),ROWS($G$10:G225)),"")</f>
        <v/>
      </c>
      <c r="H225" s="9" t="str">
        <f ca="1">IF($G225="","",INDEX(BASE_PRODUTOS!$B$2:$B$1006,$G225))</f>
        <v/>
      </c>
      <c r="I225" s="9" t="str">
        <f ca="1">IF($G225="","",INDEX(BASE_PRODUTOS!$L$2:$L$1006,$G225))</f>
        <v/>
      </c>
      <c r="J225" s="9" t="str">
        <f ca="1">IF($G225="","",INDEX(BASE_PRODUTOS!$A$2:$A$1006,$G225))</f>
        <v/>
      </c>
      <c r="K225" s="9" t="str">
        <f ca="1">IF($G225="","",INDEX(BASE_PRODUTOS!$C$2:$C$1006,$G225))</f>
        <v/>
      </c>
      <c r="L225" s="9" t="str">
        <f ca="1">IF($G225="","",INDEX(BASE_PRODUTOS!$E$2:$E$1006,$G225))</f>
        <v/>
      </c>
      <c r="M225" s="9" t="str">
        <f ca="1">IF($G225="","",INDEX(BASE_PRODUTOS!$F$2:$F$1006,$G225))</f>
        <v/>
      </c>
      <c r="N225" s="9" t="str">
        <f ca="1">IF($G225="","",INDEX(BASE_PRODUTOS!$G$2:$G$1006,$G225))</f>
        <v/>
      </c>
      <c r="O225" s="9" t="str">
        <f ca="1">IF($G225="","",INDEX(BASE_PRODUTOS!$H$2:$H$1006,$G225))</f>
        <v/>
      </c>
      <c r="P225" s="9" t="str">
        <f ca="1">IF($G225="","",INDEX(BASE_PRODUTOS!$I$2:$I$1006,$G225))</f>
        <v/>
      </c>
      <c r="Q225" s="9" t="str">
        <f ca="1">IF($G225="","",INDEX(BASE_PRODUTOS!$J$2:$J$1006,$G225))</f>
        <v/>
      </c>
      <c r="R225" s="9" t="str">
        <f ca="1">IF($G225="","",INDEX(BASE_PRODUTOS!$M$2:$M$1006,$G225))</f>
        <v/>
      </c>
      <c r="S225" s="9" t="str">
        <f ca="1">IF($G225="","",INDEX(BASE_PRODUTOS!$N$2:$N$1006,$G225))</f>
        <v/>
      </c>
      <c r="T225" s="9" t="str">
        <f ca="1">IF($G225="","",INDEX(BASE_PRODUTOS!$D$2:$D$1006,$G225))</f>
        <v/>
      </c>
    </row>
    <row r="226" spans="7:20" ht="18" customHeight="1" x14ac:dyDescent="0.35">
      <c r="G226" t="str">
        <f ca="1">IFERROR(_xludf.aggregate(15,6,(ROW(BASE_PRODUTOS!$L$2:$L$1006)-ROW(BASE_PRODUTOS!$L$2)+1)/(BASE_PRODUTOS!$L$2:$L$1006&gt;0),ROWS($G$10:G226)),"")</f>
        <v/>
      </c>
      <c r="H226" s="9" t="str">
        <f ca="1">IF($G226="","",INDEX(BASE_PRODUTOS!$B$2:$B$1006,$G226))</f>
        <v/>
      </c>
      <c r="I226" s="9" t="str">
        <f ca="1">IF($G226="","",INDEX(BASE_PRODUTOS!$L$2:$L$1006,$G226))</f>
        <v/>
      </c>
      <c r="J226" s="9" t="str">
        <f ca="1">IF($G226="","",INDEX(BASE_PRODUTOS!$A$2:$A$1006,$G226))</f>
        <v/>
      </c>
      <c r="K226" s="9" t="str">
        <f ca="1">IF($G226="","",INDEX(BASE_PRODUTOS!$C$2:$C$1006,$G226))</f>
        <v/>
      </c>
      <c r="L226" s="9" t="str">
        <f ca="1">IF($G226="","",INDEX(BASE_PRODUTOS!$E$2:$E$1006,$G226))</f>
        <v/>
      </c>
      <c r="M226" s="9" t="str">
        <f ca="1">IF($G226="","",INDEX(BASE_PRODUTOS!$F$2:$F$1006,$G226))</f>
        <v/>
      </c>
      <c r="N226" s="9" t="str">
        <f ca="1">IF($G226="","",INDEX(BASE_PRODUTOS!$G$2:$G$1006,$G226))</f>
        <v/>
      </c>
      <c r="O226" s="9" t="str">
        <f ca="1">IF($G226="","",INDEX(BASE_PRODUTOS!$H$2:$H$1006,$G226))</f>
        <v/>
      </c>
      <c r="P226" s="9" t="str">
        <f ca="1">IF($G226="","",INDEX(BASE_PRODUTOS!$I$2:$I$1006,$G226))</f>
        <v/>
      </c>
      <c r="Q226" s="9" t="str">
        <f ca="1">IF($G226="","",INDEX(BASE_PRODUTOS!$J$2:$J$1006,$G226))</f>
        <v/>
      </c>
      <c r="R226" s="9" t="str">
        <f ca="1">IF($G226="","",INDEX(BASE_PRODUTOS!$M$2:$M$1006,$G226))</f>
        <v/>
      </c>
      <c r="S226" s="9" t="str">
        <f ca="1">IF($G226="","",INDEX(BASE_PRODUTOS!$N$2:$N$1006,$G226))</f>
        <v/>
      </c>
      <c r="T226" s="9" t="str">
        <f ca="1">IF($G226="","",INDEX(BASE_PRODUTOS!$D$2:$D$1006,$G226))</f>
        <v/>
      </c>
    </row>
    <row r="227" spans="7:20" ht="18" customHeight="1" x14ac:dyDescent="0.35">
      <c r="G227" t="str">
        <f ca="1">IFERROR(_xludf.aggregate(15,6,(ROW(BASE_PRODUTOS!$L$2:$L$1006)-ROW(BASE_PRODUTOS!$L$2)+1)/(BASE_PRODUTOS!$L$2:$L$1006&gt;0),ROWS($G$10:G227)),"")</f>
        <v/>
      </c>
      <c r="H227" s="9" t="str">
        <f ca="1">IF($G227="","",INDEX(BASE_PRODUTOS!$B$2:$B$1006,$G227))</f>
        <v/>
      </c>
      <c r="I227" s="9" t="str">
        <f ca="1">IF($G227="","",INDEX(BASE_PRODUTOS!$L$2:$L$1006,$G227))</f>
        <v/>
      </c>
      <c r="J227" s="9" t="str">
        <f ca="1">IF($G227="","",INDEX(BASE_PRODUTOS!$A$2:$A$1006,$G227))</f>
        <v/>
      </c>
      <c r="K227" s="9" t="str">
        <f ca="1">IF($G227="","",INDEX(BASE_PRODUTOS!$C$2:$C$1006,$G227))</f>
        <v/>
      </c>
      <c r="L227" s="9" t="str">
        <f ca="1">IF($G227="","",INDEX(BASE_PRODUTOS!$E$2:$E$1006,$G227))</f>
        <v/>
      </c>
      <c r="M227" s="9" t="str">
        <f ca="1">IF($G227="","",INDEX(BASE_PRODUTOS!$F$2:$F$1006,$G227))</f>
        <v/>
      </c>
      <c r="N227" s="9" t="str">
        <f ca="1">IF($G227="","",INDEX(BASE_PRODUTOS!$G$2:$G$1006,$G227))</f>
        <v/>
      </c>
      <c r="O227" s="9" t="str">
        <f ca="1">IF($G227="","",INDEX(BASE_PRODUTOS!$H$2:$H$1006,$G227))</f>
        <v/>
      </c>
      <c r="P227" s="9" t="str">
        <f ca="1">IF($G227="","",INDEX(BASE_PRODUTOS!$I$2:$I$1006,$G227))</f>
        <v/>
      </c>
      <c r="Q227" s="9" t="str">
        <f ca="1">IF($G227="","",INDEX(BASE_PRODUTOS!$J$2:$J$1006,$G227))</f>
        <v/>
      </c>
      <c r="R227" s="9" t="str">
        <f ca="1">IF($G227="","",INDEX(BASE_PRODUTOS!$M$2:$M$1006,$G227))</f>
        <v/>
      </c>
      <c r="S227" s="9" t="str">
        <f ca="1">IF($G227="","",INDEX(BASE_PRODUTOS!$N$2:$N$1006,$G227))</f>
        <v/>
      </c>
      <c r="T227" s="9" t="str">
        <f ca="1">IF($G227="","",INDEX(BASE_PRODUTOS!$D$2:$D$1006,$G227))</f>
        <v/>
      </c>
    </row>
    <row r="228" spans="7:20" ht="18" customHeight="1" x14ac:dyDescent="0.35">
      <c r="G228" t="str">
        <f ca="1">IFERROR(_xludf.aggregate(15,6,(ROW(BASE_PRODUTOS!$L$2:$L$1006)-ROW(BASE_PRODUTOS!$L$2)+1)/(BASE_PRODUTOS!$L$2:$L$1006&gt;0),ROWS($G$10:G228)),"")</f>
        <v/>
      </c>
      <c r="H228" s="9" t="str">
        <f ca="1">IF($G228="","",INDEX(BASE_PRODUTOS!$B$2:$B$1006,$G228))</f>
        <v/>
      </c>
      <c r="I228" s="9" t="str">
        <f ca="1">IF($G228="","",INDEX(BASE_PRODUTOS!$L$2:$L$1006,$G228))</f>
        <v/>
      </c>
      <c r="J228" s="9" t="str">
        <f ca="1">IF($G228="","",INDEX(BASE_PRODUTOS!$A$2:$A$1006,$G228))</f>
        <v/>
      </c>
      <c r="K228" s="9" t="str">
        <f ca="1">IF($G228="","",INDEX(BASE_PRODUTOS!$C$2:$C$1006,$G228))</f>
        <v/>
      </c>
      <c r="L228" s="9" t="str">
        <f ca="1">IF($G228="","",INDEX(BASE_PRODUTOS!$E$2:$E$1006,$G228))</f>
        <v/>
      </c>
      <c r="M228" s="9" t="str">
        <f ca="1">IF($G228="","",INDEX(BASE_PRODUTOS!$F$2:$F$1006,$G228))</f>
        <v/>
      </c>
      <c r="N228" s="9" t="str">
        <f ca="1">IF($G228="","",INDEX(BASE_PRODUTOS!$G$2:$G$1006,$G228))</f>
        <v/>
      </c>
      <c r="O228" s="9" t="str">
        <f ca="1">IF($G228="","",INDEX(BASE_PRODUTOS!$H$2:$H$1006,$G228))</f>
        <v/>
      </c>
      <c r="P228" s="9" t="str">
        <f ca="1">IF($G228="","",INDEX(BASE_PRODUTOS!$I$2:$I$1006,$G228))</f>
        <v/>
      </c>
      <c r="Q228" s="9" t="str">
        <f ca="1">IF($G228="","",INDEX(BASE_PRODUTOS!$J$2:$J$1006,$G228))</f>
        <v/>
      </c>
      <c r="R228" s="9" t="str">
        <f ca="1">IF($G228="","",INDEX(BASE_PRODUTOS!$M$2:$M$1006,$G228))</f>
        <v/>
      </c>
      <c r="S228" s="9" t="str">
        <f ca="1">IF($G228="","",INDEX(BASE_PRODUTOS!$N$2:$N$1006,$G228))</f>
        <v/>
      </c>
      <c r="T228" s="9" t="str">
        <f ca="1">IF($G228="","",INDEX(BASE_PRODUTOS!$D$2:$D$1006,$G228))</f>
        <v/>
      </c>
    </row>
    <row r="229" spans="7:20" ht="18" customHeight="1" x14ac:dyDescent="0.35">
      <c r="G229" t="str">
        <f ca="1">IFERROR(_xludf.aggregate(15,6,(ROW(BASE_PRODUTOS!$L$2:$L$1006)-ROW(BASE_PRODUTOS!$L$2)+1)/(BASE_PRODUTOS!$L$2:$L$1006&gt;0),ROWS($G$10:G229)),"")</f>
        <v/>
      </c>
      <c r="H229" s="9" t="str">
        <f ca="1">IF($G229="","",INDEX(BASE_PRODUTOS!$B$2:$B$1006,$G229))</f>
        <v/>
      </c>
      <c r="I229" s="9" t="str">
        <f ca="1">IF($G229="","",INDEX(BASE_PRODUTOS!$L$2:$L$1006,$G229))</f>
        <v/>
      </c>
      <c r="J229" s="9" t="str">
        <f ca="1">IF($G229="","",INDEX(BASE_PRODUTOS!$A$2:$A$1006,$G229))</f>
        <v/>
      </c>
      <c r="K229" s="9" t="str">
        <f ca="1">IF($G229="","",INDEX(BASE_PRODUTOS!$C$2:$C$1006,$G229))</f>
        <v/>
      </c>
      <c r="L229" s="9" t="str">
        <f ca="1">IF($G229="","",INDEX(BASE_PRODUTOS!$E$2:$E$1006,$G229))</f>
        <v/>
      </c>
      <c r="M229" s="9" t="str">
        <f ca="1">IF($G229="","",INDEX(BASE_PRODUTOS!$F$2:$F$1006,$G229))</f>
        <v/>
      </c>
      <c r="N229" s="9" t="str">
        <f ca="1">IF($G229="","",INDEX(BASE_PRODUTOS!$G$2:$G$1006,$G229))</f>
        <v/>
      </c>
      <c r="O229" s="9" t="str">
        <f ca="1">IF($G229="","",INDEX(BASE_PRODUTOS!$H$2:$H$1006,$G229))</f>
        <v/>
      </c>
      <c r="P229" s="9" t="str">
        <f ca="1">IF($G229="","",INDEX(BASE_PRODUTOS!$I$2:$I$1006,$G229))</f>
        <v/>
      </c>
      <c r="Q229" s="9" t="str">
        <f ca="1">IF($G229="","",INDEX(BASE_PRODUTOS!$J$2:$J$1006,$G229))</f>
        <v/>
      </c>
      <c r="R229" s="9" t="str">
        <f ca="1">IF($G229="","",INDEX(BASE_PRODUTOS!$M$2:$M$1006,$G229))</f>
        <v/>
      </c>
      <c r="S229" s="9" t="str">
        <f ca="1">IF($G229="","",INDEX(BASE_PRODUTOS!$N$2:$N$1006,$G229))</f>
        <v/>
      </c>
      <c r="T229" s="9" t="str">
        <f ca="1">IF($G229="","",INDEX(BASE_PRODUTOS!$D$2:$D$1006,$G229))</f>
        <v/>
      </c>
    </row>
    <row r="230" spans="7:20" ht="18" customHeight="1" x14ac:dyDescent="0.35">
      <c r="G230" t="str">
        <f ca="1">IFERROR(_xludf.aggregate(15,6,(ROW(BASE_PRODUTOS!$L$2:$L$1006)-ROW(BASE_PRODUTOS!$L$2)+1)/(BASE_PRODUTOS!$L$2:$L$1006&gt;0),ROWS($G$10:G230)),"")</f>
        <v/>
      </c>
      <c r="H230" s="9" t="str">
        <f ca="1">IF($G230="","",INDEX(BASE_PRODUTOS!$B$2:$B$1006,$G230))</f>
        <v/>
      </c>
      <c r="I230" s="9" t="str">
        <f ca="1">IF($G230="","",INDEX(BASE_PRODUTOS!$L$2:$L$1006,$G230))</f>
        <v/>
      </c>
      <c r="J230" s="9" t="str">
        <f ca="1">IF($G230="","",INDEX(BASE_PRODUTOS!$A$2:$A$1006,$G230))</f>
        <v/>
      </c>
      <c r="K230" s="9" t="str">
        <f ca="1">IF($G230="","",INDEX(BASE_PRODUTOS!$C$2:$C$1006,$G230))</f>
        <v/>
      </c>
      <c r="L230" s="9" t="str">
        <f ca="1">IF($G230="","",INDEX(BASE_PRODUTOS!$E$2:$E$1006,$G230))</f>
        <v/>
      </c>
      <c r="M230" s="9" t="str">
        <f ca="1">IF($G230="","",INDEX(BASE_PRODUTOS!$F$2:$F$1006,$G230))</f>
        <v/>
      </c>
      <c r="N230" s="9" t="str">
        <f ca="1">IF($G230="","",INDEX(BASE_PRODUTOS!$G$2:$G$1006,$G230))</f>
        <v/>
      </c>
      <c r="O230" s="9" t="str">
        <f ca="1">IF($G230="","",INDEX(BASE_PRODUTOS!$H$2:$H$1006,$G230))</f>
        <v/>
      </c>
      <c r="P230" s="9" t="str">
        <f ca="1">IF($G230="","",INDEX(BASE_PRODUTOS!$I$2:$I$1006,$G230))</f>
        <v/>
      </c>
      <c r="Q230" s="9" t="str">
        <f ca="1">IF($G230="","",INDEX(BASE_PRODUTOS!$J$2:$J$1006,$G230))</f>
        <v/>
      </c>
      <c r="R230" s="9" t="str">
        <f ca="1">IF($G230="","",INDEX(BASE_PRODUTOS!$M$2:$M$1006,$G230))</f>
        <v/>
      </c>
      <c r="S230" s="9" t="str">
        <f ca="1">IF($G230="","",INDEX(BASE_PRODUTOS!$N$2:$N$1006,$G230))</f>
        <v/>
      </c>
      <c r="T230" s="9" t="str">
        <f ca="1">IF($G230="","",INDEX(BASE_PRODUTOS!$D$2:$D$1006,$G230))</f>
        <v/>
      </c>
    </row>
    <row r="231" spans="7:20" ht="18" customHeight="1" x14ac:dyDescent="0.35">
      <c r="G231" t="str">
        <f ca="1">IFERROR(_xludf.aggregate(15,6,(ROW(BASE_PRODUTOS!$L$2:$L$1006)-ROW(BASE_PRODUTOS!$L$2)+1)/(BASE_PRODUTOS!$L$2:$L$1006&gt;0),ROWS($G$10:G231)),"")</f>
        <v/>
      </c>
      <c r="H231" s="9" t="str">
        <f ca="1">IF($G231="","",INDEX(BASE_PRODUTOS!$B$2:$B$1006,$G231))</f>
        <v/>
      </c>
      <c r="I231" s="9" t="str">
        <f ca="1">IF($G231="","",INDEX(BASE_PRODUTOS!$L$2:$L$1006,$G231))</f>
        <v/>
      </c>
      <c r="J231" s="9" t="str">
        <f ca="1">IF($G231="","",INDEX(BASE_PRODUTOS!$A$2:$A$1006,$G231))</f>
        <v/>
      </c>
      <c r="K231" s="9" t="str">
        <f ca="1">IF($G231="","",INDEX(BASE_PRODUTOS!$C$2:$C$1006,$G231))</f>
        <v/>
      </c>
      <c r="L231" s="9" t="str">
        <f ca="1">IF($G231="","",INDEX(BASE_PRODUTOS!$E$2:$E$1006,$G231))</f>
        <v/>
      </c>
      <c r="M231" s="9" t="str">
        <f ca="1">IF($G231="","",INDEX(BASE_PRODUTOS!$F$2:$F$1006,$G231))</f>
        <v/>
      </c>
      <c r="N231" s="9" t="str">
        <f ca="1">IF($G231="","",INDEX(BASE_PRODUTOS!$G$2:$G$1006,$G231))</f>
        <v/>
      </c>
      <c r="O231" s="9" t="str">
        <f ca="1">IF($G231="","",INDEX(BASE_PRODUTOS!$H$2:$H$1006,$G231))</f>
        <v/>
      </c>
      <c r="P231" s="9" t="str">
        <f ca="1">IF($G231="","",INDEX(BASE_PRODUTOS!$I$2:$I$1006,$G231))</f>
        <v/>
      </c>
      <c r="Q231" s="9" t="str">
        <f ca="1">IF($G231="","",INDEX(BASE_PRODUTOS!$J$2:$J$1006,$G231))</f>
        <v/>
      </c>
      <c r="R231" s="9" t="str">
        <f ca="1">IF($G231="","",INDEX(BASE_PRODUTOS!$M$2:$M$1006,$G231))</f>
        <v/>
      </c>
      <c r="S231" s="9" t="str">
        <f ca="1">IF($G231="","",INDEX(BASE_PRODUTOS!$N$2:$N$1006,$G231))</f>
        <v/>
      </c>
      <c r="T231" s="9" t="str">
        <f ca="1">IF($G231="","",INDEX(BASE_PRODUTOS!$D$2:$D$1006,$G231))</f>
        <v/>
      </c>
    </row>
    <row r="232" spans="7:20" ht="18" customHeight="1" x14ac:dyDescent="0.35">
      <c r="G232" t="str">
        <f ca="1">IFERROR(_xludf.aggregate(15,6,(ROW(BASE_PRODUTOS!$L$2:$L$1006)-ROW(BASE_PRODUTOS!$L$2)+1)/(BASE_PRODUTOS!$L$2:$L$1006&gt;0),ROWS($G$10:G232)),"")</f>
        <v/>
      </c>
      <c r="H232" s="9" t="str">
        <f ca="1">IF($G232="","",INDEX(BASE_PRODUTOS!$B$2:$B$1006,$G232))</f>
        <v/>
      </c>
      <c r="I232" s="9" t="str">
        <f ca="1">IF($G232="","",INDEX(BASE_PRODUTOS!$L$2:$L$1006,$G232))</f>
        <v/>
      </c>
      <c r="J232" s="9" t="str">
        <f ca="1">IF($G232="","",INDEX(BASE_PRODUTOS!$A$2:$A$1006,$G232))</f>
        <v/>
      </c>
      <c r="K232" s="9" t="str">
        <f ca="1">IF($G232="","",INDEX(BASE_PRODUTOS!$C$2:$C$1006,$G232))</f>
        <v/>
      </c>
      <c r="L232" s="9" t="str">
        <f ca="1">IF($G232="","",INDEX(BASE_PRODUTOS!$E$2:$E$1006,$G232))</f>
        <v/>
      </c>
      <c r="M232" s="9" t="str">
        <f ca="1">IF($G232="","",INDEX(BASE_PRODUTOS!$F$2:$F$1006,$G232))</f>
        <v/>
      </c>
      <c r="N232" s="9" t="str">
        <f ca="1">IF($G232="","",INDEX(BASE_PRODUTOS!$G$2:$G$1006,$G232))</f>
        <v/>
      </c>
      <c r="O232" s="9" t="str">
        <f ca="1">IF($G232="","",INDEX(BASE_PRODUTOS!$H$2:$H$1006,$G232))</f>
        <v/>
      </c>
      <c r="P232" s="9" t="str">
        <f ca="1">IF($G232="","",INDEX(BASE_PRODUTOS!$I$2:$I$1006,$G232))</f>
        <v/>
      </c>
      <c r="Q232" s="9" t="str">
        <f ca="1">IF($G232="","",INDEX(BASE_PRODUTOS!$J$2:$J$1006,$G232))</f>
        <v/>
      </c>
      <c r="R232" s="9" t="str">
        <f ca="1">IF($G232="","",INDEX(BASE_PRODUTOS!$M$2:$M$1006,$G232))</f>
        <v/>
      </c>
      <c r="S232" s="9" t="str">
        <f ca="1">IF($G232="","",INDEX(BASE_PRODUTOS!$N$2:$N$1006,$G232))</f>
        <v/>
      </c>
      <c r="T232" s="9" t="str">
        <f ca="1">IF($G232="","",INDEX(BASE_PRODUTOS!$D$2:$D$1006,$G232))</f>
        <v/>
      </c>
    </row>
    <row r="233" spans="7:20" ht="18" customHeight="1" x14ac:dyDescent="0.35">
      <c r="G233" t="str">
        <f ca="1">IFERROR(_xludf.aggregate(15,6,(ROW(BASE_PRODUTOS!$L$2:$L$1006)-ROW(BASE_PRODUTOS!$L$2)+1)/(BASE_PRODUTOS!$L$2:$L$1006&gt;0),ROWS($G$10:G233)),"")</f>
        <v/>
      </c>
      <c r="H233" s="9" t="str">
        <f ca="1">IF($G233="","",INDEX(BASE_PRODUTOS!$B$2:$B$1006,$G233))</f>
        <v/>
      </c>
      <c r="I233" s="9" t="str">
        <f ca="1">IF($G233="","",INDEX(BASE_PRODUTOS!$L$2:$L$1006,$G233))</f>
        <v/>
      </c>
      <c r="J233" s="9" t="str">
        <f ca="1">IF($G233="","",INDEX(BASE_PRODUTOS!$A$2:$A$1006,$G233))</f>
        <v/>
      </c>
      <c r="K233" s="9" t="str">
        <f ca="1">IF($G233="","",INDEX(BASE_PRODUTOS!$C$2:$C$1006,$G233))</f>
        <v/>
      </c>
      <c r="L233" s="9" t="str">
        <f ca="1">IF($G233="","",INDEX(BASE_PRODUTOS!$E$2:$E$1006,$G233))</f>
        <v/>
      </c>
      <c r="M233" s="9" t="str">
        <f ca="1">IF($G233="","",INDEX(BASE_PRODUTOS!$F$2:$F$1006,$G233))</f>
        <v/>
      </c>
      <c r="N233" s="9" t="str">
        <f ca="1">IF($G233="","",INDEX(BASE_PRODUTOS!$G$2:$G$1006,$G233))</f>
        <v/>
      </c>
      <c r="O233" s="9" t="str">
        <f ca="1">IF($G233="","",INDEX(BASE_PRODUTOS!$H$2:$H$1006,$G233))</f>
        <v/>
      </c>
      <c r="P233" s="9" t="str">
        <f ca="1">IF($G233="","",INDEX(BASE_PRODUTOS!$I$2:$I$1006,$G233))</f>
        <v/>
      </c>
      <c r="Q233" s="9" t="str">
        <f ca="1">IF($G233="","",INDEX(BASE_PRODUTOS!$J$2:$J$1006,$G233))</f>
        <v/>
      </c>
      <c r="R233" s="9" t="str">
        <f ca="1">IF($G233="","",INDEX(BASE_PRODUTOS!$M$2:$M$1006,$G233))</f>
        <v/>
      </c>
      <c r="S233" s="9" t="str">
        <f ca="1">IF($G233="","",INDEX(BASE_PRODUTOS!$N$2:$N$1006,$G233))</f>
        <v/>
      </c>
      <c r="T233" s="9" t="str">
        <f ca="1">IF($G233="","",INDEX(BASE_PRODUTOS!$D$2:$D$1006,$G233))</f>
        <v/>
      </c>
    </row>
    <row r="234" spans="7:20" ht="18" customHeight="1" x14ac:dyDescent="0.35">
      <c r="G234" t="str">
        <f ca="1">IFERROR(_xludf.aggregate(15,6,(ROW(BASE_PRODUTOS!$L$2:$L$1006)-ROW(BASE_PRODUTOS!$L$2)+1)/(BASE_PRODUTOS!$L$2:$L$1006&gt;0),ROWS($G$10:G234)),"")</f>
        <v/>
      </c>
      <c r="H234" s="9" t="str">
        <f ca="1">IF($G234="","",INDEX(BASE_PRODUTOS!$B$2:$B$1006,$G234))</f>
        <v/>
      </c>
      <c r="I234" s="9" t="str">
        <f ca="1">IF($G234="","",INDEX(BASE_PRODUTOS!$L$2:$L$1006,$G234))</f>
        <v/>
      </c>
      <c r="J234" s="9" t="str">
        <f ca="1">IF($G234="","",INDEX(BASE_PRODUTOS!$A$2:$A$1006,$G234))</f>
        <v/>
      </c>
      <c r="K234" s="9" t="str">
        <f ca="1">IF($G234="","",INDEX(BASE_PRODUTOS!$C$2:$C$1006,$G234))</f>
        <v/>
      </c>
      <c r="L234" s="9" t="str">
        <f ca="1">IF($G234="","",INDEX(BASE_PRODUTOS!$E$2:$E$1006,$G234))</f>
        <v/>
      </c>
      <c r="M234" s="9" t="str">
        <f ca="1">IF($G234="","",INDEX(BASE_PRODUTOS!$F$2:$F$1006,$G234))</f>
        <v/>
      </c>
      <c r="N234" s="9" t="str">
        <f ca="1">IF($G234="","",INDEX(BASE_PRODUTOS!$G$2:$G$1006,$G234))</f>
        <v/>
      </c>
      <c r="O234" s="9" t="str">
        <f ca="1">IF($G234="","",INDEX(BASE_PRODUTOS!$H$2:$H$1006,$G234))</f>
        <v/>
      </c>
      <c r="P234" s="9" t="str">
        <f ca="1">IF($G234="","",INDEX(BASE_PRODUTOS!$I$2:$I$1006,$G234))</f>
        <v/>
      </c>
      <c r="Q234" s="9" t="str">
        <f ca="1">IF($G234="","",INDEX(BASE_PRODUTOS!$J$2:$J$1006,$G234))</f>
        <v/>
      </c>
      <c r="R234" s="9" t="str">
        <f ca="1">IF($G234="","",INDEX(BASE_PRODUTOS!$M$2:$M$1006,$G234))</f>
        <v/>
      </c>
      <c r="S234" s="9" t="str">
        <f ca="1">IF($G234="","",INDEX(BASE_PRODUTOS!$N$2:$N$1006,$G234))</f>
        <v/>
      </c>
      <c r="T234" s="9" t="str">
        <f ca="1">IF($G234="","",INDEX(BASE_PRODUTOS!$D$2:$D$1006,$G234))</f>
        <v/>
      </c>
    </row>
    <row r="235" spans="7:20" ht="18" customHeight="1" x14ac:dyDescent="0.35">
      <c r="G235" t="str">
        <f ca="1">IFERROR(_xludf.aggregate(15,6,(ROW(BASE_PRODUTOS!$L$2:$L$1006)-ROW(BASE_PRODUTOS!$L$2)+1)/(BASE_PRODUTOS!$L$2:$L$1006&gt;0),ROWS($G$10:G235)),"")</f>
        <v/>
      </c>
      <c r="H235" s="9" t="str">
        <f ca="1">IF($G235="","",INDEX(BASE_PRODUTOS!$B$2:$B$1006,$G235))</f>
        <v/>
      </c>
      <c r="I235" s="9" t="str">
        <f ca="1">IF($G235="","",INDEX(BASE_PRODUTOS!$L$2:$L$1006,$G235))</f>
        <v/>
      </c>
      <c r="J235" s="9" t="str">
        <f ca="1">IF($G235="","",INDEX(BASE_PRODUTOS!$A$2:$A$1006,$G235))</f>
        <v/>
      </c>
      <c r="K235" s="9" t="str">
        <f ca="1">IF($G235="","",INDEX(BASE_PRODUTOS!$C$2:$C$1006,$G235))</f>
        <v/>
      </c>
      <c r="L235" s="9" t="str">
        <f ca="1">IF($G235="","",INDEX(BASE_PRODUTOS!$E$2:$E$1006,$G235))</f>
        <v/>
      </c>
      <c r="M235" s="9" t="str">
        <f ca="1">IF($G235="","",INDEX(BASE_PRODUTOS!$F$2:$F$1006,$G235))</f>
        <v/>
      </c>
      <c r="N235" s="9" t="str">
        <f ca="1">IF($G235="","",INDEX(BASE_PRODUTOS!$G$2:$G$1006,$G235))</f>
        <v/>
      </c>
      <c r="O235" s="9" t="str">
        <f ca="1">IF($G235="","",INDEX(BASE_PRODUTOS!$H$2:$H$1006,$G235))</f>
        <v/>
      </c>
      <c r="P235" s="9" t="str">
        <f ca="1">IF($G235="","",INDEX(BASE_PRODUTOS!$I$2:$I$1006,$G235))</f>
        <v/>
      </c>
      <c r="Q235" s="9" t="str">
        <f ca="1">IF($G235="","",INDEX(BASE_PRODUTOS!$J$2:$J$1006,$G235))</f>
        <v/>
      </c>
      <c r="R235" s="9" t="str">
        <f ca="1">IF($G235="","",INDEX(BASE_PRODUTOS!$M$2:$M$1006,$G235))</f>
        <v/>
      </c>
      <c r="S235" s="9" t="str">
        <f ca="1">IF($G235="","",INDEX(BASE_PRODUTOS!$N$2:$N$1006,$G235))</f>
        <v/>
      </c>
      <c r="T235" s="9" t="str">
        <f ca="1">IF($G235="","",INDEX(BASE_PRODUTOS!$D$2:$D$1006,$G235))</f>
        <v/>
      </c>
    </row>
    <row r="236" spans="7:20" ht="18" customHeight="1" x14ac:dyDescent="0.35">
      <c r="G236" t="str">
        <f ca="1">IFERROR(_xludf.aggregate(15,6,(ROW(BASE_PRODUTOS!$L$2:$L$1006)-ROW(BASE_PRODUTOS!$L$2)+1)/(BASE_PRODUTOS!$L$2:$L$1006&gt;0),ROWS($G$10:G236)),"")</f>
        <v/>
      </c>
      <c r="H236" s="9" t="str">
        <f ca="1">IF($G236="","",INDEX(BASE_PRODUTOS!$B$2:$B$1006,$G236))</f>
        <v/>
      </c>
      <c r="I236" s="9" t="str">
        <f ca="1">IF($G236="","",INDEX(BASE_PRODUTOS!$L$2:$L$1006,$G236))</f>
        <v/>
      </c>
      <c r="J236" s="9" t="str">
        <f ca="1">IF($G236="","",INDEX(BASE_PRODUTOS!$A$2:$A$1006,$G236))</f>
        <v/>
      </c>
      <c r="K236" s="9" t="str">
        <f ca="1">IF($G236="","",INDEX(BASE_PRODUTOS!$C$2:$C$1006,$G236))</f>
        <v/>
      </c>
      <c r="L236" s="9" t="str">
        <f ca="1">IF($G236="","",INDEX(BASE_PRODUTOS!$E$2:$E$1006,$G236))</f>
        <v/>
      </c>
      <c r="M236" s="9" t="str">
        <f ca="1">IF($G236="","",INDEX(BASE_PRODUTOS!$F$2:$F$1006,$G236))</f>
        <v/>
      </c>
      <c r="N236" s="9" t="str">
        <f ca="1">IF($G236="","",INDEX(BASE_PRODUTOS!$G$2:$G$1006,$G236))</f>
        <v/>
      </c>
      <c r="O236" s="9" t="str">
        <f ca="1">IF($G236="","",INDEX(BASE_PRODUTOS!$H$2:$H$1006,$G236))</f>
        <v/>
      </c>
      <c r="P236" s="9" t="str">
        <f ca="1">IF($G236="","",INDEX(BASE_PRODUTOS!$I$2:$I$1006,$G236))</f>
        <v/>
      </c>
      <c r="Q236" s="9" t="str">
        <f ca="1">IF($G236="","",INDEX(BASE_PRODUTOS!$J$2:$J$1006,$G236))</f>
        <v/>
      </c>
      <c r="R236" s="9" t="str">
        <f ca="1">IF($G236="","",INDEX(BASE_PRODUTOS!$M$2:$M$1006,$G236))</f>
        <v/>
      </c>
      <c r="S236" s="9" t="str">
        <f ca="1">IF($G236="","",INDEX(BASE_PRODUTOS!$N$2:$N$1006,$G236))</f>
        <v/>
      </c>
      <c r="T236" s="9" t="str">
        <f ca="1">IF($G236="","",INDEX(BASE_PRODUTOS!$D$2:$D$1006,$G236))</f>
        <v/>
      </c>
    </row>
    <row r="237" spans="7:20" ht="18" customHeight="1" x14ac:dyDescent="0.35">
      <c r="G237" t="str">
        <f ca="1">IFERROR(_xludf.aggregate(15,6,(ROW(BASE_PRODUTOS!$L$2:$L$1006)-ROW(BASE_PRODUTOS!$L$2)+1)/(BASE_PRODUTOS!$L$2:$L$1006&gt;0),ROWS($G$10:G237)),"")</f>
        <v/>
      </c>
      <c r="H237" s="9" t="str">
        <f ca="1">IF($G237="","",INDEX(BASE_PRODUTOS!$B$2:$B$1006,$G237))</f>
        <v/>
      </c>
      <c r="I237" s="9" t="str">
        <f ca="1">IF($G237="","",INDEX(BASE_PRODUTOS!$L$2:$L$1006,$G237))</f>
        <v/>
      </c>
      <c r="J237" s="9" t="str">
        <f ca="1">IF($G237="","",INDEX(BASE_PRODUTOS!$A$2:$A$1006,$G237))</f>
        <v/>
      </c>
      <c r="K237" s="9" t="str">
        <f ca="1">IF($G237="","",INDEX(BASE_PRODUTOS!$C$2:$C$1006,$G237))</f>
        <v/>
      </c>
      <c r="L237" s="9" t="str">
        <f ca="1">IF($G237="","",INDEX(BASE_PRODUTOS!$E$2:$E$1006,$G237))</f>
        <v/>
      </c>
      <c r="M237" s="9" t="str">
        <f ca="1">IF($G237="","",INDEX(BASE_PRODUTOS!$F$2:$F$1006,$G237))</f>
        <v/>
      </c>
      <c r="N237" s="9" t="str">
        <f ca="1">IF($G237="","",INDEX(BASE_PRODUTOS!$G$2:$G$1006,$G237))</f>
        <v/>
      </c>
      <c r="O237" s="9" t="str">
        <f ca="1">IF($G237="","",INDEX(BASE_PRODUTOS!$H$2:$H$1006,$G237))</f>
        <v/>
      </c>
      <c r="P237" s="9" t="str">
        <f ca="1">IF($G237="","",INDEX(BASE_PRODUTOS!$I$2:$I$1006,$G237))</f>
        <v/>
      </c>
      <c r="Q237" s="9" t="str">
        <f ca="1">IF($G237="","",INDEX(BASE_PRODUTOS!$J$2:$J$1006,$G237))</f>
        <v/>
      </c>
      <c r="R237" s="9" t="str">
        <f ca="1">IF($G237="","",INDEX(BASE_PRODUTOS!$M$2:$M$1006,$G237))</f>
        <v/>
      </c>
      <c r="S237" s="9" t="str">
        <f ca="1">IF($G237="","",INDEX(BASE_PRODUTOS!$N$2:$N$1006,$G237))</f>
        <v/>
      </c>
      <c r="T237" s="9" t="str">
        <f ca="1">IF($G237="","",INDEX(BASE_PRODUTOS!$D$2:$D$1006,$G237))</f>
        <v/>
      </c>
    </row>
    <row r="238" spans="7:20" ht="18" customHeight="1" x14ac:dyDescent="0.35">
      <c r="G238" t="str">
        <f ca="1">IFERROR(_xludf.aggregate(15,6,(ROW(BASE_PRODUTOS!$L$2:$L$1006)-ROW(BASE_PRODUTOS!$L$2)+1)/(BASE_PRODUTOS!$L$2:$L$1006&gt;0),ROWS($G$10:G238)),"")</f>
        <v/>
      </c>
      <c r="H238" s="9" t="str">
        <f ca="1">IF($G238="","",INDEX(BASE_PRODUTOS!$B$2:$B$1006,$G238))</f>
        <v/>
      </c>
      <c r="I238" s="9" t="str">
        <f ca="1">IF($G238="","",INDEX(BASE_PRODUTOS!$L$2:$L$1006,$G238))</f>
        <v/>
      </c>
      <c r="J238" s="9" t="str">
        <f ca="1">IF($G238="","",INDEX(BASE_PRODUTOS!$A$2:$A$1006,$G238))</f>
        <v/>
      </c>
      <c r="K238" s="9" t="str">
        <f ca="1">IF($G238="","",INDEX(BASE_PRODUTOS!$C$2:$C$1006,$G238))</f>
        <v/>
      </c>
      <c r="L238" s="9" t="str">
        <f ca="1">IF($G238="","",INDEX(BASE_PRODUTOS!$E$2:$E$1006,$G238))</f>
        <v/>
      </c>
      <c r="M238" s="9" t="str">
        <f ca="1">IF($G238="","",INDEX(BASE_PRODUTOS!$F$2:$F$1006,$G238))</f>
        <v/>
      </c>
      <c r="N238" s="9" t="str">
        <f ca="1">IF($G238="","",INDEX(BASE_PRODUTOS!$G$2:$G$1006,$G238))</f>
        <v/>
      </c>
      <c r="O238" s="9" t="str">
        <f ca="1">IF($G238="","",INDEX(BASE_PRODUTOS!$H$2:$H$1006,$G238))</f>
        <v/>
      </c>
      <c r="P238" s="9" t="str">
        <f ca="1">IF($G238="","",INDEX(BASE_PRODUTOS!$I$2:$I$1006,$G238))</f>
        <v/>
      </c>
      <c r="Q238" s="9" t="str">
        <f ca="1">IF($G238="","",INDEX(BASE_PRODUTOS!$J$2:$J$1006,$G238))</f>
        <v/>
      </c>
      <c r="R238" s="9" t="str">
        <f ca="1">IF($G238="","",INDEX(BASE_PRODUTOS!$M$2:$M$1006,$G238))</f>
        <v/>
      </c>
      <c r="S238" s="9" t="str">
        <f ca="1">IF($G238="","",INDEX(BASE_PRODUTOS!$N$2:$N$1006,$G238))</f>
        <v/>
      </c>
      <c r="T238" s="9" t="str">
        <f ca="1">IF($G238="","",INDEX(BASE_PRODUTOS!$D$2:$D$1006,$G238))</f>
        <v/>
      </c>
    </row>
    <row r="239" spans="7:20" ht="18" customHeight="1" x14ac:dyDescent="0.35">
      <c r="G239" t="str">
        <f ca="1">IFERROR(_xludf.aggregate(15,6,(ROW(BASE_PRODUTOS!$L$2:$L$1006)-ROW(BASE_PRODUTOS!$L$2)+1)/(BASE_PRODUTOS!$L$2:$L$1006&gt;0),ROWS($G$10:G239)),"")</f>
        <v/>
      </c>
      <c r="H239" s="9" t="str">
        <f ca="1">IF($G239="","",INDEX(BASE_PRODUTOS!$B$2:$B$1006,$G239))</f>
        <v/>
      </c>
      <c r="I239" s="9" t="str">
        <f ca="1">IF($G239="","",INDEX(BASE_PRODUTOS!$L$2:$L$1006,$G239))</f>
        <v/>
      </c>
      <c r="J239" s="9" t="str">
        <f ca="1">IF($G239="","",INDEX(BASE_PRODUTOS!$A$2:$A$1006,$G239))</f>
        <v/>
      </c>
      <c r="K239" s="9" t="str">
        <f ca="1">IF($G239="","",INDEX(BASE_PRODUTOS!$C$2:$C$1006,$G239))</f>
        <v/>
      </c>
      <c r="L239" s="9" t="str">
        <f ca="1">IF($G239="","",INDEX(BASE_PRODUTOS!$E$2:$E$1006,$G239))</f>
        <v/>
      </c>
      <c r="M239" s="9" t="str">
        <f ca="1">IF($G239="","",INDEX(BASE_PRODUTOS!$F$2:$F$1006,$G239))</f>
        <v/>
      </c>
      <c r="N239" s="9" t="str">
        <f ca="1">IF($G239="","",INDEX(BASE_PRODUTOS!$G$2:$G$1006,$G239))</f>
        <v/>
      </c>
      <c r="O239" s="9" t="str">
        <f ca="1">IF($G239="","",INDEX(BASE_PRODUTOS!$H$2:$H$1006,$G239))</f>
        <v/>
      </c>
      <c r="P239" s="9" t="str">
        <f ca="1">IF($G239="","",INDEX(BASE_PRODUTOS!$I$2:$I$1006,$G239))</f>
        <v/>
      </c>
      <c r="Q239" s="9" t="str">
        <f ca="1">IF($G239="","",INDEX(BASE_PRODUTOS!$J$2:$J$1006,$G239))</f>
        <v/>
      </c>
      <c r="R239" s="9" t="str">
        <f ca="1">IF($G239="","",INDEX(BASE_PRODUTOS!$M$2:$M$1006,$G239))</f>
        <v/>
      </c>
      <c r="S239" s="9" t="str">
        <f ca="1">IF($G239="","",INDEX(BASE_PRODUTOS!$N$2:$N$1006,$G239))</f>
        <v/>
      </c>
      <c r="T239" s="9" t="str">
        <f ca="1">IF($G239="","",INDEX(BASE_PRODUTOS!$D$2:$D$1006,$G239))</f>
        <v/>
      </c>
    </row>
    <row r="240" spans="7:20" ht="18" customHeight="1" x14ac:dyDescent="0.35">
      <c r="G240" t="str">
        <f ca="1">IFERROR(_xludf.aggregate(15,6,(ROW(BASE_PRODUTOS!$L$2:$L$1006)-ROW(BASE_PRODUTOS!$L$2)+1)/(BASE_PRODUTOS!$L$2:$L$1006&gt;0),ROWS($G$10:G240)),"")</f>
        <v/>
      </c>
      <c r="H240" s="9" t="str">
        <f ca="1">IF($G240="","",INDEX(BASE_PRODUTOS!$B$2:$B$1006,$G240))</f>
        <v/>
      </c>
      <c r="I240" s="9" t="str">
        <f ca="1">IF($G240="","",INDEX(BASE_PRODUTOS!$L$2:$L$1006,$G240))</f>
        <v/>
      </c>
      <c r="J240" s="9" t="str">
        <f ca="1">IF($G240="","",INDEX(BASE_PRODUTOS!$A$2:$A$1006,$G240))</f>
        <v/>
      </c>
      <c r="K240" s="9" t="str">
        <f ca="1">IF($G240="","",INDEX(BASE_PRODUTOS!$C$2:$C$1006,$G240))</f>
        <v/>
      </c>
      <c r="L240" s="9" t="str">
        <f ca="1">IF($G240="","",INDEX(BASE_PRODUTOS!$E$2:$E$1006,$G240))</f>
        <v/>
      </c>
      <c r="M240" s="9" t="str">
        <f ca="1">IF($G240="","",INDEX(BASE_PRODUTOS!$F$2:$F$1006,$G240))</f>
        <v/>
      </c>
      <c r="N240" s="9" t="str">
        <f ca="1">IF($G240="","",INDEX(BASE_PRODUTOS!$G$2:$G$1006,$G240))</f>
        <v/>
      </c>
      <c r="O240" s="9" t="str">
        <f ca="1">IF($G240="","",INDEX(BASE_PRODUTOS!$H$2:$H$1006,$G240))</f>
        <v/>
      </c>
      <c r="P240" s="9" t="str">
        <f ca="1">IF($G240="","",INDEX(BASE_PRODUTOS!$I$2:$I$1006,$G240))</f>
        <v/>
      </c>
      <c r="Q240" s="9" t="str">
        <f ca="1">IF($G240="","",INDEX(BASE_PRODUTOS!$J$2:$J$1006,$G240))</f>
        <v/>
      </c>
      <c r="R240" s="9" t="str">
        <f ca="1">IF($G240="","",INDEX(BASE_PRODUTOS!$M$2:$M$1006,$G240))</f>
        <v/>
      </c>
      <c r="S240" s="9" t="str">
        <f ca="1">IF($G240="","",INDEX(BASE_PRODUTOS!$N$2:$N$1006,$G240))</f>
        <v/>
      </c>
      <c r="T240" s="9" t="str">
        <f ca="1">IF($G240="","",INDEX(BASE_PRODUTOS!$D$2:$D$1006,$G240))</f>
        <v/>
      </c>
    </row>
    <row r="241" spans="7:20" ht="18" customHeight="1" x14ac:dyDescent="0.35">
      <c r="G241" t="str">
        <f ca="1">IFERROR(_xludf.aggregate(15,6,(ROW(BASE_PRODUTOS!$L$2:$L$1006)-ROW(BASE_PRODUTOS!$L$2)+1)/(BASE_PRODUTOS!$L$2:$L$1006&gt;0),ROWS($G$10:G241)),"")</f>
        <v/>
      </c>
      <c r="H241" s="9" t="str">
        <f ca="1">IF($G241="","",INDEX(BASE_PRODUTOS!$B$2:$B$1006,$G241))</f>
        <v/>
      </c>
      <c r="I241" s="9" t="str">
        <f ca="1">IF($G241="","",INDEX(BASE_PRODUTOS!$L$2:$L$1006,$G241))</f>
        <v/>
      </c>
      <c r="J241" s="9" t="str">
        <f ca="1">IF($G241="","",INDEX(BASE_PRODUTOS!$A$2:$A$1006,$G241))</f>
        <v/>
      </c>
      <c r="K241" s="9" t="str">
        <f ca="1">IF($G241="","",INDEX(BASE_PRODUTOS!$C$2:$C$1006,$G241))</f>
        <v/>
      </c>
      <c r="L241" s="9" t="str">
        <f ca="1">IF($G241="","",INDEX(BASE_PRODUTOS!$E$2:$E$1006,$G241))</f>
        <v/>
      </c>
      <c r="M241" s="9" t="str">
        <f ca="1">IF($G241="","",INDEX(BASE_PRODUTOS!$F$2:$F$1006,$G241))</f>
        <v/>
      </c>
      <c r="N241" s="9" t="str">
        <f ca="1">IF($G241="","",INDEX(BASE_PRODUTOS!$G$2:$G$1006,$G241))</f>
        <v/>
      </c>
      <c r="O241" s="9" t="str">
        <f ca="1">IF($G241="","",INDEX(BASE_PRODUTOS!$H$2:$H$1006,$G241))</f>
        <v/>
      </c>
      <c r="P241" s="9" t="str">
        <f ca="1">IF($G241="","",INDEX(BASE_PRODUTOS!$I$2:$I$1006,$G241))</f>
        <v/>
      </c>
      <c r="Q241" s="9" t="str">
        <f ca="1">IF($G241="","",INDEX(BASE_PRODUTOS!$J$2:$J$1006,$G241))</f>
        <v/>
      </c>
      <c r="R241" s="9" t="str">
        <f ca="1">IF($G241="","",INDEX(BASE_PRODUTOS!$M$2:$M$1006,$G241))</f>
        <v/>
      </c>
      <c r="S241" s="9" t="str">
        <f ca="1">IF($G241="","",INDEX(BASE_PRODUTOS!$N$2:$N$1006,$G241))</f>
        <v/>
      </c>
      <c r="T241" s="9" t="str">
        <f ca="1">IF($G241="","",INDEX(BASE_PRODUTOS!$D$2:$D$1006,$G241))</f>
        <v/>
      </c>
    </row>
    <row r="242" spans="7:20" ht="18" customHeight="1" x14ac:dyDescent="0.35">
      <c r="G242" t="str">
        <f ca="1">IFERROR(_xludf.aggregate(15,6,(ROW(BASE_PRODUTOS!$L$2:$L$1006)-ROW(BASE_PRODUTOS!$L$2)+1)/(BASE_PRODUTOS!$L$2:$L$1006&gt;0),ROWS($G$10:G242)),"")</f>
        <v/>
      </c>
      <c r="H242" s="9" t="str">
        <f ca="1">IF($G242="","",INDEX(BASE_PRODUTOS!$B$2:$B$1006,$G242))</f>
        <v/>
      </c>
      <c r="I242" s="9" t="str">
        <f ca="1">IF($G242="","",INDEX(BASE_PRODUTOS!$L$2:$L$1006,$G242))</f>
        <v/>
      </c>
      <c r="J242" s="9" t="str">
        <f ca="1">IF($G242="","",INDEX(BASE_PRODUTOS!$A$2:$A$1006,$G242))</f>
        <v/>
      </c>
      <c r="K242" s="9" t="str">
        <f ca="1">IF($G242="","",INDEX(BASE_PRODUTOS!$C$2:$C$1006,$G242))</f>
        <v/>
      </c>
      <c r="L242" s="9" t="str">
        <f ca="1">IF($G242="","",INDEX(BASE_PRODUTOS!$E$2:$E$1006,$G242))</f>
        <v/>
      </c>
      <c r="M242" s="9" t="str">
        <f ca="1">IF($G242="","",INDEX(BASE_PRODUTOS!$F$2:$F$1006,$G242))</f>
        <v/>
      </c>
      <c r="N242" s="9" t="str">
        <f ca="1">IF($G242="","",INDEX(BASE_PRODUTOS!$G$2:$G$1006,$G242))</f>
        <v/>
      </c>
      <c r="O242" s="9" t="str">
        <f ca="1">IF($G242="","",INDEX(BASE_PRODUTOS!$H$2:$H$1006,$G242))</f>
        <v/>
      </c>
      <c r="P242" s="9" t="str">
        <f ca="1">IF($G242="","",INDEX(BASE_PRODUTOS!$I$2:$I$1006,$G242))</f>
        <v/>
      </c>
      <c r="Q242" s="9" t="str">
        <f ca="1">IF($G242="","",INDEX(BASE_PRODUTOS!$J$2:$J$1006,$G242))</f>
        <v/>
      </c>
      <c r="R242" s="9" t="str">
        <f ca="1">IF($G242="","",INDEX(BASE_PRODUTOS!$M$2:$M$1006,$G242))</f>
        <v/>
      </c>
      <c r="S242" s="9" t="str">
        <f ca="1">IF($G242="","",INDEX(BASE_PRODUTOS!$N$2:$N$1006,$G242))</f>
        <v/>
      </c>
      <c r="T242" s="9" t="str">
        <f ca="1">IF($G242="","",INDEX(BASE_PRODUTOS!$D$2:$D$1006,$G242))</f>
        <v/>
      </c>
    </row>
    <row r="243" spans="7:20" ht="18" customHeight="1" x14ac:dyDescent="0.35">
      <c r="G243" t="str">
        <f ca="1">IFERROR(_xludf.aggregate(15,6,(ROW(BASE_PRODUTOS!$L$2:$L$1006)-ROW(BASE_PRODUTOS!$L$2)+1)/(BASE_PRODUTOS!$L$2:$L$1006&gt;0),ROWS($G$10:G243)),"")</f>
        <v/>
      </c>
      <c r="H243" s="9" t="str">
        <f ca="1">IF($G243="","",INDEX(BASE_PRODUTOS!$B$2:$B$1006,$G243))</f>
        <v/>
      </c>
      <c r="I243" s="9" t="str">
        <f ca="1">IF($G243="","",INDEX(BASE_PRODUTOS!$L$2:$L$1006,$G243))</f>
        <v/>
      </c>
      <c r="J243" s="9" t="str">
        <f ca="1">IF($G243="","",INDEX(BASE_PRODUTOS!$A$2:$A$1006,$G243))</f>
        <v/>
      </c>
      <c r="K243" s="9" t="str">
        <f ca="1">IF($G243="","",INDEX(BASE_PRODUTOS!$C$2:$C$1006,$G243))</f>
        <v/>
      </c>
      <c r="L243" s="9" t="str">
        <f ca="1">IF($G243="","",INDEX(BASE_PRODUTOS!$E$2:$E$1006,$G243))</f>
        <v/>
      </c>
      <c r="M243" s="9" t="str">
        <f ca="1">IF($G243="","",INDEX(BASE_PRODUTOS!$F$2:$F$1006,$G243))</f>
        <v/>
      </c>
      <c r="N243" s="9" t="str">
        <f ca="1">IF($G243="","",INDEX(BASE_PRODUTOS!$G$2:$G$1006,$G243))</f>
        <v/>
      </c>
      <c r="O243" s="9" t="str">
        <f ca="1">IF($G243="","",INDEX(BASE_PRODUTOS!$H$2:$H$1006,$G243))</f>
        <v/>
      </c>
      <c r="P243" s="9" t="str">
        <f ca="1">IF($G243="","",INDEX(BASE_PRODUTOS!$I$2:$I$1006,$G243))</f>
        <v/>
      </c>
      <c r="Q243" s="9" t="str">
        <f ca="1">IF($G243="","",INDEX(BASE_PRODUTOS!$J$2:$J$1006,$G243))</f>
        <v/>
      </c>
      <c r="R243" s="9" t="str">
        <f ca="1">IF($G243="","",INDEX(BASE_PRODUTOS!$M$2:$M$1006,$G243))</f>
        <v/>
      </c>
      <c r="S243" s="9" t="str">
        <f ca="1">IF($G243="","",INDEX(BASE_PRODUTOS!$N$2:$N$1006,$G243))</f>
        <v/>
      </c>
      <c r="T243" s="9" t="str">
        <f ca="1">IF($G243="","",INDEX(BASE_PRODUTOS!$D$2:$D$1006,$G243))</f>
        <v/>
      </c>
    </row>
    <row r="244" spans="7:20" ht="18" customHeight="1" x14ac:dyDescent="0.35">
      <c r="G244" t="str">
        <f ca="1">IFERROR(_xludf.aggregate(15,6,(ROW(BASE_PRODUTOS!$L$2:$L$1006)-ROW(BASE_PRODUTOS!$L$2)+1)/(BASE_PRODUTOS!$L$2:$L$1006&gt;0),ROWS($G$10:G244)),"")</f>
        <v/>
      </c>
      <c r="H244" s="9" t="str">
        <f ca="1">IF($G244="","",INDEX(BASE_PRODUTOS!$B$2:$B$1006,$G244))</f>
        <v/>
      </c>
      <c r="I244" s="9" t="str">
        <f ca="1">IF($G244="","",INDEX(BASE_PRODUTOS!$L$2:$L$1006,$G244))</f>
        <v/>
      </c>
      <c r="J244" s="9" t="str">
        <f ca="1">IF($G244="","",INDEX(BASE_PRODUTOS!$A$2:$A$1006,$G244))</f>
        <v/>
      </c>
      <c r="K244" s="9" t="str">
        <f ca="1">IF($G244="","",INDEX(BASE_PRODUTOS!$C$2:$C$1006,$G244))</f>
        <v/>
      </c>
      <c r="L244" s="9" t="str">
        <f ca="1">IF($G244="","",INDEX(BASE_PRODUTOS!$E$2:$E$1006,$G244))</f>
        <v/>
      </c>
      <c r="M244" s="9" t="str">
        <f ca="1">IF($G244="","",INDEX(BASE_PRODUTOS!$F$2:$F$1006,$G244))</f>
        <v/>
      </c>
      <c r="N244" s="9" t="str">
        <f ca="1">IF($G244="","",INDEX(BASE_PRODUTOS!$G$2:$G$1006,$G244))</f>
        <v/>
      </c>
      <c r="O244" s="9" t="str">
        <f ca="1">IF($G244="","",INDEX(BASE_PRODUTOS!$H$2:$H$1006,$G244))</f>
        <v/>
      </c>
      <c r="P244" s="9" t="str">
        <f ca="1">IF($G244="","",INDEX(BASE_PRODUTOS!$I$2:$I$1006,$G244))</f>
        <v/>
      </c>
      <c r="Q244" s="9" t="str">
        <f ca="1">IF($G244="","",INDEX(BASE_PRODUTOS!$J$2:$J$1006,$G244))</f>
        <v/>
      </c>
      <c r="R244" s="9" t="str">
        <f ca="1">IF($G244="","",INDEX(BASE_PRODUTOS!$M$2:$M$1006,$G244))</f>
        <v/>
      </c>
      <c r="S244" s="9" t="str">
        <f ca="1">IF($G244="","",INDEX(BASE_PRODUTOS!$N$2:$N$1006,$G244))</f>
        <v/>
      </c>
      <c r="T244" s="9" t="str">
        <f ca="1">IF($G244="","",INDEX(BASE_PRODUTOS!$D$2:$D$1006,$G244))</f>
        <v/>
      </c>
    </row>
    <row r="245" spans="7:20" ht="18" customHeight="1" x14ac:dyDescent="0.35">
      <c r="G245" t="str">
        <f ca="1">IFERROR(_xludf.aggregate(15,6,(ROW(BASE_PRODUTOS!$L$2:$L$1006)-ROW(BASE_PRODUTOS!$L$2)+1)/(BASE_PRODUTOS!$L$2:$L$1006&gt;0),ROWS($G$10:G245)),"")</f>
        <v/>
      </c>
      <c r="H245" s="9" t="str">
        <f ca="1">IF($G245="","",INDEX(BASE_PRODUTOS!$B$2:$B$1006,$G245))</f>
        <v/>
      </c>
      <c r="I245" s="9" t="str">
        <f ca="1">IF($G245="","",INDEX(BASE_PRODUTOS!$L$2:$L$1006,$G245))</f>
        <v/>
      </c>
      <c r="J245" s="9" t="str">
        <f ca="1">IF($G245="","",INDEX(BASE_PRODUTOS!$A$2:$A$1006,$G245))</f>
        <v/>
      </c>
      <c r="K245" s="9" t="str">
        <f ca="1">IF($G245="","",INDEX(BASE_PRODUTOS!$C$2:$C$1006,$G245))</f>
        <v/>
      </c>
      <c r="L245" s="9" t="str">
        <f ca="1">IF($G245="","",INDEX(BASE_PRODUTOS!$E$2:$E$1006,$G245))</f>
        <v/>
      </c>
      <c r="M245" s="9" t="str">
        <f ca="1">IF($G245="","",INDEX(BASE_PRODUTOS!$F$2:$F$1006,$G245))</f>
        <v/>
      </c>
      <c r="N245" s="9" t="str">
        <f ca="1">IF($G245="","",INDEX(BASE_PRODUTOS!$G$2:$G$1006,$G245))</f>
        <v/>
      </c>
      <c r="O245" s="9" t="str">
        <f ca="1">IF($G245="","",INDEX(BASE_PRODUTOS!$H$2:$H$1006,$G245))</f>
        <v/>
      </c>
      <c r="P245" s="9" t="str">
        <f ca="1">IF($G245="","",INDEX(BASE_PRODUTOS!$I$2:$I$1006,$G245))</f>
        <v/>
      </c>
      <c r="Q245" s="9" t="str">
        <f ca="1">IF($G245="","",INDEX(BASE_PRODUTOS!$J$2:$J$1006,$G245))</f>
        <v/>
      </c>
      <c r="R245" s="9" t="str">
        <f ca="1">IF($G245="","",INDEX(BASE_PRODUTOS!$M$2:$M$1006,$G245))</f>
        <v/>
      </c>
      <c r="S245" s="9" t="str">
        <f ca="1">IF($G245="","",INDEX(BASE_PRODUTOS!$N$2:$N$1006,$G245))</f>
        <v/>
      </c>
      <c r="T245" s="9" t="str">
        <f ca="1">IF($G245="","",INDEX(BASE_PRODUTOS!$D$2:$D$1006,$G245))</f>
        <v/>
      </c>
    </row>
    <row r="246" spans="7:20" ht="18" customHeight="1" x14ac:dyDescent="0.35">
      <c r="G246" t="str">
        <f ca="1">IFERROR(_xludf.aggregate(15,6,(ROW(BASE_PRODUTOS!$L$2:$L$1006)-ROW(BASE_PRODUTOS!$L$2)+1)/(BASE_PRODUTOS!$L$2:$L$1006&gt;0),ROWS($G$10:G246)),"")</f>
        <v/>
      </c>
      <c r="H246" s="9" t="str">
        <f ca="1">IF($G246="","",INDEX(BASE_PRODUTOS!$B$2:$B$1006,$G246))</f>
        <v/>
      </c>
      <c r="I246" s="9" t="str">
        <f ca="1">IF($G246="","",INDEX(BASE_PRODUTOS!$L$2:$L$1006,$G246))</f>
        <v/>
      </c>
      <c r="J246" s="9" t="str">
        <f ca="1">IF($G246="","",INDEX(BASE_PRODUTOS!$A$2:$A$1006,$G246))</f>
        <v/>
      </c>
      <c r="K246" s="9" t="str">
        <f ca="1">IF($G246="","",INDEX(BASE_PRODUTOS!$C$2:$C$1006,$G246))</f>
        <v/>
      </c>
      <c r="L246" s="9" t="str">
        <f ca="1">IF($G246="","",INDEX(BASE_PRODUTOS!$E$2:$E$1006,$G246))</f>
        <v/>
      </c>
      <c r="M246" s="9" t="str">
        <f ca="1">IF($G246="","",INDEX(BASE_PRODUTOS!$F$2:$F$1006,$G246))</f>
        <v/>
      </c>
      <c r="N246" s="9" t="str">
        <f ca="1">IF($G246="","",INDEX(BASE_PRODUTOS!$G$2:$G$1006,$G246))</f>
        <v/>
      </c>
      <c r="O246" s="9" t="str">
        <f ca="1">IF($G246="","",INDEX(BASE_PRODUTOS!$H$2:$H$1006,$G246))</f>
        <v/>
      </c>
      <c r="P246" s="9" t="str">
        <f ca="1">IF($G246="","",INDEX(BASE_PRODUTOS!$I$2:$I$1006,$G246))</f>
        <v/>
      </c>
      <c r="Q246" s="9" t="str">
        <f ca="1">IF($G246="","",INDEX(BASE_PRODUTOS!$J$2:$J$1006,$G246))</f>
        <v/>
      </c>
      <c r="R246" s="9" t="str">
        <f ca="1">IF($G246="","",INDEX(BASE_PRODUTOS!$M$2:$M$1006,$G246))</f>
        <v/>
      </c>
      <c r="S246" s="9" t="str">
        <f ca="1">IF($G246="","",INDEX(BASE_PRODUTOS!$N$2:$N$1006,$G246))</f>
        <v/>
      </c>
      <c r="T246" s="9" t="str">
        <f ca="1">IF($G246="","",INDEX(BASE_PRODUTOS!$D$2:$D$1006,$G246))</f>
        <v/>
      </c>
    </row>
    <row r="247" spans="7:20" ht="18" customHeight="1" x14ac:dyDescent="0.35">
      <c r="G247" t="str">
        <f ca="1">IFERROR(_xludf.aggregate(15,6,(ROW(BASE_PRODUTOS!$L$2:$L$1006)-ROW(BASE_PRODUTOS!$L$2)+1)/(BASE_PRODUTOS!$L$2:$L$1006&gt;0),ROWS($G$10:G247)),"")</f>
        <v/>
      </c>
      <c r="H247" s="9" t="str">
        <f ca="1">IF($G247="","",INDEX(BASE_PRODUTOS!$B$2:$B$1006,$G247))</f>
        <v/>
      </c>
      <c r="I247" s="9" t="str">
        <f ca="1">IF($G247="","",INDEX(BASE_PRODUTOS!$L$2:$L$1006,$G247))</f>
        <v/>
      </c>
      <c r="J247" s="9" t="str">
        <f ca="1">IF($G247="","",INDEX(BASE_PRODUTOS!$A$2:$A$1006,$G247))</f>
        <v/>
      </c>
      <c r="K247" s="9" t="str">
        <f ca="1">IF($G247="","",INDEX(BASE_PRODUTOS!$C$2:$C$1006,$G247))</f>
        <v/>
      </c>
      <c r="L247" s="9" t="str">
        <f ca="1">IF($G247="","",INDEX(BASE_PRODUTOS!$E$2:$E$1006,$G247))</f>
        <v/>
      </c>
      <c r="M247" s="9" t="str">
        <f ca="1">IF($G247="","",INDEX(BASE_PRODUTOS!$F$2:$F$1006,$G247))</f>
        <v/>
      </c>
      <c r="N247" s="9" t="str">
        <f ca="1">IF($G247="","",INDEX(BASE_PRODUTOS!$G$2:$G$1006,$G247))</f>
        <v/>
      </c>
      <c r="O247" s="9" t="str">
        <f ca="1">IF($G247="","",INDEX(BASE_PRODUTOS!$H$2:$H$1006,$G247))</f>
        <v/>
      </c>
      <c r="P247" s="9" t="str">
        <f ca="1">IF($G247="","",INDEX(BASE_PRODUTOS!$I$2:$I$1006,$G247))</f>
        <v/>
      </c>
      <c r="Q247" s="9" t="str">
        <f ca="1">IF($G247="","",INDEX(BASE_PRODUTOS!$J$2:$J$1006,$G247))</f>
        <v/>
      </c>
      <c r="R247" s="9" t="str">
        <f ca="1">IF($G247="","",INDEX(BASE_PRODUTOS!$M$2:$M$1006,$G247))</f>
        <v/>
      </c>
      <c r="S247" s="9" t="str">
        <f ca="1">IF($G247="","",INDEX(BASE_PRODUTOS!$N$2:$N$1006,$G247))</f>
        <v/>
      </c>
      <c r="T247" s="9" t="str">
        <f ca="1">IF($G247="","",INDEX(BASE_PRODUTOS!$D$2:$D$1006,$G247))</f>
        <v/>
      </c>
    </row>
    <row r="248" spans="7:20" ht="18" customHeight="1" x14ac:dyDescent="0.35">
      <c r="G248" t="str">
        <f ca="1">IFERROR(_xludf.aggregate(15,6,(ROW(BASE_PRODUTOS!$L$2:$L$1006)-ROW(BASE_PRODUTOS!$L$2)+1)/(BASE_PRODUTOS!$L$2:$L$1006&gt;0),ROWS($G$10:G248)),"")</f>
        <v/>
      </c>
      <c r="H248" s="9" t="str">
        <f ca="1">IF($G248="","",INDEX(BASE_PRODUTOS!$B$2:$B$1006,$G248))</f>
        <v/>
      </c>
      <c r="I248" s="9" t="str">
        <f ca="1">IF($G248="","",INDEX(BASE_PRODUTOS!$L$2:$L$1006,$G248))</f>
        <v/>
      </c>
      <c r="J248" s="9" t="str">
        <f ca="1">IF($G248="","",INDEX(BASE_PRODUTOS!$A$2:$A$1006,$G248))</f>
        <v/>
      </c>
      <c r="K248" s="9" t="str">
        <f ca="1">IF($G248="","",INDEX(BASE_PRODUTOS!$C$2:$C$1006,$G248))</f>
        <v/>
      </c>
      <c r="L248" s="9" t="str">
        <f ca="1">IF($G248="","",INDEX(BASE_PRODUTOS!$E$2:$E$1006,$G248))</f>
        <v/>
      </c>
      <c r="M248" s="9" t="str">
        <f ca="1">IF($G248="","",INDEX(BASE_PRODUTOS!$F$2:$F$1006,$G248))</f>
        <v/>
      </c>
      <c r="N248" s="9" t="str">
        <f ca="1">IF($G248="","",INDEX(BASE_PRODUTOS!$G$2:$G$1006,$G248))</f>
        <v/>
      </c>
      <c r="O248" s="9" t="str">
        <f ca="1">IF($G248="","",INDEX(BASE_PRODUTOS!$H$2:$H$1006,$G248))</f>
        <v/>
      </c>
      <c r="P248" s="9" t="str">
        <f ca="1">IF($G248="","",INDEX(BASE_PRODUTOS!$I$2:$I$1006,$G248))</f>
        <v/>
      </c>
      <c r="Q248" s="9" t="str">
        <f ca="1">IF($G248="","",INDEX(BASE_PRODUTOS!$J$2:$J$1006,$G248))</f>
        <v/>
      </c>
      <c r="R248" s="9" t="str">
        <f ca="1">IF($G248="","",INDEX(BASE_PRODUTOS!$M$2:$M$1006,$G248))</f>
        <v/>
      </c>
      <c r="S248" s="9" t="str">
        <f ca="1">IF($G248="","",INDEX(BASE_PRODUTOS!$N$2:$N$1006,$G248))</f>
        <v/>
      </c>
      <c r="T248" s="9" t="str">
        <f ca="1">IF($G248="","",INDEX(BASE_PRODUTOS!$D$2:$D$1006,$G248))</f>
        <v/>
      </c>
    </row>
    <row r="249" spans="7:20" ht="18" customHeight="1" x14ac:dyDescent="0.35">
      <c r="G249" t="str">
        <f ca="1">IFERROR(_xludf.aggregate(15,6,(ROW(BASE_PRODUTOS!$L$2:$L$1006)-ROW(BASE_PRODUTOS!$L$2)+1)/(BASE_PRODUTOS!$L$2:$L$1006&gt;0),ROWS($G$10:G249)),"")</f>
        <v/>
      </c>
      <c r="H249" s="9" t="str">
        <f ca="1">IF($G249="","",INDEX(BASE_PRODUTOS!$B$2:$B$1006,$G249))</f>
        <v/>
      </c>
      <c r="I249" s="9" t="str">
        <f ca="1">IF($G249="","",INDEX(BASE_PRODUTOS!$L$2:$L$1006,$G249))</f>
        <v/>
      </c>
      <c r="J249" s="9" t="str">
        <f ca="1">IF($G249="","",INDEX(BASE_PRODUTOS!$A$2:$A$1006,$G249))</f>
        <v/>
      </c>
      <c r="K249" s="9" t="str">
        <f ca="1">IF($G249="","",INDEX(BASE_PRODUTOS!$C$2:$C$1006,$G249))</f>
        <v/>
      </c>
      <c r="L249" s="9" t="str">
        <f ca="1">IF($G249="","",INDEX(BASE_PRODUTOS!$E$2:$E$1006,$G249))</f>
        <v/>
      </c>
      <c r="M249" s="9" t="str">
        <f ca="1">IF($G249="","",INDEX(BASE_PRODUTOS!$F$2:$F$1006,$G249))</f>
        <v/>
      </c>
      <c r="N249" s="9" t="str">
        <f ca="1">IF($G249="","",INDEX(BASE_PRODUTOS!$G$2:$G$1006,$G249))</f>
        <v/>
      </c>
      <c r="O249" s="9" t="str">
        <f ca="1">IF($G249="","",INDEX(BASE_PRODUTOS!$H$2:$H$1006,$G249))</f>
        <v/>
      </c>
      <c r="P249" s="9" t="str">
        <f ca="1">IF($G249="","",INDEX(BASE_PRODUTOS!$I$2:$I$1006,$G249))</f>
        <v/>
      </c>
      <c r="Q249" s="9" t="str">
        <f ca="1">IF($G249="","",INDEX(BASE_PRODUTOS!$J$2:$J$1006,$G249))</f>
        <v/>
      </c>
      <c r="R249" s="9" t="str">
        <f ca="1">IF($G249="","",INDEX(BASE_PRODUTOS!$M$2:$M$1006,$G249))</f>
        <v/>
      </c>
      <c r="S249" s="9" t="str">
        <f ca="1">IF($G249="","",INDEX(BASE_PRODUTOS!$N$2:$N$1006,$G249))</f>
        <v/>
      </c>
      <c r="T249" s="9" t="str">
        <f ca="1">IF($G249="","",INDEX(BASE_PRODUTOS!$D$2:$D$1006,$G249))</f>
        <v/>
      </c>
    </row>
    <row r="250" spans="7:20" ht="18" customHeight="1" x14ac:dyDescent="0.35">
      <c r="G250" t="str">
        <f ca="1">IFERROR(_xludf.aggregate(15,6,(ROW(BASE_PRODUTOS!$L$2:$L$1006)-ROW(BASE_PRODUTOS!$L$2)+1)/(BASE_PRODUTOS!$L$2:$L$1006&gt;0),ROWS($G$10:G250)),"")</f>
        <v/>
      </c>
      <c r="H250" s="9" t="str">
        <f ca="1">IF($G250="","",INDEX(BASE_PRODUTOS!$B$2:$B$1006,$G250))</f>
        <v/>
      </c>
      <c r="I250" s="9" t="str">
        <f ca="1">IF($G250="","",INDEX(BASE_PRODUTOS!$L$2:$L$1006,$G250))</f>
        <v/>
      </c>
      <c r="J250" s="9" t="str">
        <f ca="1">IF($G250="","",INDEX(BASE_PRODUTOS!$A$2:$A$1006,$G250))</f>
        <v/>
      </c>
      <c r="K250" s="9" t="str">
        <f ca="1">IF($G250="","",INDEX(BASE_PRODUTOS!$C$2:$C$1006,$G250))</f>
        <v/>
      </c>
      <c r="L250" s="9" t="str">
        <f ca="1">IF($G250="","",INDEX(BASE_PRODUTOS!$E$2:$E$1006,$G250))</f>
        <v/>
      </c>
      <c r="M250" s="9" t="str">
        <f ca="1">IF($G250="","",INDEX(BASE_PRODUTOS!$F$2:$F$1006,$G250))</f>
        <v/>
      </c>
      <c r="N250" s="9" t="str">
        <f ca="1">IF($G250="","",INDEX(BASE_PRODUTOS!$G$2:$G$1006,$G250))</f>
        <v/>
      </c>
      <c r="O250" s="9" t="str">
        <f ca="1">IF($G250="","",INDEX(BASE_PRODUTOS!$H$2:$H$1006,$G250))</f>
        <v/>
      </c>
      <c r="P250" s="9" t="str">
        <f ca="1">IF($G250="","",INDEX(BASE_PRODUTOS!$I$2:$I$1006,$G250))</f>
        <v/>
      </c>
      <c r="Q250" s="9" t="str">
        <f ca="1">IF($G250="","",INDEX(BASE_PRODUTOS!$J$2:$J$1006,$G250))</f>
        <v/>
      </c>
      <c r="R250" s="9" t="str">
        <f ca="1">IF($G250="","",INDEX(BASE_PRODUTOS!$M$2:$M$1006,$G250))</f>
        <v/>
      </c>
      <c r="S250" s="9" t="str">
        <f ca="1">IF($G250="","",INDEX(BASE_PRODUTOS!$N$2:$N$1006,$G250))</f>
        <v/>
      </c>
      <c r="T250" s="9" t="str">
        <f ca="1">IF($G250="","",INDEX(BASE_PRODUTOS!$D$2:$D$1006,$G250))</f>
        <v/>
      </c>
    </row>
    <row r="251" spans="7:20" ht="18" customHeight="1" x14ac:dyDescent="0.35">
      <c r="G251" t="str">
        <f ca="1">IFERROR(_xludf.aggregate(15,6,(ROW(BASE_PRODUTOS!$L$2:$L$1006)-ROW(BASE_PRODUTOS!$L$2)+1)/(BASE_PRODUTOS!$L$2:$L$1006&gt;0),ROWS($G$10:G251)),"")</f>
        <v/>
      </c>
      <c r="H251" s="9" t="str">
        <f ca="1">IF($G251="","",INDEX(BASE_PRODUTOS!$B$2:$B$1006,$G251))</f>
        <v/>
      </c>
      <c r="I251" s="9" t="str">
        <f ca="1">IF($G251="","",INDEX(BASE_PRODUTOS!$L$2:$L$1006,$G251))</f>
        <v/>
      </c>
      <c r="J251" s="9" t="str">
        <f ca="1">IF($G251="","",INDEX(BASE_PRODUTOS!$A$2:$A$1006,$G251))</f>
        <v/>
      </c>
      <c r="K251" s="9" t="str">
        <f ca="1">IF($G251="","",INDEX(BASE_PRODUTOS!$C$2:$C$1006,$G251))</f>
        <v/>
      </c>
      <c r="L251" s="9" t="str">
        <f ca="1">IF($G251="","",INDEX(BASE_PRODUTOS!$E$2:$E$1006,$G251))</f>
        <v/>
      </c>
      <c r="M251" s="9" t="str">
        <f ca="1">IF($G251="","",INDEX(BASE_PRODUTOS!$F$2:$F$1006,$G251))</f>
        <v/>
      </c>
      <c r="N251" s="9" t="str">
        <f ca="1">IF($G251="","",INDEX(BASE_PRODUTOS!$G$2:$G$1006,$G251))</f>
        <v/>
      </c>
      <c r="O251" s="9" t="str">
        <f ca="1">IF($G251="","",INDEX(BASE_PRODUTOS!$H$2:$H$1006,$G251))</f>
        <v/>
      </c>
      <c r="P251" s="9" t="str">
        <f ca="1">IF($G251="","",INDEX(BASE_PRODUTOS!$I$2:$I$1006,$G251))</f>
        <v/>
      </c>
      <c r="Q251" s="9" t="str">
        <f ca="1">IF($G251="","",INDEX(BASE_PRODUTOS!$J$2:$J$1006,$G251))</f>
        <v/>
      </c>
      <c r="R251" s="9" t="str">
        <f ca="1">IF($G251="","",INDEX(BASE_PRODUTOS!$M$2:$M$1006,$G251))</f>
        <v/>
      </c>
      <c r="S251" s="9" t="str">
        <f ca="1">IF($G251="","",INDEX(BASE_PRODUTOS!$N$2:$N$1006,$G251))</f>
        <v/>
      </c>
      <c r="T251" s="9" t="str">
        <f ca="1">IF($G251="","",INDEX(BASE_PRODUTOS!$D$2:$D$1006,$G251))</f>
        <v/>
      </c>
    </row>
    <row r="252" spans="7:20" ht="18" customHeight="1" x14ac:dyDescent="0.35">
      <c r="G252" t="str">
        <f ca="1">IFERROR(_xludf.aggregate(15,6,(ROW(BASE_PRODUTOS!$L$2:$L$1006)-ROW(BASE_PRODUTOS!$L$2)+1)/(BASE_PRODUTOS!$L$2:$L$1006&gt;0),ROWS($G$10:G252)),"")</f>
        <v/>
      </c>
      <c r="H252" s="9" t="str">
        <f ca="1">IF($G252="","",INDEX(BASE_PRODUTOS!$B$2:$B$1006,$G252))</f>
        <v/>
      </c>
      <c r="I252" s="9" t="str">
        <f ca="1">IF($G252="","",INDEX(BASE_PRODUTOS!$L$2:$L$1006,$G252))</f>
        <v/>
      </c>
      <c r="J252" s="9" t="str">
        <f ca="1">IF($G252="","",INDEX(BASE_PRODUTOS!$A$2:$A$1006,$G252))</f>
        <v/>
      </c>
      <c r="K252" s="9" t="str">
        <f ca="1">IF($G252="","",INDEX(BASE_PRODUTOS!$C$2:$C$1006,$G252))</f>
        <v/>
      </c>
      <c r="L252" s="9" t="str">
        <f ca="1">IF($G252="","",INDEX(BASE_PRODUTOS!$E$2:$E$1006,$G252))</f>
        <v/>
      </c>
      <c r="M252" s="9" t="str">
        <f ca="1">IF($G252="","",INDEX(BASE_PRODUTOS!$F$2:$F$1006,$G252))</f>
        <v/>
      </c>
      <c r="N252" s="9" t="str">
        <f ca="1">IF($G252="","",INDEX(BASE_PRODUTOS!$G$2:$G$1006,$G252))</f>
        <v/>
      </c>
      <c r="O252" s="9" t="str">
        <f ca="1">IF($G252="","",INDEX(BASE_PRODUTOS!$H$2:$H$1006,$G252))</f>
        <v/>
      </c>
      <c r="P252" s="9" t="str">
        <f ca="1">IF($G252="","",INDEX(BASE_PRODUTOS!$I$2:$I$1006,$G252))</f>
        <v/>
      </c>
      <c r="Q252" s="9" t="str">
        <f ca="1">IF($G252="","",INDEX(BASE_PRODUTOS!$J$2:$J$1006,$G252))</f>
        <v/>
      </c>
      <c r="R252" s="9" t="str">
        <f ca="1">IF($G252="","",INDEX(BASE_PRODUTOS!$M$2:$M$1006,$G252))</f>
        <v/>
      </c>
      <c r="S252" s="9" t="str">
        <f ca="1">IF($G252="","",INDEX(BASE_PRODUTOS!$N$2:$N$1006,$G252))</f>
        <v/>
      </c>
      <c r="T252" s="9" t="str">
        <f ca="1">IF($G252="","",INDEX(BASE_PRODUTOS!$D$2:$D$1006,$G252))</f>
        <v/>
      </c>
    </row>
    <row r="253" spans="7:20" ht="18" customHeight="1" x14ac:dyDescent="0.35">
      <c r="G253" t="str">
        <f ca="1">IFERROR(_xludf.aggregate(15,6,(ROW(BASE_PRODUTOS!$L$2:$L$1006)-ROW(BASE_PRODUTOS!$L$2)+1)/(BASE_PRODUTOS!$L$2:$L$1006&gt;0),ROWS($G$10:G253)),"")</f>
        <v/>
      </c>
      <c r="H253" s="9" t="str">
        <f ca="1">IF($G253="","",INDEX(BASE_PRODUTOS!$B$2:$B$1006,$G253))</f>
        <v/>
      </c>
      <c r="I253" s="9" t="str">
        <f ca="1">IF($G253="","",INDEX(BASE_PRODUTOS!$L$2:$L$1006,$G253))</f>
        <v/>
      </c>
      <c r="J253" s="9" t="str">
        <f ca="1">IF($G253="","",INDEX(BASE_PRODUTOS!$A$2:$A$1006,$G253))</f>
        <v/>
      </c>
      <c r="K253" s="9" t="str">
        <f ca="1">IF($G253="","",INDEX(BASE_PRODUTOS!$C$2:$C$1006,$G253))</f>
        <v/>
      </c>
      <c r="L253" s="9" t="str">
        <f ca="1">IF($G253="","",INDEX(BASE_PRODUTOS!$E$2:$E$1006,$G253))</f>
        <v/>
      </c>
      <c r="M253" s="9" t="str">
        <f ca="1">IF($G253="","",INDEX(BASE_PRODUTOS!$F$2:$F$1006,$G253))</f>
        <v/>
      </c>
      <c r="N253" s="9" t="str">
        <f ca="1">IF($G253="","",INDEX(BASE_PRODUTOS!$G$2:$G$1006,$G253))</f>
        <v/>
      </c>
      <c r="O253" s="9" t="str">
        <f ca="1">IF($G253="","",INDEX(BASE_PRODUTOS!$H$2:$H$1006,$G253))</f>
        <v/>
      </c>
      <c r="P253" s="9" t="str">
        <f ca="1">IF($G253="","",INDEX(BASE_PRODUTOS!$I$2:$I$1006,$G253))</f>
        <v/>
      </c>
      <c r="Q253" s="9" t="str">
        <f ca="1">IF($G253="","",INDEX(BASE_PRODUTOS!$J$2:$J$1006,$G253))</f>
        <v/>
      </c>
      <c r="R253" s="9" t="str">
        <f ca="1">IF($G253="","",INDEX(BASE_PRODUTOS!$M$2:$M$1006,$G253))</f>
        <v/>
      </c>
      <c r="S253" s="9" t="str">
        <f ca="1">IF($G253="","",INDEX(BASE_PRODUTOS!$N$2:$N$1006,$G253))</f>
        <v/>
      </c>
      <c r="T253" s="9" t="str">
        <f ca="1">IF($G253="","",INDEX(BASE_PRODUTOS!$D$2:$D$1006,$G253))</f>
        <v/>
      </c>
    </row>
    <row r="254" spans="7:20" ht="18" customHeight="1" x14ac:dyDescent="0.35">
      <c r="G254" t="str">
        <f ca="1">IFERROR(_xludf.aggregate(15,6,(ROW(BASE_PRODUTOS!$L$2:$L$1006)-ROW(BASE_PRODUTOS!$L$2)+1)/(BASE_PRODUTOS!$L$2:$L$1006&gt;0),ROWS($G$10:G254)),"")</f>
        <v/>
      </c>
      <c r="H254" s="9" t="str">
        <f ca="1">IF($G254="","",INDEX(BASE_PRODUTOS!$B$2:$B$1006,$G254))</f>
        <v/>
      </c>
      <c r="I254" s="9" t="str">
        <f ca="1">IF($G254="","",INDEX(BASE_PRODUTOS!$L$2:$L$1006,$G254))</f>
        <v/>
      </c>
      <c r="J254" s="9" t="str">
        <f ca="1">IF($G254="","",INDEX(BASE_PRODUTOS!$A$2:$A$1006,$G254))</f>
        <v/>
      </c>
      <c r="K254" s="9" t="str">
        <f ca="1">IF($G254="","",INDEX(BASE_PRODUTOS!$C$2:$C$1006,$G254))</f>
        <v/>
      </c>
      <c r="L254" s="9" t="str">
        <f ca="1">IF($G254="","",INDEX(BASE_PRODUTOS!$E$2:$E$1006,$G254))</f>
        <v/>
      </c>
      <c r="M254" s="9" t="str">
        <f ca="1">IF($G254="","",INDEX(BASE_PRODUTOS!$F$2:$F$1006,$G254))</f>
        <v/>
      </c>
      <c r="N254" s="9" t="str">
        <f ca="1">IF($G254="","",INDEX(BASE_PRODUTOS!$G$2:$G$1006,$G254))</f>
        <v/>
      </c>
      <c r="O254" s="9" t="str">
        <f ca="1">IF($G254="","",INDEX(BASE_PRODUTOS!$H$2:$H$1006,$G254))</f>
        <v/>
      </c>
      <c r="P254" s="9" t="str">
        <f ca="1">IF($G254="","",INDEX(BASE_PRODUTOS!$I$2:$I$1006,$G254))</f>
        <v/>
      </c>
      <c r="Q254" s="9" t="str">
        <f ca="1">IF($G254="","",INDEX(BASE_PRODUTOS!$J$2:$J$1006,$G254))</f>
        <v/>
      </c>
      <c r="R254" s="9" t="str">
        <f ca="1">IF($G254="","",INDEX(BASE_PRODUTOS!$M$2:$M$1006,$G254))</f>
        <v/>
      </c>
      <c r="S254" s="9" t="str">
        <f ca="1">IF($G254="","",INDEX(BASE_PRODUTOS!$N$2:$N$1006,$G254))</f>
        <v/>
      </c>
      <c r="T254" s="9" t="str">
        <f ca="1">IF($G254="","",INDEX(BASE_PRODUTOS!$D$2:$D$1006,$G254))</f>
        <v/>
      </c>
    </row>
    <row r="255" spans="7:20" ht="18" customHeight="1" x14ac:dyDescent="0.35">
      <c r="G255" t="str">
        <f ca="1">IFERROR(_xludf.aggregate(15,6,(ROW(BASE_PRODUTOS!$L$2:$L$1006)-ROW(BASE_PRODUTOS!$L$2)+1)/(BASE_PRODUTOS!$L$2:$L$1006&gt;0),ROWS($G$10:G255)),"")</f>
        <v/>
      </c>
      <c r="H255" s="9" t="str">
        <f ca="1">IF($G255="","",INDEX(BASE_PRODUTOS!$B$2:$B$1006,$G255))</f>
        <v/>
      </c>
      <c r="I255" s="9" t="str">
        <f ca="1">IF($G255="","",INDEX(BASE_PRODUTOS!$L$2:$L$1006,$G255))</f>
        <v/>
      </c>
      <c r="J255" s="9" t="str">
        <f ca="1">IF($G255="","",INDEX(BASE_PRODUTOS!$A$2:$A$1006,$G255))</f>
        <v/>
      </c>
      <c r="K255" s="9" t="str">
        <f ca="1">IF($G255="","",INDEX(BASE_PRODUTOS!$C$2:$C$1006,$G255))</f>
        <v/>
      </c>
      <c r="L255" s="9" t="str">
        <f ca="1">IF($G255="","",INDEX(BASE_PRODUTOS!$E$2:$E$1006,$G255))</f>
        <v/>
      </c>
      <c r="M255" s="9" t="str">
        <f ca="1">IF($G255="","",INDEX(BASE_PRODUTOS!$F$2:$F$1006,$G255))</f>
        <v/>
      </c>
      <c r="N255" s="9" t="str">
        <f ca="1">IF($G255="","",INDEX(BASE_PRODUTOS!$G$2:$G$1006,$G255))</f>
        <v/>
      </c>
      <c r="O255" s="9" t="str">
        <f ca="1">IF($G255="","",INDEX(BASE_PRODUTOS!$H$2:$H$1006,$G255))</f>
        <v/>
      </c>
      <c r="P255" s="9" t="str">
        <f ca="1">IF($G255="","",INDEX(BASE_PRODUTOS!$I$2:$I$1006,$G255))</f>
        <v/>
      </c>
      <c r="Q255" s="9" t="str">
        <f ca="1">IF($G255="","",INDEX(BASE_PRODUTOS!$J$2:$J$1006,$G255))</f>
        <v/>
      </c>
      <c r="R255" s="9" t="str">
        <f ca="1">IF($G255="","",INDEX(BASE_PRODUTOS!$M$2:$M$1006,$G255))</f>
        <v/>
      </c>
      <c r="S255" s="9" t="str">
        <f ca="1">IF($G255="","",INDEX(BASE_PRODUTOS!$N$2:$N$1006,$G255))</f>
        <v/>
      </c>
      <c r="T255" s="9" t="str">
        <f ca="1">IF($G255="","",INDEX(BASE_PRODUTOS!$D$2:$D$1006,$G255))</f>
        <v/>
      </c>
    </row>
    <row r="256" spans="7:20" ht="18" customHeight="1" x14ac:dyDescent="0.35">
      <c r="G256" t="str">
        <f ca="1">IFERROR(_xludf.aggregate(15,6,(ROW(BASE_PRODUTOS!$L$2:$L$1006)-ROW(BASE_PRODUTOS!$L$2)+1)/(BASE_PRODUTOS!$L$2:$L$1006&gt;0),ROWS($G$10:G256)),"")</f>
        <v/>
      </c>
      <c r="H256" s="9" t="str">
        <f ca="1">IF($G256="","",INDEX(BASE_PRODUTOS!$B$2:$B$1006,$G256))</f>
        <v/>
      </c>
      <c r="I256" s="9" t="str">
        <f ca="1">IF($G256="","",INDEX(BASE_PRODUTOS!$L$2:$L$1006,$G256))</f>
        <v/>
      </c>
      <c r="J256" s="9" t="str">
        <f ca="1">IF($G256="","",INDEX(BASE_PRODUTOS!$A$2:$A$1006,$G256))</f>
        <v/>
      </c>
      <c r="K256" s="9" t="str">
        <f ca="1">IF($G256="","",INDEX(BASE_PRODUTOS!$C$2:$C$1006,$G256))</f>
        <v/>
      </c>
      <c r="L256" s="9" t="str">
        <f ca="1">IF($G256="","",INDEX(BASE_PRODUTOS!$E$2:$E$1006,$G256))</f>
        <v/>
      </c>
      <c r="M256" s="9" t="str">
        <f ca="1">IF($G256="","",INDEX(BASE_PRODUTOS!$F$2:$F$1006,$G256))</f>
        <v/>
      </c>
      <c r="N256" s="9" t="str">
        <f ca="1">IF($G256="","",INDEX(BASE_PRODUTOS!$G$2:$G$1006,$G256))</f>
        <v/>
      </c>
      <c r="O256" s="9" t="str">
        <f ca="1">IF($G256="","",INDEX(BASE_PRODUTOS!$H$2:$H$1006,$G256))</f>
        <v/>
      </c>
      <c r="P256" s="9" t="str">
        <f ca="1">IF($G256="","",INDEX(BASE_PRODUTOS!$I$2:$I$1006,$G256))</f>
        <v/>
      </c>
      <c r="Q256" s="9" t="str">
        <f ca="1">IF($G256="","",INDEX(BASE_PRODUTOS!$J$2:$J$1006,$G256))</f>
        <v/>
      </c>
      <c r="R256" s="9" t="str">
        <f ca="1">IF($G256="","",INDEX(BASE_PRODUTOS!$M$2:$M$1006,$G256))</f>
        <v/>
      </c>
      <c r="S256" s="9" t="str">
        <f ca="1">IF($G256="","",INDEX(BASE_PRODUTOS!$N$2:$N$1006,$G256))</f>
        <v/>
      </c>
      <c r="T256" s="9" t="str">
        <f ca="1">IF($G256="","",INDEX(BASE_PRODUTOS!$D$2:$D$1006,$G256))</f>
        <v/>
      </c>
    </row>
    <row r="257" spans="7:20" ht="18" customHeight="1" x14ac:dyDescent="0.35">
      <c r="G257" t="str">
        <f ca="1">IFERROR(_xludf.aggregate(15,6,(ROW(BASE_PRODUTOS!$L$2:$L$1006)-ROW(BASE_PRODUTOS!$L$2)+1)/(BASE_PRODUTOS!$L$2:$L$1006&gt;0),ROWS($G$10:G257)),"")</f>
        <v/>
      </c>
      <c r="H257" s="9" t="str">
        <f ca="1">IF($G257="","",INDEX(BASE_PRODUTOS!$B$2:$B$1006,$G257))</f>
        <v/>
      </c>
      <c r="I257" s="9" t="str">
        <f ca="1">IF($G257="","",INDEX(BASE_PRODUTOS!$L$2:$L$1006,$G257))</f>
        <v/>
      </c>
      <c r="J257" s="9" t="str">
        <f ca="1">IF($G257="","",INDEX(BASE_PRODUTOS!$A$2:$A$1006,$G257))</f>
        <v/>
      </c>
      <c r="K257" s="9" t="str">
        <f ca="1">IF($G257="","",INDEX(BASE_PRODUTOS!$C$2:$C$1006,$G257))</f>
        <v/>
      </c>
      <c r="L257" s="9" t="str">
        <f ca="1">IF($G257="","",INDEX(BASE_PRODUTOS!$E$2:$E$1006,$G257))</f>
        <v/>
      </c>
      <c r="M257" s="9" t="str">
        <f ca="1">IF($G257="","",INDEX(BASE_PRODUTOS!$F$2:$F$1006,$G257))</f>
        <v/>
      </c>
      <c r="N257" s="9" t="str">
        <f ca="1">IF($G257="","",INDEX(BASE_PRODUTOS!$G$2:$G$1006,$G257))</f>
        <v/>
      </c>
      <c r="O257" s="9" t="str">
        <f ca="1">IF($G257="","",INDEX(BASE_PRODUTOS!$H$2:$H$1006,$G257))</f>
        <v/>
      </c>
      <c r="P257" s="9" t="str">
        <f ca="1">IF($G257="","",INDEX(BASE_PRODUTOS!$I$2:$I$1006,$G257))</f>
        <v/>
      </c>
      <c r="Q257" s="9" t="str">
        <f ca="1">IF($G257="","",INDEX(BASE_PRODUTOS!$J$2:$J$1006,$G257))</f>
        <v/>
      </c>
      <c r="R257" s="9" t="str">
        <f ca="1">IF($G257="","",INDEX(BASE_PRODUTOS!$M$2:$M$1006,$G257))</f>
        <v/>
      </c>
      <c r="S257" s="9" t="str">
        <f ca="1">IF($G257="","",INDEX(BASE_PRODUTOS!$N$2:$N$1006,$G257))</f>
        <v/>
      </c>
      <c r="T257" s="9" t="str">
        <f ca="1">IF($G257="","",INDEX(BASE_PRODUTOS!$D$2:$D$1006,$G257))</f>
        <v/>
      </c>
    </row>
    <row r="258" spans="7:20" ht="18" customHeight="1" x14ac:dyDescent="0.35">
      <c r="G258" t="str">
        <f ca="1">IFERROR(_xludf.aggregate(15,6,(ROW(BASE_PRODUTOS!$L$2:$L$1006)-ROW(BASE_PRODUTOS!$L$2)+1)/(BASE_PRODUTOS!$L$2:$L$1006&gt;0),ROWS($G$10:G258)),"")</f>
        <v/>
      </c>
      <c r="H258" s="9" t="str">
        <f ca="1">IF($G258="","",INDEX(BASE_PRODUTOS!$B$2:$B$1006,$G258))</f>
        <v/>
      </c>
      <c r="I258" s="9" t="str">
        <f ca="1">IF($G258="","",INDEX(BASE_PRODUTOS!$L$2:$L$1006,$G258))</f>
        <v/>
      </c>
      <c r="J258" s="9" t="str">
        <f ca="1">IF($G258="","",INDEX(BASE_PRODUTOS!$A$2:$A$1006,$G258))</f>
        <v/>
      </c>
      <c r="K258" s="9" t="str">
        <f ca="1">IF($G258="","",INDEX(BASE_PRODUTOS!$C$2:$C$1006,$G258))</f>
        <v/>
      </c>
      <c r="L258" s="9" t="str">
        <f ca="1">IF($G258="","",INDEX(BASE_PRODUTOS!$E$2:$E$1006,$G258))</f>
        <v/>
      </c>
      <c r="M258" s="9" t="str">
        <f ca="1">IF($G258="","",INDEX(BASE_PRODUTOS!$F$2:$F$1006,$G258))</f>
        <v/>
      </c>
      <c r="N258" s="9" t="str">
        <f ca="1">IF($G258="","",INDEX(BASE_PRODUTOS!$G$2:$G$1006,$G258))</f>
        <v/>
      </c>
      <c r="O258" s="9" t="str">
        <f ca="1">IF($G258="","",INDEX(BASE_PRODUTOS!$H$2:$H$1006,$G258))</f>
        <v/>
      </c>
      <c r="P258" s="9" t="str">
        <f ca="1">IF($G258="","",INDEX(BASE_PRODUTOS!$I$2:$I$1006,$G258))</f>
        <v/>
      </c>
      <c r="Q258" s="9" t="str">
        <f ca="1">IF($G258="","",INDEX(BASE_PRODUTOS!$J$2:$J$1006,$G258))</f>
        <v/>
      </c>
      <c r="R258" s="9" t="str">
        <f ca="1">IF($G258="","",INDEX(BASE_PRODUTOS!$M$2:$M$1006,$G258))</f>
        <v/>
      </c>
      <c r="S258" s="9" t="str">
        <f ca="1">IF($G258="","",INDEX(BASE_PRODUTOS!$N$2:$N$1006,$G258))</f>
        <v/>
      </c>
      <c r="T258" s="9" t="str">
        <f ca="1">IF($G258="","",INDEX(BASE_PRODUTOS!$D$2:$D$1006,$G258))</f>
        <v/>
      </c>
    </row>
    <row r="259" spans="7:20" ht="18" customHeight="1" x14ac:dyDescent="0.35">
      <c r="G259" t="str">
        <f ca="1">IFERROR(_xludf.aggregate(15,6,(ROW(BASE_PRODUTOS!$L$2:$L$1006)-ROW(BASE_PRODUTOS!$L$2)+1)/(BASE_PRODUTOS!$L$2:$L$1006&gt;0),ROWS($G$10:G259)),"")</f>
        <v/>
      </c>
      <c r="H259" s="9" t="str">
        <f ca="1">IF($G259="","",INDEX(BASE_PRODUTOS!$B$2:$B$1006,$G259))</f>
        <v/>
      </c>
      <c r="I259" s="9" t="str">
        <f ca="1">IF($G259="","",INDEX(BASE_PRODUTOS!$L$2:$L$1006,$G259))</f>
        <v/>
      </c>
      <c r="J259" s="9" t="str">
        <f ca="1">IF($G259="","",INDEX(BASE_PRODUTOS!$A$2:$A$1006,$G259))</f>
        <v/>
      </c>
      <c r="K259" s="9" t="str">
        <f ca="1">IF($G259="","",INDEX(BASE_PRODUTOS!$C$2:$C$1006,$G259))</f>
        <v/>
      </c>
      <c r="L259" s="9" t="str">
        <f ca="1">IF($G259="","",INDEX(BASE_PRODUTOS!$E$2:$E$1006,$G259))</f>
        <v/>
      </c>
      <c r="M259" s="9" t="str">
        <f ca="1">IF($G259="","",INDEX(BASE_PRODUTOS!$F$2:$F$1006,$G259))</f>
        <v/>
      </c>
      <c r="N259" s="9" t="str">
        <f ca="1">IF($G259="","",INDEX(BASE_PRODUTOS!$G$2:$G$1006,$G259))</f>
        <v/>
      </c>
      <c r="O259" s="9" t="str">
        <f ca="1">IF($G259="","",INDEX(BASE_PRODUTOS!$H$2:$H$1006,$G259))</f>
        <v/>
      </c>
      <c r="P259" s="9" t="str">
        <f ca="1">IF($G259="","",INDEX(BASE_PRODUTOS!$I$2:$I$1006,$G259))</f>
        <v/>
      </c>
      <c r="Q259" s="9" t="str">
        <f ca="1">IF($G259="","",INDEX(BASE_PRODUTOS!$J$2:$J$1006,$G259))</f>
        <v/>
      </c>
      <c r="R259" s="9" t="str">
        <f ca="1">IF($G259="","",INDEX(BASE_PRODUTOS!$M$2:$M$1006,$G259))</f>
        <v/>
      </c>
      <c r="S259" s="9" t="str">
        <f ca="1">IF($G259="","",INDEX(BASE_PRODUTOS!$N$2:$N$1006,$G259))</f>
        <v/>
      </c>
      <c r="T259" s="9" t="str">
        <f ca="1">IF($G259="","",INDEX(BASE_PRODUTOS!$D$2:$D$1006,$G259))</f>
        <v/>
      </c>
    </row>
    <row r="260" spans="7:20" ht="18" customHeight="1" x14ac:dyDescent="0.35">
      <c r="G260" t="str">
        <f ca="1">IFERROR(_xludf.aggregate(15,6,(ROW(BASE_PRODUTOS!$L$2:$L$1006)-ROW(BASE_PRODUTOS!$L$2)+1)/(BASE_PRODUTOS!$L$2:$L$1006&gt;0),ROWS($G$10:G260)),"")</f>
        <v/>
      </c>
      <c r="H260" s="9" t="str">
        <f ca="1">IF($G260="","",INDEX(BASE_PRODUTOS!$B$2:$B$1006,$G260))</f>
        <v/>
      </c>
      <c r="I260" s="9" t="str">
        <f ca="1">IF($G260="","",INDEX(BASE_PRODUTOS!$L$2:$L$1006,$G260))</f>
        <v/>
      </c>
      <c r="J260" s="9" t="str">
        <f ca="1">IF($G260="","",INDEX(BASE_PRODUTOS!$A$2:$A$1006,$G260))</f>
        <v/>
      </c>
      <c r="K260" s="9" t="str">
        <f ca="1">IF($G260="","",INDEX(BASE_PRODUTOS!$C$2:$C$1006,$G260))</f>
        <v/>
      </c>
      <c r="L260" s="9" t="str">
        <f ca="1">IF($G260="","",INDEX(BASE_PRODUTOS!$E$2:$E$1006,$G260))</f>
        <v/>
      </c>
      <c r="M260" s="9" t="str">
        <f ca="1">IF($G260="","",INDEX(BASE_PRODUTOS!$F$2:$F$1006,$G260))</f>
        <v/>
      </c>
      <c r="N260" s="9" t="str">
        <f ca="1">IF($G260="","",INDEX(BASE_PRODUTOS!$G$2:$G$1006,$G260))</f>
        <v/>
      </c>
      <c r="O260" s="9" t="str">
        <f ca="1">IF($G260="","",INDEX(BASE_PRODUTOS!$H$2:$H$1006,$G260))</f>
        <v/>
      </c>
      <c r="P260" s="9" t="str">
        <f ca="1">IF($G260="","",INDEX(BASE_PRODUTOS!$I$2:$I$1006,$G260))</f>
        <v/>
      </c>
      <c r="Q260" s="9" t="str">
        <f ca="1">IF($G260="","",INDEX(BASE_PRODUTOS!$J$2:$J$1006,$G260))</f>
        <v/>
      </c>
      <c r="R260" s="9" t="str">
        <f ca="1">IF($G260="","",INDEX(BASE_PRODUTOS!$M$2:$M$1006,$G260))</f>
        <v/>
      </c>
      <c r="S260" s="9" t="str">
        <f ca="1">IF($G260="","",INDEX(BASE_PRODUTOS!$N$2:$N$1006,$G260))</f>
        <v/>
      </c>
      <c r="T260" s="9" t="str">
        <f ca="1">IF($G260="","",INDEX(BASE_PRODUTOS!$D$2:$D$1006,$G260))</f>
        <v/>
      </c>
    </row>
    <row r="261" spans="7:20" ht="18" customHeight="1" x14ac:dyDescent="0.35">
      <c r="G261" t="str">
        <f ca="1">IFERROR(_xludf.aggregate(15,6,(ROW(BASE_PRODUTOS!$L$2:$L$1006)-ROW(BASE_PRODUTOS!$L$2)+1)/(BASE_PRODUTOS!$L$2:$L$1006&gt;0),ROWS($G$10:G261)),"")</f>
        <v/>
      </c>
      <c r="H261" s="9" t="str">
        <f ca="1">IF($G261="","",INDEX(BASE_PRODUTOS!$B$2:$B$1006,$G261))</f>
        <v/>
      </c>
      <c r="I261" s="9" t="str">
        <f ca="1">IF($G261="","",INDEX(BASE_PRODUTOS!$L$2:$L$1006,$G261))</f>
        <v/>
      </c>
      <c r="J261" s="9" t="str">
        <f ca="1">IF($G261="","",INDEX(BASE_PRODUTOS!$A$2:$A$1006,$G261))</f>
        <v/>
      </c>
      <c r="K261" s="9" t="str">
        <f ca="1">IF($G261="","",INDEX(BASE_PRODUTOS!$C$2:$C$1006,$G261))</f>
        <v/>
      </c>
      <c r="L261" s="9" t="str">
        <f ca="1">IF($G261="","",INDEX(BASE_PRODUTOS!$E$2:$E$1006,$G261))</f>
        <v/>
      </c>
      <c r="M261" s="9" t="str">
        <f ca="1">IF($G261="","",INDEX(BASE_PRODUTOS!$F$2:$F$1006,$G261))</f>
        <v/>
      </c>
      <c r="N261" s="9" t="str">
        <f ca="1">IF($G261="","",INDEX(BASE_PRODUTOS!$G$2:$G$1006,$G261))</f>
        <v/>
      </c>
      <c r="O261" s="9" t="str">
        <f ca="1">IF($G261="","",INDEX(BASE_PRODUTOS!$H$2:$H$1006,$G261))</f>
        <v/>
      </c>
      <c r="P261" s="9" t="str">
        <f ca="1">IF($G261="","",INDEX(BASE_PRODUTOS!$I$2:$I$1006,$G261))</f>
        <v/>
      </c>
      <c r="Q261" s="9" t="str">
        <f ca="1">IF($G261="","",INDEX(BASE_PRODUTOS!$J$2:$J$1006,$G261))</f>
        <v/>
      </c>
      <c r="R261" s="9" t="str">
        <f ca="1">IF($G261="","",INDEX(BASE_PRODUTOS!$M$2:$M$1006,$G261))</f>
        <v/>
      </c>
      <c r="S261" s="9" t="str">
        <f ca="1">IF($G261="","",INDEX(BASE_PRODUTOS!$N$2:$N$1006,$G261))</f>
        <v/>
      </c>
      <c r="T261" s="9" t="str">
        <f ca="1">IF($G261="","",INDEX(BASE_PRODUTOS!$D$2:$D$1006,$G261))</f>
        <v/>
      </c>
    </row>
    <row r="262" spans="7:20" ht="18" customHeight="1" x14ac:dyDescent="0.35">
      <c r="G262" t="str">
        <f ca="1">IFERROR(_xludf.aggregate(15,6,(ROW(BASE_PRODUTOS!$L$2:$L$1006)-ROW(BASE_PRODUTOS!$L$2)+1)/(BASE_PRODUTOS!$L$2:$L$1006&gt;0),ROWS($G$10:G262)),"")</f>
        <v/>
      </c>
      <c r="H262" s="9" t="str">
        <f ca="1">IF($G262="","",INDEX(BASE_PRODUTOS!$B$2:$B$1006,$G262))</f>
        <v/>
      </c>
      <c r="I262" s="9" t="str">
        <f ca="1">IF($G262="","",INDEX(BASE_PRODUTOS!$L$2:$L$1006,$G262))</f>
        <v/>
      </c>
      <c r="J262" s="9" t="str">
        <f ca="1">IF($G262="","",INDEX(BASE_PRODUTOS!$A$2:$A$1006,$G262))</f>
        <v/>
      </c>
      <c r="K262" s="9" t="str">
        <f ca="1">IF($G262="","",INDEX(BASE_PRODUTOS!$C$2:$C$1006,$G262))</f>
        <v/>
      </c>
      <c r="L262" s="9" t="str">
        <f ca="1">IF($G262="","",INDEX(BASE_PRODUTOS!$E$2:$E$1006,$G262))</f>
        <v/>
      </c>
      <c r="M262" s="9" t="str">
        <f ca="1">IF($G262="","",INDEX(BASE_PRODUTOS!$F$2:$F$1006,$G262))</f>
        <v/>
      </c>
      <c r="N262" s="9" t="str">
        <f ca="1">IF($G262="","",INDEX(BASE_PRODUTOS!$G$2:$G$1006,$G262))</f>
        <v/>
      </c>
      <c r="O262" s="9" t="str">
        <f ca="1">IF($G262="","",INDEX(BASE_PRODUTOS!$H$2:$H$1006,$G262))</f>
        <v/>
      </c>
      <c r="P262" s="9" t="str">
        <f ca="1">IF($G262="","",INDEX(BASE_PRODUTOS!$I$2:$I$1006,$G262))</f>
        <v/>
      </c>
      <c r="Q262" s="9" t="str">
        <f ca="1">IF($G262="","",INDEX(BASE_PRODUTOS!$J$2:$J$1006,$G262))</f>
        <v/>
      </c>
      <c r="R262" s="9" t="str">
        <f ca="1">IF($G262="","",INDEX(BASE_PRODUTOS!$M$2:$M$1006,$G262))</f>
        <v/>
      </c>
      <c r="S262" s="9" t="str">
        <f ca="1">IF($G262="","",INDEX(BASE_PRODUTOS!$N$2:$N$1006,$G262))</f>
        <v/>
      </c>
      <c r="T262" s="9" t="str">
        <f ca="1">IF($G262="","",INDEX(BASE_PRODUTOS!$D$2:$D$1006,$G262))</f>
        <v/>
      </c>
    </row>
    <row r="263" spans="7:20" ht="18" customHeight="1" x14ac:dyDescent="0.35">
      <c r="G263" t="str">
        <f ca="1">IFERROR(_xludf.aggregate(15,6,(ROW(BASE_PRODUTOS!$L$2:$L$1006)-ROW(BASE_PRODUTOS!$L$2)+1)/(BASE_PRODUTOS!$L$2:$L$1006&gt;0),ROWS($G$10:G263)),"")</f>
        <v/>
      </c>
      <c r="H263" s="9" t="str">
        <f ca="1">IF($G263="","",INDEX(BASE_PRODUTOS!$B$2:$B$1006,$G263))</f>
        <v/>
      </c>
      <c r="I263" s="9" t="str">
        <f ca="1">IF($G263="","",INDEX(BASE_PRODUTOS!$L$2:$L$1006,$G263))</f>
        <v/>
      </c>
      <c r="J263" s="9" t="str">
        <f ca="1">IF($G263="","",INDEX(BASE_PRODUTOS!$A$2:$A$1006,$G263))</f>
        <v/>
      </c>
      <c r="K263" s="9" t="str">
        <f ca="1">IF($G263="","",INDEX(BASE_PRODUTOS!$C$2:$C$1006,$G263))</f>
        <v/>
      </c>
      <c r="L263" s="9" t="str">
        <f ca="1">IF($G263="","",INDEX(BASE_PRODUTOS!$E$2:$E$1006,$G263))</f>
        <v/>
      </c>
      <c r="M263" s="9" t="str">
        <f ca="1">IF($G263="","",INDEX(BASE_PRODUTOS!$F$2:$F$1006,$G263))</f>
        <v/>
      </c>
      <c r="N263" s="9" t="str">
        <f ca="1">IF($G263="","",INDEX(BASE_PRODUTOS!$G$2:$G$1006,$G263))</f>
        <v/>
      </c>
      <c r="O263" s="9" t="str">
        <f ca="1">IF($G263="","",INDEX(BASE_PRODUTOS!$H$2:$H$1006,$G263))</f>
        <v/>
      </c>
      <c r="P263" s="9" t="str">
        <f ca="1">IF($G263="","",INDEX(BASE_PRODUTOS!$I$2:$I$1006,$G263))</f>
        <v/>
      </c>
      <c r="Q263" s="9" t="str">
        <f ca="1">IF($G263="","",INDEX(BASE_PRODUTOS!$J$2:$J$1006,$G263))</f>
        <v/>
      </c>
      <c r="R263" s="9" t="str">
        <f ca="1">IF($G263="","",INDEX(BASE_PRODUTOS!$M$2:$M$1006,$G263))</f>
        <v/>
      </c>
      <c r="S263" s="9" t="str">
        <f ca="1">IF($G263="","",INDEX(BASE_PRODUTOS!$N$2:$N$1006,$G263))</f>
        <v/>
      </c>
      <c r="T263" s="9" t="str">
        <f ca="1">IF($G263="","",INDEX(BASE_PRODUTOS!$D$2:$D$1006,$G263))</f>
        <v/>
      </c>
    </row>
    <row r="264" spans="7:20" ht="18" customHeight="1" x14ac:dyDescent="0.35">
      <c r="G264" t="str">
        <f ca="1">IFERROR(_xludf.aggregate(15,6,(ROW(BASE_PRODUTOS!$L$2:$L$1006)-ROW(BASE_PRODUTOS!$L$2)+1)/(BASE_PRODUTOS!$L$2:$L$1006&gt;0),ROWS($G$10:G264)),"")</f>
        <v/>
      </c>
      <c r="H264" s="9" t="str">
        <f ca="1">IF($G264="","",INDEX(BASE_PRODUTOS!$B$2:$B$1006,$G264))</f>
        <v/>
      </c>
      <c r="I264" s="9" t="str">
        <f ca="1">IF($G264="","",INDEX(BASE_PRODUTOS!$L$2:$L$1006,$G264))</f>
        <v/>
      </c>
      <c r="J264" s="9" t="str">
        <f ca="1">IF($G264="","",INDEX(BASE_PRODUTOS!$A$2:$A$1006,$G264))</f>
        <v/>
      </c>
      <c r="K264" s="9" t="str">
        <f ca="1">IF($G264="","",INDEX(BASE_PRODUTOS!$C$2:$C$1006,$G264))</f>
        <v/>
      </c>
      <c r="L264" s="9" t="str">
        <f ca="1">IF($G264="","",INDEX(BASE_PRODUTOS!$E$2:$E$1006,$G264))</f>
        <v/>
      </c>
      <c r="M264" s="9" t="str">
        <f ca="1">IF($G264="","",INDEX(BASE_PRODUTOS!$F$2:$F$1006,$G264))</f>
        <v/>
      </c>
      <c r="N264" s="9" t="str">
        <f ca="1">IF($G264="","",INDEX(BASE_PRODUTOS!$G$2:$G$1006,$G264))</f>
        <v/>
      </c>
      <c r="O264" s="9" t="str">
        <f ca="1">IF($G264="","",INDEX(BASE_PRODUTOS!$H$2:$H$1006,$G264))</f>
        <v/>
      </c>
      <c r="P264" s="9" t="str">
        <f ca="1">IF($G264="","",INDEX(BASE_PRODUTOS!$I$2:$I$1006,$G264))</f>
        <v/>
      </c>
      <c r="Q264" s="9" t="str">
        <f ca="1">IF($G264="","",INDEX(BASE_PRODUTOS!$J$2:$J$1006,$G264))</f>
        <v/>
      </c>
      <c r="R264" s="9" t="str">
        <f ca="1">IF($G264="","",INDEX(BASE_PRODUTOS!$M$2:$M$1006,$G264))</f>
        <v/>
      </c>
      <c r="S264" s="9" t="str">
        <f ca="1">IF($G264="","",INDEX(BASE_PRODUTOS!$N$2:$N$1006,$G264))</f>
        <v/>
      </c>
      <c r="T264" s="9" t="str">
        <f ca="1">IF($G264="","",INDEX(BASE_PRODUTOS!$D$2:$D$1006,$G264))</f>
        <v/>
      </c>
    </row>
    <row r="265" spans="7:20" ht="18" customHeight="1" x14ac:dyDescent="0.35">
      <c r="G265" t="str">
        <f ca="1">IFERROR(_xludf.aggregate(15,6,(ROW(BASE_PRODUTOS!$L$2:$L$1006)-ROW(BASE_PRODUTOS!$L$2)+1)/(BASE_PRODUTOS!$L$2:$L$1006&gt;0),ROWS($G$10:G265)),"")</f>
        <v/>
      </c>
      <c r="H265" s="9" t="str">
        <f ca="1">IF($G265="","",INDEX(BASE_PRODUTOS!$B$2:$B$1006,$G265))</f>
        <v/>
      </c>
      <c r="I265" s="9" t="str">
        <f ca="1">IF($G265="","",INDEX(BASE_PRODUTOS!$L$2:$L$1006,$G265))</f>
        <v/>
      </c>
      <c r="J265" s="9" t="str">
        <f ca="1">IF($G265="","",INDEX(BASE_PRODUTOS!$A$2:$A$1006,$G265))</f>
        <v/>
      </c>
      <c r="K265" s="9" t="str">
        <f ca="1">IF($G265="","",INDEX(BASE_PRODUTOS!$C$2:$C$1006,$G265))</f>
        <v/>
      </c>
      <c r="L265" s="9" t="str">
        <f ca="1">IF($G265="","",INDEX(BASE_PRODUTOS!$E$2:$E$1006,$G265))</f>
        <v/>
      </c>
      <c r="M265" s="9" t="str">
        <f ca="1">IF($G265="","",INDEX(BASE_PRODUTOS!$F$2:$F$1006,$G265))</f>
        <v/>
      </c>
      <c r="N265" s="9" t="str">
        <f ca="1">IF($G265="","",INDEX(BASE_PRODUTOS!$G$2:$G$1006,$G265))</f>
        <v/>
      </c>
      <c r="O265" s="9" t="str">
        <f ca="1">IF($G265="","",INDEX(BASE_PRODUTOS!$H$2:$H$1006,$G265))</f>
        <v/>
      </c>
      <c r="P265" s="9" t="str">
        <f ca="1">IF($G265="","",INDEX(BASE_PRODUTOS!$I$2:$I$1006,$G265))</f>
        <v/>
      </c>
      <c r="Q265" s="9" t="str">
        <f ca="1">IF($G265="","",INDEX(BASE_PRODUTOS!$J$2:$J$1006,$G265))</f>
        <v/>
      </c>
      <c r="R265" s="9" t="str">
        <f ca="1">IF($G265="","",INDEX(BASE_PRODUTOS!$M$2:$M$1006,$G265))</f>
        <v/>
      </c>
      <c r="S265" s="9" t="str">
        <f ca="1">IF($G265="","",INDEX(BASE_PRODUTOS!$N$2:$N$1006,$G265))</f>
        <v/>
      </c>
      <c r="T265" s="9" t="str">
        <f ca="1">IF($G265="","",INDEX(BASE_PRODUTOS!$D$2:$D$1006,$G265))</f>
        <v/>
      </c>
    </row>
    <row r="266" spans="7:20" ht="18" customHeight="1" x14ac:dyDescent="0.35">
      <c r="G266" t="str">
        <f ca="1">IFERROR(_xludf.aggregate(15,6,(ROW(BASE_PRODUTOS!$L$2:$L$1006)-ROW(BASE_PRODUTOS!$L$2)+1)/(BASE_PRODUTOS!$L$2:$L$1006&gt;0),ROWS($G$10:G266)),"")</f>
        <v/>
      </c>
      <c r="H266" s="9" t="str">
        <f ca="1">IF($G266="","",INDEX(BASE_PRODUTOS!$B$2:$B$1006,$G266))</f>
        <v/>
      </c>
      <c r="I266" s="9" t="str">
        <f ca="1">IF($G266="","",INDEX(BASE_PRODUTOS!$L$2:$L$1006,$G266))</f>
        <v/>
      </c>
      <c r="J266" s="9" t="str">
        <f ca="1">IF($G266="","",INDEX(BASE_PRODUTOS!$A$2:$A$1006,$G266))</f>
        <v/>
      </c>
      <c r="K266" s="9" t="str">
        <f ca="1">IF($G266="","",INDEX(BASE_PRODUTOS!$C$2:$C$1006,$G266))</f>
        <v/>
      </c>
      <c r="L266" s="9" t="str">
        <f ca="1">IF($G266="","",INDEX(BASE_PRODUTOS!$E$2:$E$1006,$G266))</f>
        <v/>
      </c>
      <c r="M266" s="9" t="str">
        <f ca="1">IF($G266="","",INDEX(BASE_PRODUTOS!$F$2:$F$1006,$G266))</f>
        <v/>
      </c>
      <c r="N266" s="9" t="str">
        <f ca="1">IF($G266="","",INDEX(BASE_PRODUTOS!$G$2:$G$1006,$G266))</f>
        <v/>
      </c>
      <c r="O266" s="9" t="str">
        <f ca="1">IF($G266="","",INDEX(BASE_PRODUTOS!$H$2:$H$1006,$G266))</f>
        <v/>
      </c>
      <c r="P266" s="9" t="str">
        <f ca="1">IF($G266="","",INDEX(BASE_PRODUTOS!$I$2:$I$1006,$G266))</f>
        <v/>
      </c>
      <c r="Q266" s="9" t="str">
        <f ca="1">IF($G266="","",INDEX(BASE_PRODUTOS!$J$2:$J$1006,$G266))</f>
        <v/>
      </c>
      <c r="R266" s="9" t="str">
        <f ca="1">IF($G266="","",INDEX(BASE_PRODUTOS!$M$2:$M$1006,$G266))</f>
        <v/>
      </c>
      <c r="S266" s="9" t="str">
        <f ca="1">IF($G266="","",INDEX(BASE_PRODUTOS!$N$2:$N$1006,$G266))</f>
        <v/>
      </c>
      <c r="T266" s="9" t="str">
        <f ca="1">IF($G266="","",INDEX(BASE_PRODUTOS!$D$2:$D$1006,$G266))</f>
        <v/>
      </c>
    </row>
    <row r="267" spans="7:20" ht="18" customHeight="1" x14ac:dyDescent="0.35">
      <c r="G267" t="str">
        <f ca="1">IFERROR(_xludf.aggregate(15,6,(ROW(BASE_PRODUTOS!$L$2:$L$1006)-ROW(BASE_PRODUTOS!$L$2)+1)/(BASE_PRODUTOS!$L$2:$L$1006&gt;0),ROWS($G$10:G267)),"")</f>
        <v/>
      </c>
      <c r="H267" s="9" t="str">
        <f ca="1">IF($G267="","",INDEX(BASE_PRODUTOS!$B$2:$B$1006,$G267))</f>
        <v/>
      </c>
      <c r="I267" s="9" t="str">
        <f ca="1">IF($G267="","",INDEX(BASE_PRODUTOS!$L$2:$L$1006,$G267))</f>
        <v/>
      </c>
      <c r="J267" s="9" t="str">
        <f ca="1">IF($G267="","",INDEX(BASE_PRODUTOS!$A$2:$A$1006,$G267))</f>
        <v/>
      </c>
      <c r="K267" s="9" t="str">
        <f ca="1">IF($G267="","",INDEX(BASE_PRODUTOS!$C$2:$C$1006,$G267))</f>
        <v/>
      </c>
      <c r="L267" s="9" t="str">
        <f ca="1">IF($G267="","",INDEX(BASE_PRODUTOS!$E$2:$E$1006,$G267))</f>
        <v/>
      </c>
      <c r="M267" s="9" t="str">
        <f ca="1">IF($G267="","",INDEX(BASE_PRODUTOS!$F$2:$F$1006,$G267))</f>
        <v/>
      </c>
      <c r="N267" s="9" t="str">
        <f ca="1">IF($G267="","",INDEX(BASE_PRODUTOS!$G$2:$G$1006,$G267))</f>
        <v/>
      </c>
      <c r="O267" s="9" t="str">
        <f ca="1">IF($G267="","",INDEX(BASE_PRODUTOS!$H$2:$H$1006,$G267))</f>
        <v/>
      </c>
      <c r="P267" s="9" t="str">
        <f ca="1">IF($G267="","",INDEX(BASE_PRODUTOS!$I$2:$I$1006,$G267))</f>
        <v/>
      </c>
      <c r="Q267" s="9" t="str">
        <f ca="1">IF($G267="","",INDEX(BASE_PRODUTOS!$J$2:$J$1006,$G267))</f>
        <v/>
      </c>
      <c r="R267" s="9" t="str">
        <f ca="1">IF($G267="","",INDEX(BASE_PRODUTOS!$M$2:$M$1006,$G267))</f>
        <v/>
      </c>
      <c r="S267" s="9" t="str">
        <f ca="1">IF($G267="","",INDEX(BASE_PRODUTOS!$N$2:$N$1006,$G267))</f>
        <v/>
      </c>
      <c r="T267" s="9" t="str">
        <f ca="1">IF($G267="","",INDEX(BASE_PRODUTOS!$D$2:$D$1006,$G267))</f>
        <v/>
      </c>
    </row>
    <row r="268" spans="7:20" ht="18" customHeight="1" x14ac:dyDescent="0.35">
      <c r="G268" t="str">
        <f ca="1">IFERROR(_xludf.aggregate(15,6,(ROW(BASE_PRODUTOS!$L$2:$L$1006)-ROW(BASE_PRODUTOS!$L$2)+1)/(BASE_PRODUTOS!$L$2:$L$1006&gt;0),ROWS($G$10:G268)),"")</f>
        <v/>
      </c>
      <c r="H268" s="9" t="str">
        <f ca="1">IF($G268="","",INDEX(BASE_PRODUTOS!$B$2:$B$1006,$G268))</f>
        <v/>
      </c>
      <c r="I268" s="9" t="str">
        <f ca="1">IF($G268="","",INDEX(BASE_PRODUTOS!$L$2:$L$1006,$G268))</f>
        <v/>
      </c>
      <c r="J268" s="9" t="str">
        <f ca="1">IF($G268="","",INDEX(BASE_PRODUTOS!$A$2:$A$1006,$G268))</f>
        <v/>
      </c>
      <c r="K268" s="9" t="str">
        <f ca="1">IF($G268="","",INDEX(BASE_PRODUTOS!$C$2:$C$1006,$G268))</f>
        <v/>
      </c>
      <c r="L268" s="9" t="str">
        <f ca="1">IF($G268="","",INDEX(BASE_PRODUTOS!$E$2:$E$1006,$G268))</f>
        <v/>
      </c>
      <c r="M268" s="9" t="str">
        <f ca="1">IF($G268="","",INDEX(BASE_PRODUTOS!$F$2:$F$1006,$G268))</f>
        <v/>
      </c>
      <c r="N268" s="9" t="str">
        <f ca="1">IF($G268="","",INDEX(BASE_PRODUTOS!$G$2:$G$1006,$G268))</f>
        <v/>
      </c>
      <c r="O268" s="9" t="str">
        <f ca="1">IF($G268="","",INDEX(BASE_PRODUTOS!$H$2:$H$1006,$G268))</f>
        <v/>
      </c>
      <c r="P268" s="9" t="str">
        <f ca="1">IF($G268="","",INDEX(BASE_PRODUTOS!$I$2:$I$1006,$G268))</f>
        <v/>
      </c>
      <c r="Q268" s="9" t="str">
        <f ca="1">IF($G268="","",INDEX(BASE_PRODUTOS!$J$2:$J$1006,$G268))</f>
        <v/>
      </c>
      <c r="R268" s="9" t="str">
        <f ca="1">IF($G268="","",INDEX(BASE_PRODUTOS!$M$2:$M$1006,$G268))</f>
        <v/>
      </c>
      <c r="S268" s="9" t="str">
        <f ca="1">IF($G268="","",INDEX(BASE_PRODUTOS!$N$2:$N$1006,$G268))</f>
        <v/>
      </c>
      <c r="T268" s="9" t="str">
        <f ca="1">IF($G268="","",INDEX(BASE_PRODUTOS!$D$2:$D$1006,$G268))</f>
        <v/>
      </c>
    </row>
    <row r="269" spans="7:20" ht="18" customHeight="1" x14ac:dyDescent="0.35">
      <c r="G269" t="str">
        <f ca="1">IFERROR(_xludf.aggregate(15,6,(ROW(BASE_PRODUTOS!$L$2:$L$1006)-ROW(BASE_PRODUTOS!$L$2)+1)/(BASE_PRODUTOS!$L$2:$L$1006&gt;0),ROWS($G$10:G269)),"")</f>
        <v/>
      </c>
      <c r="H269" s="9" t="str">
        <f ca="1">IF($G269="","",INDEX(BASE_PRODUTOS!$B$2:$B$1006,$G269))</f>
        <v/>
      </c>
      <c r="I269" s="9" t="str">
        <f ca="1">IF($G269="","",INDEX(BASE_PRODUTOS!$L$2:$L$1006,$G269))</f>
        <v/>
      </c>
      <c r="J269" s="9" t="str">
        <f ca="1">IF($G269="","",INDEX(BASE_PRODUTOS!$A$2:$A$1006,$G269))</f>
        <v/>
      </c>
      <c r="K269" s="9" t="str">
        <f ca="1">IF($G269="","",INDEX(BASE_PRODUTOS!$C$2:$C$1006,$G269))</f>
        <v/>
      </c>
      <c r="L269" s="9" t="str">
        <f ca="1">IF($G269="","",INDEX(BASE_PRODUTOS!$E$2:$E$1006,$G269))</f>
        <v/>
      </c>
      <c r="M269" s="9" t="str">
        <f ca="1">IF($G269="","",INDEX(BASE_PRODUTOS!$F$2:$F$1006,$G269))</f>
        <v/>
      </c>
      <c r="N269" s="9" t="str">
        <f ca="1">IF($G269="","",INDEX(BASE_PRODUTOS!$G$2:$G$1006,$G269))</f>
        <v/>
      </c>
      <c r="O269" s="9" t="str">
        <f ca="1">IF($G269="","",INDEX(BASE_PRODUTOS!$H$2:$H$1006,$G269))</f>
        <v/>
      </c>
      <c r="P269" s="9" t="str">
        <f ca="1">IF($G269="","",INDEX(BASE_PRODUTOS!$I$2:$I$1006,$G269))</f>
        <v/>
      </c>
      <c r="Q269" s="9" t="str">
        <f ca="1">IF($G269="","",INDEX(BASE_PRODUTOS!$J$2:$J$1006,$G269))</f>
        <v/>
      </c>
      <c r="R269" s="9" t="str">
        <f ca="1">IF($G269="","",INDEX(BASE_PRODUTOS!$M$2:$M$1006,$G269))</f>
        <v/>
      </c>
      <c r="S269" s="9" t="str">
        <f ca="1">IF($G269="","",INDEX(BASE_PRODUTOS!$N$2:$N$1006,$G269))</f>
        <v/>
      </c>
      <c r="T269" s="9" t="str">
        <f ca="1">IF($G269="","",INDEX(BASE_PRODUTOS!$D$2:$D$1006,$G269))</f>
        <v/>
      </c>
    </row>
    <row r="270" spans="7:20" ht="18" customHeight="1" x14ac:dyDescent="0.35">
      <c r="G270" t="str">
        <f ca="1">IFERROR(_xludf.aggregate(15,6,(ROW(BASE_PRODUTOS!$L$2:$L$1006)-ROW(BASE_PRODUTOS!$L$2)+1)/(BASE_PRODUTOS!$L$2:$L$1006&gt;0),ROWS($G$10:G270)),"")</f>
        <v/>
      </c>
      <c r="H270" s="9" t="str">
        <f ca="1">IF($G270="","",INDEX(BASE_PRODUTOS!$B$2:$B$1006,$G270))</f>
        <v/>
      </c>
      <c r="I270" s="9" t="str">
        <f ca="1">IF($G270="","",INDEX(BASE_PRODUTOS!$L$2:$L$1006,$G270))</f>
        <v/>
      </c>
      <c r="J270" s="9" t="str">
        <f ca="1">IF($G270="","",INDEX(BASE_PRODUTOS!$A$2:$A$1006,$G270))</f>
        <v/>
      </c>
      <c r="K270" s="9" t="str">
        <f ca="1">IF($G270="","",INDEX(BASE_PRODUTOS!$C$2:$C$1006,$G270))</f>
        <v/>
      </c>
      <c r="L270" s="9" t="str">
        <f ca="1">IF($G270="","",INDEX(BASE_PRODUTOS!$E$2:$E$1006,$G270))</f>
        <v/>
      </c>
      <c r="M270" s="9" t="str">
        <f ca="1">IF($G270="","",INDEX(BASE_PRODUTOS!$F$2:$F$1006,$G270))</f>
        <v/>
      </c>
      <c r="N270" s="9" t="str">
        <f ca="1">IF($G270="","",INDEX(BASE_PRODUTOS!$G$2:$G$1006,$G270))</f>
        <v/>
      </c>
      <c r="O270" s="9" t="str">
        <f ca="1">IF($G270="","",INDEX(BASE_PRODUTOS!$H$2:$H$1006,$G270))</f>
        <v/>
      </c>
      <c r="P270" s="9" t="str">
        <f ca="1">IF($G270="","",INDEX(BASE_PRODUTOS!$I$2:$I$1006,$G270))</f>
        <v/>
      </c>
      <c r="Q270" s="9" t="str">
        <f ca="1">IF($G270="","",INDEX(BASE_PRODUTOS!$J$2:$J$1006,$G270))</f>
        <v/>
      </c>
      <c r="R270" s="9" t="str">
        <f ca="1">IF($G270="","",INDEX(BASE_PRODUTOS!$M$2:$M$1006,$G270))</f>
        <v/>
      </c>
      <c r="S270" s="9" t="str">
        <f ca="1">IF($G270="","",INDEX(BASE_PRODUTOS!$N$2:$N$1006,$G270))</f>
        <v/>
      </c>
      <c r="T270" s="9" t="str">
        <f ca="1">IF($G270="","",INDEX(BASE_PRODUTOS!$D$2:$D$1006,$G270))</f>
        <v/>
      </c>
    </row>
    <row r="271" spans="7:20" ht="18" customHeight="1" x14ac:dyDescent="0.35">
      <c r="G271" t="str">
        <f ca="1">IFERROR(_xludf.aggregate(15,6,(ROW(BASE_PRODUTOS!$L$2:$L$1006)-ROW(BASE_PRODUTOS!$L$2)+1)/(BASE_PRODUTOS!$L$2:$L$1006&gt;0),ROWS($G$10:G271)),"")</f>
        <v/>
      </c>
      <c r="H271" s="9" t="str">
        <f ca="1">IF($G271="","",INDEX(BASE_PRODUTOS!$B$2:$B$1006,$G271))</f>
        <v/>
      </c>
      <c r="I271" s="9" t="str">
        <f ca="1">IF($G271="","",INDEX(BASE_PRODUTOS!$L$2:$L$1006,$G271))</f>
        <v/>
      </c>
      <c r="J271" s="9" t="str">
        <f ca="1">IF($G271="","",INDEX(BASE_PRODUTOS!$A$2:$A$1006,$G271))</f>
        <v/>
      </c>
      <c r="K271" s="9" t="str">
        <f ca="1">IF($G271="","",INDEX(BASE_PRODUTOS!$C$2:$C$1006,$G271))</f>
        <v/>
      </c>
      <c r="L271" s="9" t="str">
        <f ca="1">IF($G271="","",INDEX(BASE_PRODUTOS!$E$2:$E$1006,$G271))</f>
        <v/>
      </c>
      <c r="M271" s="9" t="str">
        <f ca="1">IF($G271="","",INDEX(BASE_PRODUTOS!$F$2:$F$1006,$G271))</f>
        <v/>
      </c>
      <c r="N271" s="9" t="str">
        <f ca="1">IF($G271="","",INDEX(BASE_PRODUTOS!$G$2:$G$1006,$G271))</f>
        <v/>
      </c>
      <c r="O271" s="9" t="str">
        <f ca="1">IF($G271="","",INDEX(BASE_PRODUTOS!$H$2:$H$1006,$G271))</f>
        <v/>
      </c>
      <c r="P271" s="9" t="str">
        <f ca="1">IF($G271="","",INDEX(BASE_PRODUTOS!$I$2:$I$1006,$G271))</f>
        <v/>
      </c>
      <c r="Q271" s="9" t="str">
        <f ca="1">IF($G271="","",INDEX(BASE_PRODUTOS!$J$2:$J$1006,$G271))</f>
        <v/>
      </c>
      <c r="R271" s="9" t="str">
        <f ca="1">IF($G271="","",INDEX(BASE_PRODUTOS!$M$2:$M$1006,$G271))</f>
        <v/>
      </c>
      <c r="S271" s="9" t="str">
        <f ca="1">IF($G271="","",INDEX(BASE_PRODUTOS!$N$2:$N$1006,$G271))</f>
        <v/>
      </c>
      <c r="T271" s="9" t="str">
        <f ca="1">IF($G271="","",INDEX(BASE_PRODUTOS!$D$2:$D$1006,$G271))</f>
        <v/>
      </c>
    </row>
    <row r="272" spans="7:20" ht="18" customHeight="1" x14ac:dyDescent="0.35">
      <c r="G272" t="str">
        <f ca="1">IFERROR(_xludf.aggregate(15,6,(ROW(BASE_PRODUTOS!$L$2:$L$1006)-ROW(BASE_PRODUTOS!$L$2)+1)/(BASE_PRODUTOS!$L$2:$L$1006&gt;0),ROWS($G$10:G272)),"")</f>
        <v/>
      </c>
      <c r="H272" s="9" t="str">
        <f ca="1">IF($G272="","",INDEX(BASE_PRODUTOS!$B$2:$B$1006,$G272))</f>
        <v/>
      </c>
      <c r="I272" s="9" t="str">
        <f ca="1">IF($G272="","",INDEX(BASE_PRODUTOS!$L$2:$L$1006,$G272))</f>
        <v/>
      </c>
      <c r="J272" s="9" t="str">
        <f ca="1">IF($G272="","",INDEX(BASE_PRODUTOS!$A$2:$A$1006,$G272))</f>
        <v/>
      </c>
      <c r="K272" s="9" t="str">
        <f ca="1">IF($G272="","",INDEX(BASE_PRODUTOS!$C$2:$C$1006,$G272))</f>
        <v/>
      </c>
      <c r="L272" s="9" t="str">
        <f ca="1">IF($G272="","",INDEX(BASE_PRODUTOS!$E$2:$E$1006,$G272))</f>
        <v/>
      </c>
      <c r="M272" s="9" t="str">
        <f ca="1">IF($G272="","",INDEX(BASE_PRODUTOS!$F$2:$F$1006,$G272))</f>
        <v/>
      </c>
      <c r="N272" s="9" t="str">
        <f ca="1">IF($G272="","",INDEX(BASE_PRODUTOS!$G$2:$G$1006,$G272))</f>
        <v/>
      </c>
      <c r="O272" s="9" t="str">
        <f ca="1">IF($G272="","",INDEX(BASE_PRODUTOS!$H$2:$H$1006,$G272))</f>
        <v/>
      </c>
      <c r="P272" s="9" t="str">
        <f ca="1">IF($G272="","",INDEX(BASE_PRODUTOS!$I$2:$I$1006,$G272))</f>
        <v/>
      </c>
      <c r="Q272" s="9" t="str">
        <f ca="1">IF($G272="","",INDEX(BASE_PRODUTOS!$J$2:$J$1006,$G272))</f>
        <v/>
      </c>
      <c r="R272" s="9" t="str">
        <f ca="1">IF($G272="","",INDEX(BASE_PRODUTOS!$M$2:$M$1006,$G272))</f>
        <v/>
      </c>
      <c r="S272" s="9" t="str">
        <f ca="1">IF($G272="","",INDEX(BASE_PRODUTOS!$N$2:$N$1006,$G272))</f>
        <v/>
      </c>
      <c r="T272" s="9" t="str">
        <f ca="1">IF($G272="","",INDEX(BASE_PRODUTOS!$D$2:$D$1006,$G272))</f>
        <v/>
      </c>
    </row>
    <row r="273" spans="7:20" ht="18" customHeight="1" x14ac:dyDescent="0.35">
      <c r="G273" t="str">
        <f ca="1">IFERROR(_xludf.aggregate(15,6,(ROW(BASE_PRODUTOS!$L$2:$L$1006)-ROW(BASE_PRODUTOS!$L$2)+1)/(BASE_PRODUTOS!$L$2:$L$1006&gt;0),ROWS($G$10:G273)),"")</f>
        <v/>
      </c>
      <c r="H273" s="9" t="str">
        <f ca="1">IF($G273="","",INDEX(BASE_PRODUTOS!$B$2:$B$1006,$G273))</f>
        <v/>
      </c>
      <c r="I273" s="9" t="str">
        <f ca="1">IF($G273="","",INDEX(BASE_PRODUTOS!$L$2:$L$1006,$G273))</f>
        <v/>
      </c>
      <c r="J273" s="9" t="str">
        <f ca="1">IF($G273="","",INDEX(BASE_PRODUTOS!$A$2:$A$1006,$G273))</f>
        <v/>
      </c>
      <c r="K273" s="9" t="str">
        <f ca="1">IF($G273="","",INDEX(BASE_PRODUTOS!$C$2:$C$1006,$G273))</f>
        <v/>
      </c>
      <c r="L273" s="9" t="str">
        <f ca="1">IF($G273="","",INDEX(BASE_PRODUTOS!$E$2:$E$1006,$G273))</f>
        <v/>
      </c>
      <c r="M273" s="9" t="str">
        <f ca="1">IF($G273="","",INDEX(BASE_PRODUTOS!$F$2:$F$1006,$G273))</f>
        <v/>
      </c>
      <c r="N273" s="9" t="str">
        <f ca="1">IF($G273="","",INDEX(BASE_PRODUTOS!$G$2:$G$1006,$G273))</f>
        <v/>
      </c>
      <c r="O273" s="9" t="str">
        <f ca="1">IF($G273="","",INDEX(BASE_PRODUTOS!$H$2:$H$1006,$G273))</f>
        <v/>
      </c>
      <c r="P273" s="9" t="str">
        <f ca="1">IF($G273="","",INDEX(BASE_PRODUTOS!$I$2:$I$1006,$G273))</f>
        <v/>
      </c>
      <c r="Q273" s="9" t="str">
        <f ca="1">IF($G273="","",INDEX(BASE_PRODUTOS!$J$2:$J$1006,$G273))</f>
        <v/>
      </c>
      <c r="R273" s="9" t="str">
        <f ca="1">IF($G273="","",INDEX(BASE_PRODUTOS!$M$2:$M$1006,$G273))</f>
        <v/>
      </c>
      <c r="S273" s="9" t="str">
        <f ca="1">IF($G273="","",INDEX(BASE_PRODUTOS!$N$2:$N$1006,$G273))</f>
        <v/>
      </c>
      <c r="T273" s="9" t="str">
        <f ca="1">IF($G273="","",INDEX(BASE_PRODUTOS!$D$2:$D$1006,$G273))</f>
        <v/>
      </c>
    </row>
    <row r="274" spans="7:20" ht="18" customHeight="1" x14ac:dyDescent="0.35">
      <c r="G274" t="str">
        <f ca="1">IFERROR(_xludf.aggregate(15,6,(ROW(BASE_PRODUTOS!$L$2:$L$1006)-ROW(BASE_PRODUTOS!$L$2)+1)/(BASE_PRODUTOS!$L$2:$L$1006&gt;0),ROWS($G$10:G274)),"")</f>
        <v/>
      </c>
      <c r="H274" s="9" t="str">
        <f ca="1">IF($G274="","",INDEX(BASE_PRODUTOS!$B$2:$B$1006,$G274))</f>
        <v/>
      </c>
      <c r="I274" s="9" t="str">
        <f ca="1">IF($G274="","",INDEX(BASE_PRODUTOS!$L$2:$L$1006,$G274))</f>
        <v/>
      </c>
      <c r="J274" s="9" t="str">
        <f ca="1">IF($G274="","",INDEX(BASE_PRODUTOS!$A$2:$A$1006,$G274))</f>
        <v/>
      </c>
      <c r="K274" s="9" t="str">
        <f ca="1">IF($G274="","",INDEX(BASE_PRODUTOS!$C$2:$C$1006,$G274))</f>
        <v/>
      </c>
      <c r="L274" s="9" t="str">
        <f ca="1">IF($G274="","",INDEX(BASE_PRODUTOS!$E$2:$E$1006,$G274))</f>
        <v/>
      </c>
      <c r="M274" s="9" t="str">
        <f ca="1">IF($G274="","",INDEX(BASE_PRODUTOS!$F$2:$F$1006,$G274))</f>
        <v/>
      </c>
      <c r="N274" s="9" t="str">
        <f ca="1">IF($G274="","",INDEX(BASE_PRODUTOS!$G$2:$G$1006,$G274))</f>
        <v/>
      </c>
      <c r="O274" s="9" t="str">
        <f ca="1">IF($G274="","",INDEX(BASE_PRODUTOS!$H$2:$H$1006,$G274))</f>
        <v/>
      </c>
      <c r="P274" s="9" t="str">
        <f ca="1">IF($G274="","",INDEX(BASE_PRODUTOS!$I$2:$I$1006,$G274))</f>
        <v/>
      </c>
      <c r="Q274" s="9" t="str">
        <f ca="1">IF($G274="","",INDEX(BASE_PRODUTOS!$J$2:$J$1006,$G274))</f>
        <v/>
      </c>
      <c r="R274" s="9" t="str">
        <f ca="1">IF($G274="","",INDEX(BASE_PRODUTOS!$M$2:$M$1006,$G274))</f>
        <v/>
      </c>
      <c r="S274" s="9" t="str">
        <f ca="1">IF($G274="","",INDEX(BASE_PRODUTOS!$N$2:$N$1006,$G274))</f>
        <v/>
      </c>
      <c r="T274" s="9" t="str">
        <f ca="1">IF($G274="","",INDEX(BASE_PRODUTOS!$D$2:$D$1006,$G274))</f>
        <v/>
      </c>
    </row>
    <row r="275" spans="7:20" ht="18" customHeight="1" x14ac:dyDescent="0.35">
      <c r="G275" t="str">
        <f ca="1">IFERROR(_xludf.aggregate(15,6,(ROW(BASE_PRODUTOS!$L$2:$L$1006)-ROW(BASE_PRODUTOS!$L$2)+1)/(BASE_PRODUTOS!$L$2:$L$1006&gt;0),ROWS($G$10:G275)),"")</f>
        <v/>
      </c>
      <c r="H275" s="9" t="str">
        <f ca="1">IF($G275="","",INDEX(BASE_PRODUTOS!$B$2:$B$1006,$G275))</f>
        <v/>
      </c>
      <c r="I275" s="9" t="str">
        <f ca="1">IF($G275="","",INDEX(BASE_PRODUTOS!$L$2:$L$1006,$G275))</f>
        <v/>
      </c>
      <c r="J275" s="9" t="str">
        <f ca="1">IF($G275="","",INDEX(BASE_PRODUTOS!$A$2:$A$1006,$G275))</f>
        <v/>
      </c>
      <c r="K275" s="9" t="str">
        <f ca="1">IF($G275="","",INDEX(BASE_PRODUTOS!$C$2:$C$1006,$G275))</f>
        <v/>
      </c>
      <c r="L275" s="9" t="str">
        <f ca="1">IF($G275="","",INDEX(BASE_PRODUTOS!$E$2:$E$1006,$G275))</f>
        <v/>
      </c>
      <c r="M275" s="9" t="str">
        <f ca="1">IF($G275="","",INDEX(BASE_PRODUTOS!$F$2:$F$1006,$G275))</f>
        <v/>
      </c>
      <c r="N275" s="9" t="str">
        <f ca="1">IF($G275="","",INDEX(BASE_PRODUTOS!$G$2:$G$1006,$G275))</f>
        <v/>
      </c>
      <c r="O275" s="9" t="str">
        <f ca="1">IF($G275="","",INDEX(BASE_PRODUTOS!$H$2:$H$1006,$G275))</f>
        <v/>
      </c>
      <c r="P275" s="9" t="str">
        <f ca="1">IF($G275="","",INDEX(BASE_PRODUTOS!$I$2:$I$1006,$G275))</f>
        <v/>
      </c>
      <c r="Q275" s="9" t="str">
        <f ca="1">IF($G275="","",INDEX(BASE_PRODUTOS!$J$2:$J$1006,$G275))</f>
        <v/>
      </c>
      <c r="R275" s="9" t="str">
        <f ca="1">IF($G275="","",INDEX(BASE_PRODUTOS!$M$2:$M$1006,$G275))</f>
        <v/>
      </c>
      <c r="S275" s="9" t="str">
        <f ca="1">IF($G275="","",INDEX(BASE_PRODUTOS!$N$2:$N$1006,$G275))</f>
        <v/>
      </c>
      <c r="T275" s="9" t="str">
        <f ca="1">IF($G275="","",INDEX(BASE_PRODUTOS!$D$2:$D$1006,$G275))</f>
        <v/>
      </c>
    </row>
    <row r="276" spans="7:20" ht="18" customHeight="1" x14ac:dyDescent="0.35">
      <c r="G276" t="str">
        <f ca="1">IFERROR(_xludf.aggregate(15,6,(ROW(BASE_PRODUTOS!$L$2:$L$1006)-ROW(BASE_PRODUTOS!$L$2)+1)/(BASE_PRODUTOS!$L$2:$L$1006&gt;0),ROWS($G$10:G276)),"")</f>
        <v/>
      </c>
      <c r="H276" s="9" t="str">
        <f ca="1">IF($G276="","",INDEX(BASE_PRODUTOS!$B$2:$B$1006,$G276))</f>
        <v/>
      </c>
      <c r="I276" s="9" t="str">
        <f ca="1">IF($G276="","",INDEX(BASE_PRODUTOS!$L$2:$L$1006,$G276))</f>
        <v/>
      </c>
      <c r="J276" s="9" t="str">
        <f ca="1">IF($G276="","",INDEX(BASE_PRODUTOS!$A$2:$A$1006,$G276))</f>
        <v/>
      </c>
      <c r="K276" s="9" t="str">
        <f ca="1">IF($G276="","",INDEX(BASE_PRODUTOS!$C$2:$C$1006,$G276))</f>
        <v/>
      </c>
      <c r="L276" s="9" t="str">
        <f ca="1">IF($G276="","",INDEX(BASE_PRODUTOS!$E$2:$E$1006,$G276))</f>
        <v/>
      </c>
      <c r="M276" s="9" t="str">
        <f ca="1">IF($G276="","",INDEX(BASE_PRODUTOS!$F$2:$F$1006,$G276))</f>
        <v/>
      </c>
      <c r="N276" s="9" t="str">
        <f ca="1">IF($G276="","",INDEX(BASE_PRODUTOS!$G$2:$G$1006,$G276))</f>
        <v/>
      </c>
      <c r="O276" s="9" t="str">
        <f ca="1">IF($G276="","",INDEX(BASE_PRODUTOS!$H$2:$H$1006,$G276))</f>
        <v/>
      </c>
      <c r="P276" s="9" t="str">
        <f ca="1">IF($G276="","",INDEX(BASE_PRODUTOS!$I$2:$I$1006,$G276))</f>
        <v/>
      </c>
      <c r="Q276" s="9" t="str">
        <f ca="1">IF($G276="","",INDEX(BASE_PRODUTOS!$J$2:$J$1006,$G276))</f>
        <v/>
      </c>
      <c r="R276" s="9" t="str">
        <f ca="1">IF($G276="","",INDEX(BASE_PRODUTOS!$M$2:$M$1006,$G276))</f>
        <v/>
      </c>
      <c r="S276" s="9" t="str">
        <f ca="1">IF($G276="","",INDEX(BASE_PRODUTOS!$N$2:$N$1006,$G276))</f>
        <v/>
      </c>
      <c r="T276" s="9" t="str">
        <f ca="1">IF($G276="","",INDEX(BASE_PRODUTOS!$D$2:$D$1006,$G276))</f>
        <v/>
      </c>
    </row>
    <row r="277" spans="7:20" ht="18" customHeight="1" x14ac:dyDescent="0.35">
      <c r="G277" t="str">
        <f ca="1">IFERROR(_xludf.aggregate(15,6,(ROW(BASE_PRODUTOS!$L$2:$L$1006)-ROW(BASE_PRODUTOS!$L$2)+1)/(BASE_PRODUTOS!$L$2:$L$1006&gt;0),ROWS($G$10:G277)),"")</f>
        <v/>
      </c>
      <c r="H277" s="9" t="str">
        <f ca="1">IF($G277="","",INDEX(BASE_PRODUTOS!$B$2:$B$1006,$G277))</f>
        <v/>
      </c>
      <c r="I277" s="9" t="str">
        <f ca="1">IF($G277="","",INDEX(BASE_PRODUTOS!$L$2:$L$1006,$G277))</f>
        <v/>
      </c>
      <c r="J277" s="9" t="str">
        <f ca="1">IF($G277="","",INDEX(BASE_PRODUTOS!$A$2:$A$1006,$G277))</f>
        <v/>
      </c>
      <c r="K277" s="9" t="str">
        <f ca="1">IF($G277="","",INDEX(BASE_PRODUTOS!$C$2:$C$1006,$G277))</f>
        <v/>
      </c>
      <c r="L277" s="9" t="str">
        <f ca="1">IF($G277="","",INDEX(BASE_PRODUTOS!$E$2:$E$1006,$G277))</f>
        <v/>
      </c>
      <c r="M277" s="9" t="str">
        <f ca="1">IF($G277="","",INDEX(BASE_PRODUTOS!$F$2:$F$1006,$G277))</f>
        <v/>
      </c>
      <c r="N277" s="9" t="str">
        <f ca="1">IF($G277="","",INDEX(BASE_PRODUTOS!$G$2:$G$1006,$G277))</f>
        <v/>
      </c>
      <c r="O277" s="9" t="str">
        <f ca="1">IF($G277="","",INDEX(BASE_PRODUTOS!$H$2:$H$1006,$G277))</f>
        <v/>
      </c>
      <c r="P277" s="9" t="str">
        <f ca="1">IF($G277="","",INDEX(BASE_PRODUTOS!$I$2:$I$1006,$G277))</f>
        <v/>
      </c>
      <c r="Q277" s="9" t="str">
        <f ca="1">IF($G277="","",INDEX(BASE_PRODUTOS!$J$2:$J$1006,$G277))</f>
        <v/>
      </c>
      <c r="R277" s="9" t="str">
        <f ca="1">IF($G277="","",INDEX(BASE_PRODUTOS!$M$2:$M$1006,$G277))</f>
        <v/>
      </c>
      <c r="S277" s="9" t="str">
        <f ca="1">IF($G277="","",INDEX(BASE_PRODUTOS!$N$2:$N$1006,$G277))</f>
        <v/>
      </c>
      <c r="T277" s="9" t="str">
        <f ca="1">IF($G277="","",INDEX(BASE_PRODUTOS!$D$2:$D$1006,$G277))</f>
        <v/>
      </c>
    </row>
    <row r="278" spans="7:20" ht="18" customHeight="1" x14ac:dyDescent="0.35">
      <c r="G278" t="str">
        <f ca="1">IFERROR(_xludf.aggregate(15,6,(ROW(BASE_PRODUTOS!$L$2:$L$1006)-ROW(BASE_PRODUTOS!$L$2)+1)/(BASE_PRODUTOS!$L$2:$L$1006&gt;0),ROWS($G$10:G278)),"")</f>
        <v/>
      </c>
      <c r="H278" s="9" t="str">
        <f ca="1">IF($G278="","",INDEX(BASE_PRODUTOS!$B$2:$B$1006,$G278))</f>
        <v/>
      </c>
      <c r="I278" s="9" t="str">
        <f ca="1">IF($G278="","",INDEX(BASE_PRODUTOS!$L$2:$L$1006,$G278))</f>
        <v/>
      </c>
      <c r="J278" s="9" t="str">
        <f ca="1">IF($G278="","",INDEX(BASE_PRODUTOS!$A$2:$A$1006,$G278))</f>
        <v/>
      </c>
      <c r="K278" s="9" t="str">
        <f ca="1">IF($G278="","",INDEX(BASE_PRODUTOS!$C$2:$C$1006,$G278))</f>
        <v/>
      </c>
      <c r="L278" s="9" t="str">
        <f ca="1">IF($G278="","",INDEX(BASE_PRODUTOS!$E$2:$E$1006,$G278))</f>
        <v/>
      </c>
      <c r="M278" s="9" t="str">
        <f ca="1">IF($G278="","",INDEX(BASE_PRODUTOS!$F$2:$F$1006,$G278))</f>
        <v/>
      </c>
      <c r="N278" s="9" t="str">
        <f ca="1">IF($G278="","",INDEX(BASE_PRODUTOS!$G$2:$G$1006,$G278))</f>
        <v/>
      </c>
      <c r="O278" s="9" t="str">
        <f ca="1">IF($G278="","",INDEX(BASE_PRODUTOS!$H$2:$H$1006,$G278))</f>
        <v/>
      </c>
      <c r="P278" s="9" t="str">
        <f ca="1">IF($G278="","",INDEX(BASE_PRODUTOS!$I$2:$I$1006,$G278))</f>
        <v/>
      </c>
      <c r="Q278" s="9" t="str">
        <f ca="1">IF($G278="","",INDEX(BASE_PRODUTOS!$J$2:$J$1006,$G278))</f>
        <v/>
      </c>
      <c r="R278" s="9" t="str">
        <f ca="1">IF($G278="","",INDEX(BASE_PRODUTOS!$M$2:$M$1006,$G278))</f>
        <v/>
      </c>
      <c r="S278" s="9" t="str">
        <f ca="1">IF($G278="","",INDEX(BASE_PRODUTOS!$N$2:$N$1006,$G278))</f>
        <v/>
      </c>
      <c r="T278" s="9" t="str">
        <f ca="1">IF($G278="","",INDEX(BASE_PRODUTOS!$D$2:$D$1006,$G278))</f>
        <v/>
      </c>
    </row>
    <row r="279" spans="7:20" ht="18" customHeight="1" x14ac:dyDescent="0.35">
      <c r="G279" t="str">
        <f ca="1">IFERROR(_xludf.aggregate(15,6,(ROW(BASE_PRODUTOS!$L$2:$L$1006)-ROW(BASE_PRODUTOS!$L$2)+1)/(BASE_PRODUTOS!$L$2:$L$1006&gt;0),ROWS($G$10:G279)),"")</f>
        <v/>
      </c>
      <c r="H279" s="9" t="str">
        <f ca="1">IF($G279="","",INDEX(BASE_PRODUTOS!$B$2:$B$1006,$G279))</f>
        <v/>
      </c>
      <c r="I279" s="9" t="str">
        <f ca="1">IF($G279="","",INDEX(BASE_PRODUTOS!$L$2:$L$1006,$G279))</f>
        <v/>
      </c>
      <c r="J279" s="9" t="str">
        <f ca="1">IF($G279="","",INDEX(BASE_PRODUTOS!$A$2:$A$1006,$G279))</f>
        <v/>
      </c>
      <c r="K279" s="9" t="str">
        <f ca="1">IF($G279="","",INDEX(BASE_PRODUTOS!$C$2:$C$1006,$G279))</f>
        <v/>
      </c>
      <c r="L279" s="9" t="str">
        <f ca="1">IF($G279="","",INDEX(BASE_PRODUTOS!$E$2:$E$1006,$G279))</f>
        <v/>
      </c>
      <c r="M279" s="9" t="str">
        <f ca="1">IF($G279="","",INDEX(BASE_PRODUTOS!$F$2:$F$1006,$G279))</f>
        <v/>
      </c>
      <c r="N279" s="9" t="str">
        <f ca="1">IF($G279="","",INDEX(BASE_PRODUTOS!$G$2:$G$1006,$G279))</f>
        <v/>
      </c>
      <c r="O279" s="9" t="str">
        <f ca="1">IF($G279="","",INDEX(BASE_PRODUTOS!$H$2:$H$1006,$G279))</f>
        <v/>
      </c>
      <c r="P279" s="9" t="str">
        <f ca="1">IF($G279="","",INDEX(BASE_PRODUTOS!$I$2:$I$1006,$G279))</f>
        <v/>
      </c>
      <c r="Q279" s="9" t="str">
        <f ca="1">IF($G279="","",INDEX(BASE_PRODUTOS!$J$2:$J$1006,$G279))</f>
        <v/>
      </c>
      <c r="R279" s="9" t="str">
        <f ca="1">IF($G279="","",INDEX(BASE_PRODUTOS!$M$2:$M$1006,$G279))</f>
        <v/>
      </c>
      <c r="S279" s="9" t="str">
        <f ca="1">IF($G279="","",INDEX(BASE_PRODUTOS!$N$2:$N$1006,$G279))</f>
        <v/>
      </c>
      <c r="T279" s="9" t="str">
        <f ca="1">IF($G279="","",INDEX(BASE_PRODUTOS!$D$2:$D$1006,$G279))</f>
        <v/>
      </c>
    </row>
    <row r="280" spans="7:20" ht="18" customHeight="1" x14ac:dyDescent="0.35">
      <c r="G280" t="str">
        <f ca="1">IFERROR(_xludf.aggregate(15,6,(ROW(BASE_PRODUTOS!$L$2:$L$1006)-ROW(BASE_PRODUTOS!$L$2)+1)/(BASE_PRODUTOS!$L$2:$L$1006&gt;0),ROWS($G$10:G280)),"")</f>
        <v/>
      </c>
      <c r="H280" s="9" t="str">
        <f ca="1">IF($G280="","",INDEX(BASE_PRODUTOS!$B$2:$B$1006,$G280))</f>
        <v/>
      </c>
      <c r="I280" s="9" t="str">
        <f ca="1">IF($G280="","",INDEX(BASE_PRODUTOS!$L$2:$L$1006,$G280))</f>
        <v/>
      </c>
      <c r="J280" s="9" t="str">
        <f ca="1">IF($G280="","",INDEX(BASE_PRODUTOS!$A$2:$A$1006,$G280))</f>
        <v/>
      </c>
      <c r="K280" s="9" t="str">
        <f ca="1">IF($G280="","",INDEX(BASE_PRODUTOS!$C$2:$C$1006,$G280))</f>
        <v/>
      </c>
      <c r="L280" s="9" t="str">
        <f ca="1">IF($G280="","",INDEX(BASE_PRODUTOS!$E$2:$E$1006,$G280))</f>
        <v/>
      </c>
      <c r="M280" s="9" t="str">
        <f ca="1">IF($G280="","",INDEX(BASE_PRODUTOS!$F$2:$F$1006,$G280))</f>
        <v/>
      </c>
      <c r="N280" s="9" t="str">
        <f ca="1">IF($G280="","",INDEX(BASE_PRODUTOS!$G$2:$G$1006,$G280))</f>
        <v/>
      </c>
      <c r="O280" s="9" t="str">
        <f ca="1">IF($G280="","",INDEX(BASE_PRODUTOS!$H$2:$H$1006,$G280))</f>
        <v/>
      </c>
      <c r="P280" s="9" t="str">
        <f ca="1">IF($G280="","",INDEX(BASE_PRODUTOS!$I$2:$I$1006,$G280))</f>
        <v/>
      </c>
      <c r="Q280" s="9" t="str">
        <f ca="1">IF($G280="","",INDEX(BASE_PRODUTOS!$J$2:$J$1006,$G280))</f>
        <v/>
      </c>
      <c r="R280" s="9" t="str">
        <f ca="1">IF($G280="","",INDEX(BASE_PRODUTOS!$M$2:$M$1006,$G280))</f>
        <v/>
      </c>
      <c r="S280" s="9" t="str">
        <f ca="1">IF($G280="","",INDEX(BASE_PRODUTOS!$N$2:$N$1006,$G280))</f>
        <v/>
      </c>
      <c r="T280" s="9" t="str">
        <f ca="1">IF($G280="","",INDEX(BASE_PRODUTOS!$D$2:$D$1006,$G280))</f>
        <v/>
      </c>
    </row>
    <row r="281" spans="7:20" ht="18" customHeight="1" x14ac:dyDescent="0.35">
      <c r="G281" t="str">
        <f ca="1">IFERROR(_xludf.aggregate(15,6,(ROW(BASE_PRODUTOS!$L$2:$L$1006)-ROW(BASE_PRODUTOS!$L$2)+1)/(BASE_PRODUTOS!$L$2:$L$1006&gt;0),ROWS($G$10:G281)),"")</f>
        <v/>
      </c>
      <c r="H281" s="9" t="str">
        <f ca="1">IF($G281="","",INDEX(BASE_PRODUTOS!$B$2:$B$1006,$G281))</f>
        <v/>
      </c>
      <c r="I281" s="9" t="str">
        <f ca="1">IF($G281="","",INDEX(BASE_PRODUTOS!$L$2:$L$1006,$G281))</f>
        <v/>
      </c>
      <c r="J281" s="9" t="str">
        <f ca="1">IF($G281="","",INDEX(BASE_PRODUTOS!$A$2:$A$1006,$G281))</f>
        <v/>
      </c>
      <c r="K281" s="9" t="str">
        <f ca="1">IF($G281="","",INDEX(BASE_PRODUTOS!$C$2:$C$1006,$G281))</f>
        <v/>
      </c>
      <c r="L281" s="9" t="str">
        <f ca="1">IF($G281="","",INDEX(BASE_PRODUTOS!$E$2:$E$1006,$G281))</f>
        <v/>
      </c>
      <c r="M281" s="9" t="str">
        <f ca="1">IF($G281="","",INDEX(BASE_PRODUTOS!$F$2:$F$1006,$G281))</f>
        <v/>
      </c>
      <c r="N281" s="9" t="str">
        <f ca="1">IF($G281="","",INDEX(BASE_PRODUTOS!$G$2:$G$1006,$G281))</f>
        <v/>
      </c>
      <c r="O281" s="9" t="str">
        <f ca="1">IF($G281="","",INDEX(BASE_PRODUTOS!$H$2:$H$1006,$G281))</f>
        <v/>
      </c>
      <c r="P281" s="9" t="str">
        <f ca="1">IF($G281="","",INDEX(BASE_PRODUTOS!$I$2:$I$1006,$G281))</f>
        <v/>
      </c>
      <c r="Q281" s="9" t="str">
        <f ca="1">IF($G281="","",INDEX(BASE_PRODUTOS!$J$2:$J$1006,$G281))</f>
        <v/>
      </c>
      <c r="R281" s="9" t="str">
        <f ca="1">IF($G281="","",INDEX(BASE_PRODUTOS!$M$2:$M$1006,$G281))</f>
        <v/>
      </c>
      <c r="S281" s="9" t="str">
        <f ca="1">IF($G281="","",INDEX(BASE_PRODUTOS!$N$2:$N$1006,$G281))</f>
        <v/>
      </c>
      <c r="T281" s="9" t="str">
        <f ca="1">IF($G281="","",INDEX(BASE_PRODUTOS!$D$2:$D$1006,$G281))</f>
        <v/>
      </c>
    </row>
    <row r="282" spans="7:20" ht="18" customHeight="1" x14ac:dyDescent="0.35">
      <c r="G282" t="str">
        <f ca="1">IFERROR(_xludf.aggregate(15,6,(ROW(BASE_PRODUTOS!$L$2:$L$1006)-ROW(BASE_PRODUTOS!$L$2)+1)/(BASE_PRODUTOS!$L$2:$L$1006&gt;0),ROWS($G$10:G282)),"")</f>
        <v/>
      </c>
      <c r="H282" s="9" t="str">
        <f ca="1">IF($G282="","",INDEX(BASE_PRODUTOS!$B$2:$B$1006,$G282))</f>
        <v/>
      </c>
      <c r="I282" s="9" t="str">
        <f ca="1">IF($G282="","",INDEX(BASE_PRODUTOS!$L$2:$L$1006,$G282))</f>
        <v/>
      </c>
      <c r="J282" s="9" t="str">
        <f ca="1">IF($G282="","",INDEX(BASE_PRODUTOS!$A$2:$A$1006,$G282))</f>
        <v/>
      </c>
      <c r="K282" s="9" t="str">
        <f ca="1">IF($G282="","",INDEX(BASE_PRODUTOS!$C$2:$C$1006,$G282))</f>
        <v/>
      </c>
      <c r="L282" s="9" t="str">
        <f ca="1">IF($G282="","",INDEX(BASE_PRODUTOS!$E$2:$E$1006,$G282))</f>
        <v/>
      </c>
      <c r="M282" s="9" t="str">
        <f ca="1">IF($G282="","",INDEX(BASE_PRODUTOS!$F$2:$F$1006,$G282))</f>
        <v/>
      </c>
      <c r="N282" s="9" t="str">
        <f ca="1">IF($G282="","",INDEX(BASE_PRODUTOS!$G$2:$G$1006,$G282))</f>
        <v/>
      </c>
      <c r="O282" s="9" t="str">
        <f ca="1">IF($G282="","",INDEX(BASE_PRODUTOS!$H$2:$H$1006,$G282))</f>
        <v/>
      </c>
      <c r="P282" s="9" t="str">
        <f ca="1">IF($G282="","",INDEX(BASE_PRODUTOS!$I$2:$I$1006,$G282))</f>
        <v/>
      </c>
      <c r="Q282" s="9" t="str">
        <f ca="1">IF($G282="","",INDEX(BASE_PRODUTOS!$J$2:$J$1006,$G282))</f>
        <v/>
      </c>
      <c r="R282" s="9" t="str">
        <f ca="1">IF($G282="","",INDEX(BASE_PRODUTOS!$M$2:$M$1006,$G282))</f>
        <v/>
      </c>
      <c r="S282" s="9" t="str">
        <f ca="1">IF($G282="","",INDEX(BASE_PRODUTOS!$N$2:$N$1006,$G282))</f>
        <v/>
      </c>
      <c r="T282" s="9" t="str">
        <f ca="1">IF($G282="","",INDEX(BASE_PRODUTOS!$D$2:$D$1006,$G282))</f>
        <v/>
      </c>
    </row>
    <row r="283" spans="7:20" ht="18" customHeight="1" x14ac:dyDescent="0.35">
      <c r="G283" t="str">
        <f ca="1">IFERROR(_xludf.aggregate(15,6,(ROW(BASE_PRODUTOS!$L$2:$L$1006)-ROW(BASE_PRODUTOS!$L$2)+1)/(BASE_PRODUTOS!$L$2:$L$1006&gt;0),ROWS($G$10:G283)),"")</f>
        <v/>
      </c>
      <c r="H283" s="9" t="str">
        <f ca="1">IF($G283="","",INDEX(BASE_PRODUTOS!$B$2:$B$1006,$G283))</f>
        <v/>
      </c>
      <c r="I283" s="9" t="str">
        <f ca="1">IF($G283="","",INDEX(BASE_PRODUTOS!$L$2:$L$1006,$G283))</f>
        <v/>
      </c>
      <c r="J283" s="9" t="str">
        <f ca="1">IF($G283="","",INDEX(BASE_PRODUTOS!$A$2:$A$1006,$G283))</f>
        <v/>
      </c>
      <c r="K283" s="9" t="str">
        <f ca="1">IF($G283="","",INDEX(BASE_PRODUTOS!$C$2:$C$1006,$G283))</f>
        <v/>
      </c>
      <c r="L283" s="9" t="str">
        <f ca="1">IF($G283="","",INDEX(BASE_PRODUTOS!$E$2:$E$1006,$G283))</f>
        <v/>
      </c>
      <c r="M283" s="9" t="str">
        <f ca="1">IF($G283="","",INDEX(BASE_PRODUTOS!$F$2:$F$1006,$G283))</f>
        <v/>
      </c>
      <c r="N283" s="9" t="str">
        <f ca="1">IF($G283="","",INDEX(BASE_PRODUTOS!$G$2:$G$1006,$G283))</f>
        <v/>
      </c>
      <c r="O283" s="9" t="str">
        <f ca="1">IF($G283="","",INDEX(BASE_PRODUTOS!$H$2:$H$1006,$G283))</f>
        <v/>
      </c>
      <c r="P283" s="9" t="str">
        <f ca="1">IF($G283="","",INDEX(BASE_PRODUTOS!$I$2:$I$1006,$G283))</f>
        <v/>
      </c>
      <c r="Q283" s="9" t="str">
        <f ca="1">IF($G283="","",INDEX(BASE_PRODUTOS!$J$2:$J$1006,$G283))</f>
        <v/>
      </c>
      <c r="R283" s="9" t="str">
        <f ca="1">IF($G283="","",INDEX(BASE_PRODUTOS!$M$2:$M$1006,$G283))</f>
        <v/>
      </c>
      <c r="S283" s="9" t="str">
        <f ca="1">IF($G283="","",INDEX(BASE_PRODUTOS!$N$2:$N$1006,$G283))</f>
        <v/>
      </c>
      <c r="T283" s="9" t="str">
        <f ca="1">IF($G283="","",INDEX(BASE_PRODUTOS!$D$2:$D$1006,$G283))</f>
        <v/>
      </c>
    </row>
    <row r="284" spans="7:20" ht="18" customHeight="1" x14ac:dyDescent="0.35">
      <c r="G284" t="str">
        <f ca="1">IFERROR(_xludf.aggregate(15,6,(ROW(BASE_PRODUTOS!$L$2:$L$1006)-ROW(BASE_PRODUTOS!$L$2)+1)/(BASE_PRODUTOS!$L$2:$L$1006&gt;0),ROWS($G$10:G284)),"")</f>
        <v/>
      </c>
      <c r="H284" s="9" t="str">
        <f ca="1">IF($G284="","",INDEX(BASE_PRODUTOS!$B$2:$B$1006,$G284))</f>
        <v/>
      </c>
      <c r="I284" s="9" t="str">
        <f ca="1">IF($G284="","",INDEX(BASE_PRODUTOS!$L$2:$L$1006,$G284))</f>
        <v/>
      </c>
      <c r="J284" s="9" t="str">
        <f ca="1">IF($G284="","",INDEX(BASE_PRODUTOS!$A$2:$A$1006,$G284))</f>
        <v/>
      </c>
      <c r="K284" s="9" t="str">
        <f ca="1">IF($G284="","",INDEX(BASE_PRODUTOS!$C$2:$C$1006,$G284))</f>
        <v/>
      </c>
      <c r="L284" s="9" t="str">
        <f ca="1">IF($G284="","",INDEX(BASE_PRODUTOS!$E$2:$E$1006,$G284))</f>
        <v/>
      </c>
      <c r="M284" s="9" t="str">
        <f ca="1">IF($G284="","",INDEX(BASE_PRODUTOS!$F$2:$F$1006,$G284))</f>
        <v/>
      </c>
      <c r="N284" s="9" t="str">
        <f ca="1">IF($G284="","",INDEX(BASE_PRODUTOS!$G$2:$G$1006,$G284))</f>
        <v/>
      </c>
      <c r="O284" s="9" t="str">
        <f ca="1">IF($G284="","",INDEX(BASE_PRODUTOS!$H$2:$H$1006,$G284))</f>
        <v/>
      </c>
      <c r="P284" s="9" t="str">
        <f ca="1">IF($G284="","",INDEX(BASE_PRODUTOS!$I$2:$I$1006,$G284))</f>
        <v/>
      </c>
      <c r="Q284" s="9" t="str">
        <f ca="1">IF($G284="","",INDEX(BASE_PRODUTOS!$J$2:$J$1006,$G284))</f>
        <v/>
      </c>
      <c r="R284" s="9" t="str">
        <f ca="1">IF($G284="","",INDEX(BASE_PRODUTOS!$M$2:$M$1006,$G284))</f>
        <v/>
      </c>
      <c r="S284" s="9" t="str">
        <f ca="1">IF($G284="","",INDEX(BASE_PRODUTOS!$N$2:$N$1006,$G284))</f>
        <v/>
      </c>
      <c r="T284" s="9" t="str">
        <f ca="1">IF($G284="","",INDEX(BASE_PRODUTOS!$D$2:$D$1006,$G284))</f>
        <v/>
      </c>
    </row>
    <row r="285" spans="7:20" ht="18" customHeight="1" x14ac:dyDescent="0.35">
      <c r="G285" t="str">
        <f ca="1">IFERROR(_xludf.aggregate(15,6,(ROW(BASE_PRODUTOS!$L$2:$L$1006)-ROW(BASE_PRODUTOS!$L$2)+1)/(BASE_PRODUTOS!$L$2:$L$1006&gt;0),ROWS($G$10:G285)),"")</f>
        <v/>
      </c>
      <c r="H285" s="9" t="str">
        <f ca="1">IF($G285="","",INDEX(BASE_PRODUTOS!$B$2:$B$1006,$G285))</f>
        <v/>
      </c>
      <c r="I285" s="9" t="str">
        <f ca="1">IF($G285="","",INDEX(BASE_PRODUTOS!$L$2:$L$1006,$G285))</f>
        <v/>
      </c>
      <c r="J285" s="9" t="str">
        <f ca="1">IF($G285="","",INDEX(BASE_PRODUTOS!$A$2:$A$1006,$G285))</f>
        <v/>
      </c>
      <c r="K285" s="9" t="str">
        <f ca="1">IF($G285="","",INDEX(BASE_PRODUTOS!$C$2:$C$1006,$G285))</f>
        <v/>
      </c>
      <c r="L285" s="9" t="str">
        <f ca="1">IF($G285="","",INDEX(BASE_PRODUTOS!$E$2:$E$1006,$G285))</f>
        <v/>
      </c>
      <c r="M285" s="9" t="str">
        <f ca="1">IF($G285="","",INDEX(BASE_PRODUTOS!$F$2:$F$1006,$G285))</f>
        <v/>
      </c>
      <c r="N285" s="9" t="str">
        <f ca="1">IF($G285="","",INDEX(BASE_PRODUTOS!$G$2:$G$1006,$G285))</f>
        <v/>
      </c>
      <c r="O285" s="9" t="str">
        <f ca="1">IF($G285="","",INDEX(BASE_PRODUTOS!$H$2:$H$1006,$G285))</f>
        <v/>
      </c>
      <c r="P285" s="9" t="str">
        <f ca="1">IF($G285="","",INDEX(BASE_PRODUTOS!$I$2:$I$1006,$G285))</f>
        <v/>
      </c>
      <c r="Q285" s="9" t="str">
        <f ca="1">IF($G285="","",INDEX(BASE_PRODUTOS!$J$2:$J$1006,$G285))</f>
        <v/>
      </c>
      <c r="R285" s="9" t="str">
        <f ca="1">IF($G285="","",INDEX(BASE_PRODUTOS!$M$2:$M$1006,$G285))</f>
        <v/>
      </c>
      <c r="S285" s="9" t="str">
        <f ca="1">IF($G285="","",INDEX(BASE_PRODUTOS!$N$2:$N$1006,$G285))</f>
        <v/>
      </c>
      <c r="T285" s="9" t="str">
        <f ca="1">IF($G285="","",INDEX(BASE_PRODUTOS!$D$2:$D$1006,$G285))</f>
        <v/>
      </c>
    </row>
    <row r="286" spans="7:20" ht="18" customHeight="1" x14ac:dyDescent="0.35">
      <c r="G286" t="str">
        <f ca="1">IFERROR(_xludf.aggregate(15,6,(ROW(BASE_PRODUTOS!$L$2:$L$1006)-ROW(BASE_PRODUTOS!$L$2)+1)/(BASE_PRODUTOS!$L$2:$L$1006&gt;0),ROWS($G$10:G286)),"")</f>
        <v/>
      </c>
      <c r="H286" s="9" t="str">
        <f ca="1">IF($G286="","",INDEX(BASE_PRODUTOS!$B$2:$B$1006,$G286))</f>
        <v/>
      </c>
      <c r="I286" s="9" t="str">
        <f ca="1">IF($G286="","",INDEX(BASE_PRODUTOS!$L$2:$L$1006,$G286))</f>
        <v/>
      </c>
      <c r="J286" s="9" t="str">
        <f ca="1">IF($G286="","",INDEX(BASE_PRODUTOS!$A$2:$A$1006,$G286))</f>
        <v/>
      </c>
      <c r="K286" s="9" t="str">
        <f ca="1">IF($G286="","",INDEX(BASE_PRODUTOS!$C$2:$C$1006,$G286))</f>
        <v/>
      </c>
      <c r="L286" s="9" t="str">
        <f ca="1">IF($G286="","",INDEX(BASE_PRODUTOS!$E$2:$E$1006,$G286))</f>
        <v/>
      </c>
      <c r="M286" s="9" t="str">
        <f ca="1">IF($G286="","",INDEX(BASE_PRODUTOS!$F$2:$F$1006,$G286))</f>
        <v/>
      </c>
      <c r="N286" s="9" t="str">
        <f ca="1">IF($G286="","",INDEX(BASE_PRODUTOS!$G$2:$G$1006,$G286))</f>
        <v/>
      </c>
      <c r="O286" s="9" t="str">
        <f ca="1">IF($G286="","",INDEX(BASE_PRODUTOS!$H$2:$H$1006,$G286))</f>
        <v/>
      </c>
      <c r="P286" s="9" t="str">
        <f ca="1">IF($G286="","",INDEX(BASE_PRODUTOS!$I$2:$I$1006,$G286))</f>
        <v/>
      </c>
      <c r="Q286" s="9" t="str">
        <f ca="1">IF($G286="","",INDEX(BASE_PRODUTOS!$J$2:$J$1006,$G286))</f>
        <v/>
      </c>
      <c r="R286" s="9" t="str">
        <f ca="1">IF($G286="","",INDEX(BASE_PRODUTOS!$M$2:$M$1006,$G286))</f>
        <v/>
      </c>
      <c r="S286" s="9" t="str">
        <f ca="1">IF($G286="","",INDEX(BASE_PRODUTOS!$N$2:$N$1006,$G286))</f>
        <v/>
      </c>
      <c r="T286" s="9" t="str">
        <f ca="1">IF($G286="","",INDEX(BASE_PRODUTOS!$D$2:$D$1006,$G286))</f>
        <v/>
      </c>
    </row>
    <row r="287" spans="7:20" ht="18" customHeight="1" x14ac:dyDescent="0.35">
      <c r="G287" t="str">
        <f ca="1">IFERROR(_xludf.aggregate(15,6,(ROW(BASE_PRODUTOS!$L$2:$L$1006)-ROW(BASE_PRODUTOS!$L$2)+1)/(BASE_PRODUTOS!$L$2:$L$1006&gt;0),ROWS($G$10:G287)),"")</f>
        <v/>
      </c>
      <c r="H287" s="9" t="str">
        <f ca="1">IF($G287="","",INDEX(BASE_PRODUTOS!$B$2:$B$1006,$G287))</f>
        <v/>
      </c>
      <c r="I287" s="9" t="str">
        <f ca="1">IF($G287="","",INDEX(BASE_PRODUTOS!$L$2:$L$1006,$G287))</f>
        <v/>
      </c>
      <c r="J287" s="9" t="str">
        <f ca="1">IF($G287="","",INDEX(BASE_PRODUTOS!$A$2:$A$1006,$G287))</f>
        <v/>
      </c>
      <c r="K287" s="9" t="str">
        <f ca="1">IF($G287="","",INDEX(BASE_PRODUTOS!$C$2:$C$1006,$G287))</f>
        <v/>
      </c>
      <c r="L287" s="9" t="str">
        <f ca="1">IF($G287="","",INDEX(BASE_PRODUTOS!$E$2:$E$1006,$G287))</f>
        <v/>
      </c>
      <c r="M287" s="9" t="str">
        <f ca="1">IF($G287="","",INDEX(BASE_PRODUTOS!$F$2:$F$1006,$G287))</f>
        <v/>
      </c>
      <c r="N287" s="9" t="str">
        <f ca="1">IF($G287="","",INDEX(BASE_PRODUTOS!$G$2:$G$1006,$G287))</f>
        <v/>
      </c>
      <c r="O287" s="9" t="str">
        <f ca="1">IF($G287="","",INDEX(BASE_PRODUTOS!$H$2:$H$1006,$G287))</f>
        <v/>
      </c>
      <c r="P287" s="9" t="str">
        <f ca="1">IF($G287="","",INDEX(BASE_PRODUTOS!$I$2:$I$1006,$G287))</f>
        <v/>
      </c>
      <c r="Q287" s="9" t="str">
        <f ca="1">IF($G287="","",INDEX(BASE_PRODUTOS!$J$2:$J$1006,$G287))</f>
        <v/>
      </c>
      <c r="R287" s="9" t="str">
        <f ca="1">IF($G287="","",INDEX(BASE_PRODUTOS!$M$2:$M$1006,$G287))</f>
        <v/>
      </c>
      <c r="S287" s="9" t="str">
        <f ca="1">IF($G287="","",INDEX(BASE_PRODUTOS!$N$2:$N$1006,$G287))</f>
        <v/>
      </c>
      <c r="T287" s="9" t="str">
        <f ca="1">IF($G287="","",INDEX(BASE_PRODUTOS!$D$2:$D$1006,$G287))</f>
        <v/>
      </c>
    </row>
    <row r="288" spans="7:20" ht="18" customHeight="1" x14ac:dyDescent="0.35">
      <c r="G288" t="str">
        <f ca="1">IFERROR(_xludf.aggregate(15,6,(ROW(BASE_PRODUTOS!$L$2:$L$1006)-ROW(BASE_PRODUTOS!$L$2)+1)/(BASE_PRODUTOS!$L$2:$L$1006&gt;0),ROWS($G$10:G288)),"")</f>
        <v/>
      </c>
      <c r="H288" s="9" t="str">
        <f ca="1">IF($G288="","",INDEX(BASE_PRODUTOS!$B$2:$B$1006,$G288))</f>
        <v/>
      </c>
      <c r="I288" s="9" t="str">
        <f ca="1">IF($G288="","",INDEX(BASE_PRODUTOS!$L$2:$L$1006,$G288))</f>
        <v/>
      </c>
      <c r="J288" s="9" t="str">
        <f ca="1">IF($G288="","",INDEX(BASE_PRODUTOS!$A$2:$A$1006,$G288))</f>
        <v/>
      </c>
      <c r="K288" s="9" t="str">
        <f ca="1">IF($G288="","",INDEX(BASE_PRODUTOS!$C$2:$C$1006,$G288))</f>
        <v/>
      </c>
      <c r="L288" s="9" t="str">
        <f ca="1">IF($G288="","",INDEX(BASE_PRODUTOS!$E$2:$E$1006,$G288))</f>
        <v/>
      </c>
      <c r="M288" s="9" t="str">
        <f ca="1">IF($G288="","",INDEX(BASE_PRODUTOS!$F$2:$F$1006,$G288))</f>
        <v/>
      </c>
      <c r="N288" s="9" t="str">
        <f ca="1">IF($G288="","",INDEX(BASE_PRODUTOS!$G$2:$G$1006,$G288))</f>
        <v/>
      </c>
      <c r="O288" s="9" t="str">
        <f ca="1">IF($G288="","",INDEX(BASE_PRODUTOS!$H$2:$H$1006,$G288))</f>
        <v/>
      </c>
      <c r="P288" s="9" t="str">
        <f ca="1">IF($G288="","",INDEX(BASE_PRODUTOS!$I$2:$I$1006,$G288))</f>
        <v/>
      </c>
      <c r="Q288" s="9" t="str">
        <f ca="1">IF($G288="","",INDEX(BASE_PRODUTOS!$J$2:$J$1006,$G288))</f>
        <v/>
      </c>
      <c r="R288" s="9" t="str">
        <f ca="1">IF($G288="","",INDEX(BASE_PRODUTOS!$M$2:$M$1006,$G288))</f>
        <v/>
      </c>
      <c r="S288" s="9" t="str">
        <f ca="1">IF($G288="","",INDEX(BASE_PRODUTOS!$N$2:$N$1006,$G288))</f>
        <v/>
      </c>
      <c r="T288" s="9" t="str">
        <f ca="1">IF($G288="","",INDEX(BASE_PRODUTOS!$D$2:$D$1006,$G288))</f>
        <v/>
      </c>
    </row>
    <row r="289" spans="7:20" ht="18" customHeight="1" x14ac:dyDescent="0.35">
      <c r="G289" t="str">
        <f ca="1">IFERROR(_xludf.aggregate(15,6,(ROW(BASE_PRODUTOS!$L$2:$L$1006)-ROW(BASE_PRODUTOS!$L$2)+1)/(BASE_PRODUTOS!$L$2:$L$1006&gt;0),ROWS($G$10:G289)),"")</f>
        <v/>
      </c>
      <c r="H289" s="9" t="str">
        <f ca="1">IF($G289="","",INDEX(BASE_PRODUTOS!$B$2:$B$1006,$G289))</f>
        <v/>
      </c>
      <c r="I289" s="9" t="str">
        <f ca="1">IF($G289="","",INDEX(BASE_PRODUTOS!$L$2:$L$1006,$G289))</f>
        <v/>
      </c>
      <c r="J289" s="9" t="str">
        <f ca="1">IF($G289="","",INDEX(BASE_PRODUTOS!$A$2:$A$1006,$G289))</f>
        <v/>
      </c>
      <c r="K289" s="9" t="str">
        <f ca="1">IF($G289="","",INDEX(BASE_PRODUTOS!$C$2:$C$1006,$G289))</f>
        <v/>
      </c>
      <c r="L289" s="9" t="str">
        <f ca="1">IF($G289="","",INDEX(BASE_PRODUTOS!$E$2:$E$1006,$G289))</f>
        <v/>
      </c>
      <c r="M289" s="9" t="str">
        <f ca="1">IF($G289="","",INDEX(BASE_PRODUTOS!$F$2:$F$1006,$G289))</f>
        <v/>
      </c>
      <c r="N289" s="9" t="str">
        <f ca="1">IF($G289="","",INDEX(BASE_PRODUTOS!$G$2:$G$1006,$G289))</f>
        <v/>
      </c>
      <c r="O289" s="9" t="str">
        <f ca="1">IF($G289="","",INDEX(BASE_PRODUTOS!$H$2:$H$1006,$G289))</f>
        <v/>
      </c>
      <c r="P289" s="9" t="str">
        <f ca="1">IF($G289="","",INDEX(BASE_PRODUTOS!$I$2:$I$1006,$G289))</f>
        <v/>
      </c>
      <c r="Q289" s="9" t="str">
        <f ca="1">IF($G289="","",INDEX(BASE_PRODUTOS!$J$2:$J$1006,$G289))</f>
        <v/>
      </c>
      <c r="R289" s="9" t="str">
        <f ca="1">IF($G289="","",INDEX(BASE_PRODUTOS!$M$2:$M$1006,$G289))</f>
        <v/>
      </c>
      <c r="S289" s="9" t="str">
        <f ca="1">IF($G289="","",INDEX(BASE_PRODUTOS!$N$2:$N$1006,$G289))</f>
        <v/>
      </c>
      <c r="T289" s="9" t="str">
        <f ca="1">IF($G289="","",INDEX(BASE_PRODUTOS!$D$2:$D$1006,$G289))</f>
        <v/>
      </c>
    </row>
    <row r="290" spans="7:20" ht="18" customHeight="1" x14ac:dyDescent="0.35">
      <c r="G290" t="str">
        <f ca="1">IFERROR(_xludf.aggregate(15,6,(ROW(BASE_PRODUTOS!$L$2:$L$1006)-ROW(BASE_PRODUTOS!$L$2)+1)/(BASE_PRODUTOS!$L$2:$L$1006&gt;0),ROWS($G$10:G290)),"")</f>
        <v/>
      </c>
      <c r="H290" s="9" t="str">
        <f ca="1">IF($G290="","",INDEX(BASE_PRODUTOS!$B$2:$B$1006,$G290))</f>
        <v/>
      </c>
      <c r="I290" s="9" t="str">
        <f ca="1">IF($G290="","",INDEX(BASE_PRODUTOS!$L$2:$L$1006,$G290))</f>
        <v/>
      </c>
      <c r="J290" s="9" t="str">
        <f ca="1">IF($G290="","",INDEX(BASE_PRODUTOS!$A$2:$A$1006,$G290))</f>
        <v/>
      </c>
      <c r="K290" s="9" t="str">
        <f ca="1">IF($G290="","",INDEX(BASE_PRODUTOS!$C$2:$C$1006,$G290))</f>
        <v/>
      </c>
      <c r="L290" s="9" t="str">
        <f ca="1">IF($G290="","",INDEX(BASE_PRODUTOS!$E$2:$E$1006,$G290))</f>
        <v/>
      </c>
      <c r="M290" s="9" t="str">
        <f ca="1">IF($G290="","",INDEX(BASE_PRODUTOS!$F$2:$F$1006,$G290))</f>
        <v/>
      </c>
      <c r="N290" s="9" t="str">
        <f ca="1">IF($G290="","",INDEX(BASE_PRODUTOS!$G$2:$G$1006,$G290))</f>
        <v/>
      </c>
      <c r="O290" s="9" t="str">
        <f ca="1">IF($G290="","",INDEX(BASE_PRODUTOS!$H$2:$H$1006,$G290))</f>
        <v/>
      </c>
      <c r="P290" s="9" t="str">
        <f ca="1">IF($G290="","",INDEX(BASE_PRODUTOS!$I$2:$I$1006,$G290))</f>
        <v/>
      </c>
      <c r="Q290" s="9" t="str">
        <f ca="1">IF($G290="","",INDEX(BASE_PRODUTOS!$J$2:$J$1006,$G290))</f>
        <v/>
      </c>
      <c r="R290" s="9" t="str">
        <f ca="1">IF($G290="","",INDEX(BASE_PRODUTOS!$M$2:$M$1006,$G290))</f>
        <v/>
      </c>
      <c r="S290" s="9" t="str">
        <f ca="1">IF($G290="","",INDEX(BASE_PRODUTOS!$N$2:$N$1006,$G290))</f>
        <v/>
      </c>
      <c r="T290" s="9" t="str">
        <f ca="1">IF($G290="","",INDEX(BASE_PRODUTOS!$D$2:$D$1006,$G290))</f>
        <v/>
      </c>
    </row>
    <row r="291" spans="7:20" ht="18" customHeight="1" x14ac:dyDescent="0.35">
      <c r="G291" t="str">
        <f ca="1">IFERROR(_xludf.aggregate(15,6,(ROW(BASE_PRODUTOS!$L$2:$L$1006)-ROW(BASE_PRODUTOS!$L$2)+1)/(BASE_PRODUTOS!$L$2:$L$1006&gt;0),ROWS($G$10:G291)),"")</f>
        <v/>
      </c>
      <c r="H291" s="9" t="str">
        <f ca="1">IF($G291="","",INDEX(BASE_PRODUTOS!$B$2:$B$1006,$G291))</f>
        <v/>
      </c>
      <c r="I291" s="9" t="str">
        <f ca="1">IF($G291="","",INDEX(BASE_PRODUTOS!$L$2:$L$1006,$G291))</f>
        <v/>
      </c>
      <c r="J291" s="9" t="str">
        <f ca="1">IF($G291="","",INDEX(BASE_PRODUTOS!$A$2:$A$1006,$G291))</f>
        <v/>
      </c>
      <c r="K291" s="9" t="str">
        <f ca="1">IF($G291="","",INDEX(BASE_PRODUTOS!$C$2:$C$1006,$G291))</f>
        <v/>
      </c>
      <c r="L291" s="9" t="str">
        <f ca="1">IF($G291="","",INDEX(BASE_PRODUTOS!$E$2:$E$1006,$G291))</f>
        <v/>
      </c>
      <c r="M291" s="9" t="str">
        <f ca="1">IF($G291="","",INDEX(BASE_PRODUTOS!$F$2:$F$1006,$G291))</f>
        <v/>
      </c>
      <c r="N291" s="9" t="str">
        <f ca="1">IF($G291="","",INDEX(BASE_PRODUTOS!$G$2:$G$1006,$G291))</f>
        <v/>
      </c>
      <c r="O291" s="9" t="str">
        <f ca="1">IF($G291="","",INDEX(BASE_PRODUTOS!$H$2:$H$1006,$G291))</f>
        <v/>
      </c>
      <c r="P291" s="9" t="str">
        <f ca="1">IF($G291="","",INDEX(BASE_PRODUTOS!$I$2:$I$1006,$G291))</f>
        <v/>
      </c>
      <c r="Q291" s="9" t="str">
        <f ca="1">IF($G291="","",INDEX(BASE_PRODUTOS!$J$2:$J$1006,$G291))</f>
        <v/>
      </c>
      <c r="R291" s="9" t="str">
        <f ca="1">IF($G291="","",INDEX(BASE_PRODUTOS!$M$2:$M$1006,$G291))</f>
        <v/>
      </c>
      <c r="S291" s="9" t="str">
        <f ca="1">IF($G291="","",INDEX(BASE_PRODUTOS!$N$2:$N$1006,$G291))</f>
        <v/>
      </c>
      <c r="T291" s="9" t="str">
        <f ca="1">IF($G291="","",INDEX(BASE_PRODUTOS!$D$2:$D$1006,$G291))</f>
        <v/>
      </c>
    </row>
    <row r="292" spans="7:20" ht="18" customHeight="1" x14ac:dyDescent="0.35">
      <c r="G292" t="str">
        <f ca="1">IFERROR(_xludf.aggregate(15,6,(ROW(BASE_PRODUTOS!$L$2:$L$1006)-ROW(BASE_PRODUTOS!$L$2)+1)/(BASE_PRODUTOS!$L$2:$L$1006&gt;0),ROWS($G$10:G292)),"")</f>
        <v/>
      </c>
      <c r="H292" s="9" t="str">
        <f ca="1">IF($G292="","",INDEX(BASE_PRODUTOS!$B$2:$B$1006,$G292))</f>
        <v/>
      </c>
      <c r="I292" s="9" t="str">
        <f ca="1">IF($G292="","",INDEX(BASE_PRODUTOS!$L$2:$L$1006,$G292))</f>
        <v/>
      </c>
      <c r="J292" s="9" t="str">
        <f ca="1">IF($G292="","",INDEX(BASE_PRODUTOS!$A$2:$A$1006,$G292))</f>
        <v/>
      </c>
      <c r="K292" s="9" t="str">
        <f ca="1">IF($G292="","",INDEX(BASE_PRODUTOS!$C$2:$C$1006,$G292))</f>
        <v/>
      </c>
      <c r="L292" s="9" t="str">
        <f ca="1">IF($G292="","",INDEX(BASE_PRODUTOS!$E$2:$E$1006,$G292))</f>
        <v/>
      </c>
      <c r="M292" s="9" t="str">
        <f ca="1">IF($G292="","",INDEX(BASE_PRODUTOS!$F$2:$F$1006,$G292))</f>
        <v/>
      </c>
      <c r="N292" s="9" t="str">
        <f ca="1">IF($G292="","",INDEX(BASE_PRODUTOS!$G$2:$G$1006,$G292))</f>
        <v/>
      </c>
      <c r="O292" s="9" t="str">
        <f ca="1">IF($G292="","",INDEX(BASE_PRODUTOS!$H$2:$H$1006,$G292))</f>
        <v/>
      </c>
      <c r="P292" s="9" t="str">
        <f ca="1">IF($G292="","",INDEX(BASE_PRODUTOS!$I$2:$I$1006,$G292))</f>
        <v/>
      </c>
      <c r="Q292" s="9" t="str">
        <f ca="1">IF($G292="","",INDEX(BASE_PRODUTOS!$J$2:$J$1006,$G292))</f>
        <v/>
      </c>
      <c r="R292" s="9" t="str">
        <f ca="1">IF($G292="","",INDEX(BASE_PRODUTOS!$M$2:$M$1006,$G292))</f>
        <v/>
      </c>
      <c r="S292" s="9" t="str">
        <f ca="1">IF($G292="","",INDEX(BASE_PRODUTOS!$N$2:$N$1006,$G292))</f>
        <v/>
      </c>
      <c r="T292" s="9" t="str">
        <f ca="1">IF($G292="","",INDEX(BASE_PRODUTOS!$D$2:$D$1006,$G292))</f>
        <v/>
      </c>
    </row>
    <row r="293" spans="7:20" ht="18" customHeight="1" x14ac:dyDescent="0.35">
      <c r="G293" t="str">
        <f ca="1">IFERROR(_xludf.aggregate(15,6,(ROW(BASE_PRODUTOS!$L$2:$L$1006)-ROW(BASE_PRODUTOS!$L$2)+1)/(BASE_PRODUTOS!$L$2:$L$1006&gt;0),ROWS($G$10:G293)),"")</f>
        <v/>
      </c>
      <c r="H293" s="9" t="str">
        <f ca="1">IF($G293="","",INDEX(BASE_PRODUTOS!$B$2:$B$1006,$G293))</f>
        <v/>
      </c>
      <c r="I293" s="9" t="str">
        <f ca="1">IF($G293="","",INDEX(BASE_PRODUTOS!$L$2:$L$1006,$G293))</f>
        <v/>
      </c>
      <c r="J293" s="9" t="str">
        <f ca="1">IF($G293="","",INDEX(BASE_PRODUTOS!$A$2:$A$1006,$G293))</f>
        <v/>
      </c>
      <c r="K293" s="9" t="str">
        <f ca="1">IF($G293="","",INDEX(BASE_PRODUTOS!$C$2:$C$1006,$G293))</f>
        <v/>
      </c>
      <c r="L293" s="9" t="str">
        <f ca="1">IF($G293="","",INDEX(BASE_PRODUTOS!$E$2:$E$1006,$G293))</f>
        <v/>
      </c>
      <c r="M293" s="9" t="str">
        <f ca="1">IF($G293="","",INDEX(BASE_PRODUTOS!$F$2:$F$1006,$G293))</f>
        <v/>
      </c>
      <c r="N293" s="9" t="str">
        <f ca="1">IF($G293="","",INDEX(BASE_PRODUTOS!$G$2:$G$1006,$G293))</f>
        <v/>
      </c>
      <c r="O293" s="9" t="str">
        <f ca="1">IF($G293="","",INDEX(BASE_PRODUTOS!$H$2:$H$1006,$G293))</f>
        <v/>
      </c>
      <c r="P293" s="9" t="str">
        <f ca="1">IF($G293="","",INDEX(BASE_PRODUTOS!$I$2:$I$1006,$G293))</f>
        <v/>
      </c>
      <c r="Q293" s="9" t="str">
        <f ca="1">IF($G293="","",INDEX(BASE_PRODUTOS!$J$2:$J$1006,$G293))</f>
        <v/>
      </c>
      <c r="R293" s="9" t="str">
        <f ca="1">IF($G293="","",INDEX(BASE_PRODUTOS!$M$2:$M$1006,$G293))</f>
        <v/>
      </c>
      <c r="S293" s="9" t="str">
        <f ca="1">IF($G293="","",INDEX(BASE_PRODUTOS!$N$2:$N$1006,$G293))</f>
        <v/>
      </c>
      <c r="T293" s="9" t="str">
        <f ca="1">IF($G293="","",INDEX(BASE_PRODUTOS!$D$2:$D$1006,$G293))</f>
        <v/>
      </c>
    </row>
    <row r="294" spans="7:20" ht="18" customHeight="1" x14ac:dyDescent="0.35">
      <c r="G294" t="str">
        <f ca="1">IFERROR(_xludf.aggregate(15,6,(ROW(BASE_PRODUTOS!$L$2:$L$1006)-ROW(BASE_PRODUTOS!$L$2)+1)/(BASE_PRODUTOS!$L$2:$L$1006&gt;0),ROWS($G$10:G294)),"")</f>
        <v/>
      </c>
      <c r="H294" s="9" t="str">
        <f ca="1">IF($G294="","",INDEX(BASE_PRODUTOS!$B$2:$B$1006,$G294))</f>
        <v/>
      </c>
      <c r="I294" s="9" t="str">
        <f ca="1">IF($G294="","",INDEX(BASE_PRODUTOS!$L$2:$L$1006,$G294))</f>
        <v/>
      </c>
      <c r="J294" s="9" t="str">
        <f ca="1">IF($G294="","",INDEX(BASE_PRODUTOS!$A$2:$A$1006,$G294))</f>
        <v/>
      </c>
      <c r="K294" s="9" t="str">
        <f ca="1">IF($G294="","",INDEX(BASE_PRODUTOS!$C$2:$C$1006,$G294))</f>
        <v/>
      </c>
      <c r="L294" s="9" t="str">
        <f ca="1">IF($G294="","",INDEX(BASE_PRODUTOS!$E$2:$E$1006,$G294))</f>
        <v/>
      </c>
      <c r="M294" s="9" t="str">
        <f ca="1">IF($G294="","",INDEX(BASE_PRODUTOS!$F$2:$F$1006,$G294))</f>
        <v/>
      </c>
      <c r="N294" s="9" t="str">
        <f ca="1">IF($G294="","",INDEX(BASE_PRODUTOS!$G$2:$G$1006,$G294))</f>
        <v/>
      </c>
      <c r="O294" s="9" t="str">
        <f ca="1">IF($G294="","",INDEX(BASE_PRODUTOS!$H$2:$H$1006,$G294))</f>
        <v/>
      </c>
      <c r="P294" s="9" t="str">
        <f ca="1">IF($G294="","",INDEX(BASE_PRODUTOS!$I$2:$I$1006,$G294))</f>
        <v/>
      </c>
      <c r="Q294" s="9" t="str">
        <f ca="1">IF($G294="","",INDEX(BASE_PRODUTOS!$J$2:$J$1006,$G294))</f>
        <v/>
      </c>
      <c r="R294" s="9" t="str">
        <f ca="1">IF($G294="","",INDEX(BASE_PRODUTOS!$M$2:$M$1006,$G294))</f>
        <v/>
      </c>
      <c r="S294" s="9" t="str">
        <f ca="1">IF($G294="","",INDEX(BASE_PRODUTOS!$N$2:$N$1006,$G294))</f>
        <v/>
      </c>
      <c r="T294" s="9" t="str">
        <f ca="1">IF($G294="","",INDEX(BASE_PRODUTOS!$D$2:$D$1006,$G294))</f>
        <v/>
      </c>
    </row>
    <row r="295" spans="7:20" ht="18" customHeight="1" x14ac:dyDescent="0.35">
      <c r="G295" t="str">
        <f ca="1">IFERROR(_xludf.aggregate(15,6,(ROW(BASE_PRODUTOS!$L$2:$L$1006)-ROW(BASE_PRODUTOS!$L$2)+1)/(BASE_PRODUTOS!$L$2:$L$1006&gt;0),ROWS($G$10:G295)),"")</f>
        <v/>
      </c>
      <c r="H295" s="9" t="str">
        <f ca="1">IF($G295="","",INDEX(BASE_PRODUTOS!$B$2:$B$1006,$G295))</f>
        <v/>
      </c>
      <c r="I295" s="9" t="str">
        <f ca="1">IF($G295="","",INDEX(BASE_PRODUTOS!$L$2:$L$1006,$G295))</f>
        <v/>
      </c>
      <c r="J295" s="9" t="str">
        <f ca="1">IF($G295="","",INDEX(BASE_PRODUTOS!$A$2:$A$1006,$G295))</f>
        <v/>
      </c>
      <c r="K295" s="9" t="str">
        <f ca="1">IF($G295="","",INDEX(BASE_PRODUTOS!$C$2:$C$1006,$G295))</f>
        <v/>
      </c>
      <c r="L295" s="9" t="str">
        <f ca="1">IF($G295="","",INDEX(BASE_PRODUTOS!$E$2:$E$1006,$G295))</f>
        <v/>
      </c>
      <c r="M295" s="9" t="str">
        <f ca="1">IF($G295="","",INDEX(BASE_PRODUTOS!$F$2:$F$1006,$G295))</f>
        <v/>
      </c>
      <c r="N295" s="9" t="str">
        <f ca="1">IF($G295="","",INDEX(BASE_PRODUTOS!$G$2:$G$1006,$G295))</f>
        <v/>
      </c>
      <c r="O295" s="9" t="str">
        <f ca="1">IF($G295="","",INDEX(BASE_PRODUTOS!$H$2:$H$1006,$G295))</f>
        <v/>
      </c>
      <c r="P295" s="9" t="str">
        <f ca="1">IF($G295="","",INDEX(BASE_PRODUTOS!$I$2:$I$1006,$G295))</f>
        <v/>
      </c>
      <c r="Q295" s="9" t="str">
        <f ca="1">IF($G295="","",INDEX(BASE_PRODUTOS!$J$2:$J$1006,$G295))</f>
        <v/>
      </c>
      <c r="R295" s="9" t="str">
        <f ca="1">IF($G295="","",INDEX(BASE_PRODUTOS!$M$2:$M$1006,$G295))</f>
        <v/>
      </c>
      <c r="S295" s="9" t="str">
        <f ca="1">IF($G295="","",INDEX(BASE_PRODUTOS!$N$2:$N$1006,$G295))</f>
        <v/>
      </c>
      <c r="T295" s="9" t="str">
        <f ca="1">IF($G295="","",INDEX(BASE_PRODUTOS!$D$2:$D$1006,$G295))</f>
        <v/>
      </c>
    </row>
    <row r="296" spans="7:20" ht="18" customHeight="1" x14ac:dyDescent="0.35">
      <c r="G296" t="str">
        <f ca="1">IFERROR(_xludf.aggregate(15,6,(ROW(BASE_PRODUTOS!$L$2:$L$1006)-ROW(BASE_PRODUTOS!$L$2)+1)/(BASE_PRODUTOS!$L$2:$L$1006&gt;0),ROWS($G$10:G296)),"")</f>
        <v/>
      </c>
      <c r="H296" s="9" t="str">
        <f ca="1">IF($G296="","",INDEX(BASE_PRODUTOS!$B$2:$B$1006,$G296))</f>
        <v/>
      </c>
      <c r="I296" s="9" t="str">
        <f ca="1">IF($G296="","",INDEX(BASE_PRODUTOS!$L$2:$L$1006,$G296))</f>
        <v/>
      </c>
      <c r="J296" s="9" t="str">
        <f ca="1">IF($G296="","",INDEX(BASE_PRODUTOS!$A$2:$A$1006,$G296))</f>
        <v/>
      </c>
      <c r="K296" s="9" t="str">
        <f ca="1">IF($G296="","",INDEX(BASE_PRODUTOS!$C$2:$C$1006,$G296))</f>
        <v/>
      </c>
      <c r="L296" s="9" t="str">
        <f ca="1">IF($G296="","",INDEX(BASE_PRODUTOS!$E$2:$E$1006,$G296))</f>
        <v/>
      </c>
      <c r="M296" s="9" t="str">
        <f ca="1">IF($G296="","",INDEX(BASE_PRODUTOS!$F$2:$F$1006,$G296))</f>
        <v/>
      </c>
      <c r="N296" s="9" t="str">
        <f ca="1">IF($G296="","",INDEX(BASE_PRODUTOS!$G$2:$G$1006,$G296))</f>
        <v/>
      </c>
      <c r="O296" s="9" t="str">
        <f ca="1">IF($G296="","",INDEX(BASE_PRODUTOS!$H$2:$H$1006,$G296))</f>
        <v/>
      </c>
      <c r="P296" s="9" t="str">
        <f ca="1">IF($G296="","",INDEX(BASE_PRODUTOS!$I$2:$I$1006,$G296))</f>
        <v/>
      </c>
      <c r="Q296" s="9" t="str">
        <f ca="1">IF($G296="","",INDEX(BASE_PRODUTOS!$J$2:$J$1006,$G296))</f>
        <v/>
      </c>
      <c r="R296" s="9" t="str">
        <f ca="1">IF($G296="","",INDEX(BASE_PRODUTOS!$M$2:$M$1006,$G296))</f>
        <v/>
      </c>
      <c r="S296" s="9" t="str">
        <f ca="1">IF($G296="","",INDEX(BASE_PRODUTOS!$N$2:$N$1006,$G296))</f>
        <v/>
      </c>
      <c r="T296" s="9" t="str">
        <f ca="1">IF($G296="","",INDEX(BASE_PRODUTOS!$D$2:$D$1006,$G296))</f>
        <v/>
      </c>
    </row>
    <row r="297" spans="7:20" ht="18" customHeight="1" x14ac:dyDescent="0.35">
      <c r="G297" t="str">
        <f ca="1">IFERROR(_xludf.aggregate(15,6,(ROW(BASE_PRODUTOS!$L$2:$L$1006)-ROW(BASE_PRODUTOS!$L$2)+1)/(BASE_PRODUTOS!$L$2:$L$1006&gt;0),ROWS($G$10:G297)),"")</f>
        <v/>
      </c>
      <c r="H297" s="9" t="str">
        <f ca="1">IF($G297="","",INDEX(BASE_PRODUTOS!$B$2:$B$1006,$G297))</f>
        <v/>
      </c>
      <c r="I297" s="9" t="str">
        <f ca="1">IF($G297="","",INDEX(BASE_PRODUTOS!$L$2:$L$1006,$G297))</f>
        <v/>
      </c>
      <c r="J297" s="9" t="str">
        <f ca="1">IF($G297="","",INDEX(BASE_PRODUTOS!$A$2:$A$1006,$G297))</f>
        <v/>
      </c>
      <c r="K297" s="9" t="str">
        <f ca="1">IF($G297="","",INDEX(BASE_PRODUTOS!$C$2:$C$1006,$G297))</f>
        <v/>
      </c>
      <c r="L297" s="9" t="str">
        <f ca="1">IF($G297="","",INDEX(BASE_PRODUTOS!$E$2:$E$1006,$G297))</f>
        <v/>
      </c>
      <c r="M297" s="9" t="str">
        <f ca="1">IF($G297="","",INDEX(BASE_PRODUTOS!$F$2:$F$1006,$G297))</f>
        <v/>
      </c>
      <c r="N297" s="9" t="str">
        <f ca="1">IF($G297="","",INDEX(BASE_PRODUTOS!$G$2:$G$1006,$G297))</f>
        <v/>
      </c>
      <c r="O297" s="9" t="str">
        <f ca="1">IF($G297="","",INDEX(BASE_PRODUTOS!$H$2:$H$1006,$G297))</f>
        <v/>
      </c>
      <c r="P297" s="9" t="str">
        <f ca="1">IF($G297="","",INDEX(BASE_PRODUTOS!$I$2:$I$1006,$G297))</f>
        <v/>
      </c>
      <c r="Q297" s="9" t="str">
        <f ca="1">IF($G297="","",INDEX(BASE_PRODUTOS!$J$2:$J$1006,$G297))</f>
        <v/>
      </c>
      <c r="R297" s="9" t="str">
        <f ca="1">IF($G297="","",INDEX(BASE_PRODUTOS!$M$2:$M$1006,$G297))</f>
        <v/>
      </c>
      <c r="S297" s="9" t="str">
        <f ca="1">IF($G297="","",INDEX(BASE_PRODUTOS!$N$2:$N$1006,$G297))</f>
        <v/>
      </c>
      <c r="T297" s="9" t="str">
        <f ca="1">IF($G297="","",INDEX(BASE_PRODUTOS!$D$2:$D$1006,$G297))</f>
        <v/>
      </c>
    </row>
    <row r="298" spans="7:20" ht="18" customHeight="1" x14ac:dyDescent="0.35">
      <c r="G298" t="str">
        <f ca="1">IFERROR(_xludf.aggregate(15,6,(ROW(BASE_PRODUTOS!$L$2:$L$1006)-ROW(BASE_PRODUTOS!$L$2)+1)/(BASE_PRODUTOS!$L$2:$L$1006&gt;0),ROWS($G$10:G298)),"")</f>
        <v/>
      </c>
      <c r="H298" s="9" t="str">
        <f ca="1">IF($G298="","",INDEX(BASE_PRODUTOS!$B$2:$B$1006,$G298))</f>
        <v/>
      </c>
      <c r="I298" s="9" t="str">
        <f ca="1">IF($G298="","",INDEX(BASE_PRODUTOS!$L$2:$L$1006,$G298))</f>
        <v/>
      </c>
      <c r="J298" s="9" t="str">
        <f ca="1">IF($G298="","",INDEX(BASE_PRODUTOS!$A$2:$A$1006,$G298))</f>
        <v/>
      </c>
      <c r="K298" s="9" t="str">
        <f ca="1">IF($G298="","",INDEX(BASE_PRODUTOS!$C$2:$C$1006,$G298))</f>
        <v/>
      </c>
      <c r="L298" s="9" t="str">
        <f ca="1">IF($G298="","",INDEX(BASE_PRODUTOS!$E$2:$E$1006,$G298))</f>
        <v/>
      </c>
      <c r="M298" s="9" t="str">
        <f ca="1">IF($G298="","",INDEX(BASE_PRODUTOS!$F$2:$F$1006,$G298))</f>
        <v/>
      </c>
      <c r="N298" s="9" t="str">
        <f ca="1">IF($G298="","",INDEX(BASE_PRODUTOS!$G$2:$G$1006,$G298))</f>
        <v/>
      </c>
      <c r="O298" s="9" t="str">
        <f ca="1">IF($G298="","",INDEX(BASE_PRODUTOS!$H$2:$H$1006,$G298))</f>
        <v/>
      </c>
      <c r="P298" s="9" t="str">
        <f ca="1">IF($G298="","",INDEX(BASE_PRODUTOS!$I$2:$I$1006,$G298))</f>
        <v/>
      </c>
      <c r="Q298" s="9" t="str">
        <f ca="1">IF($G298="","",INDEX(BASE_PRODUTOS!$J$2:$J$1006,$G298))</f>
        <v/>
      </c>
      <c r="R298" s="9" t="str">
        <f ca="1">IF($G298="","",INDEX(BASE_PRODUTOS!$M$2:$M$1006,$G298))</f>
        <v/>
      </c>
      <c r="S298" s="9" t="str">
        <f ca="1">IF($G298="","",INDEX(BASE_PRODUTOS!$N$2:$N$1006,$G298))</f>
        <v/>
      </c>
      <c r="T298" s="9" t="str">
        <f ca="1">IF($G298="","",INDEX(BASE_PRODUTOS!$D$2:$D$1006,$G298))</f>
        <v/>
      </c>
    </row>
    <row r="299" spans="7:20" ht="18" customHeight="1" x14ac:dyDescent="0.35">
      <c r="G299" t="str">
        <f ca="1">IFERROR(_xludf.aggregate(15,6,(ROW(BASE_PRODUTOS!$L$2:$L$1006)-ROW(BASE_PRODUTOS!$L$2)+1)/(BASE_PRODUTOS!$L$2:$L$1006&gt;0),ROWS($G$10:G299)),"")</f>
        <v/>
      </c>
      <c r="H299" s="9" t="str">
        <f ca="1">IF($G299="","",INDEX(BASE_PRODUTOS!$B$2:$B$1006,$G299))</f>
        <v/>
      </c>
      <c r="I299" s="9" t="str">
        <f ca="1">IF($G299="","",INDEX(BASE_PRODUTOS!$L$2:$L$1006,$G299))</f>
        <v/>
      </c>
      <c r="J299" s="9" t="str">
        <f ca="1">IF($G299="","",INDEX(BASE_PRODUTOS!$A$2:$A$1006,$G299))</f>
        <v/>
      </c>
      <c r="K299" s="9" t="str">
        <f ca="1">IF($G299="","",INDEX(BASE_PRODUTOS!$C$2:$C$1006,$G299))</f>
        <v/>
      </c>
      <c r="L299" s="9" t="str">
        <f ca="1">IF($G299="","",INDEX(BASE_PRODUTOS!$E$2:$E$1006,$G299))</f>
        <v/>
      </c>
      <c r="M299" s="9" t="str">
        <f ca="1">IF($G299="","",INDEX(BASE_PRODUTOS!$F$2:$F$1006,$G299))</f>
        <v/>
      </c>
      <c r="N299" s="9" t="str">
        <f ca="1">IF($G299="","",INDEX(BASE_PRODUTOS!$G$2:$G$1006,$G299))</f>
        <v/>
      </c>
      <c r="O299" s="9" t="str">
        <f ca="1">IF($G299="","",INDEX(BASE_PRODUTOS!$H$2:$H$1006,$G299))</f>
        <v/>
      </c>
      <c r="P299" s="9" t="str">
        <f ca="1">IF($G299="","",INDEX(BASE_PRODUTOS!$I$2:$I$1006,$G299))</f>
        <v/>
      </c>
      <c r="Q299" s="9" t="str">
        <f ca="1">IF($G299="","",INDEX(BASE_PRODUTOS!$J$2:$J$1006,$G299))</f>
        <v/>
      </c>
      <c r="R299" s="9" t="str">
        <f ca="1">IF($G299="","",INDEX(BASE_PRODUTOS!$M$2:$M$1006,$G299))</f>
        <v/>
      </c>
      <c r="S299" s="9" t="str">
        <f ca="1">IF($G299="","",INDEX(BASE_PRODUTOS!$N$2:$N$1006,$G299))</f>
        <v/>
      </c>
      <c r="T299" s="9" t="str">
        <f ca="1">IF($G299="","",INDEX(BASE_PRODUTOS!$D$2:$D$1006,$G299))</f>
        <v/>
      </c>
    </row>
    <row r="300" spans="7:20" ht="18" customHeight="1" x14ac:dyDescent="0.35">
      <c r="G300" t="str">
        <f ca="1">IFERROR(_xludf.aggregate(15,6,(ROW(BASE_PRODUTOS!$L$2:$L$1006)-ROW(BASE_PRODUTOS!$L$2)+1)/(BASE_PRODUTOS!$L$2:$L$1006&gt;0),ROWS($G$10:G300)),"")</f>
        <v/>
      </c>
      <c r="H300" s="9" t="str">
        <f ca="1">IF($G300="","",INDEX(BASE_PRODUTOS!$B$2:$B$1006,$G300))</f>
        <v/>
      </c>
      <c r="I300" s="9" t="str">
        <f ca="1">IF($G300="","",INDEX(BASE_PRODUTOS!$L$2:$L$1006,$G300))</f>
        <v/>
      </c>
      <c r="J300" s="9" t="str">
        <f ca="1">IF($G300="","",INDEX(BASE_PRODUTOS!$A$2:$A$1006,$G300))</f>
        <v/>
      </c>
      <c r="K300" s="9" t="str">
        <f ca="1">IF($G300="","",INDEX(BASE_PRODUTOS!$C$2:$C$1006,$G300))</f>
        <v/>
      </c>
      <c r="L300" s="9" t="str">
        <f ca="1">IF($G300="","",INDEX(BASE_PRODUTOS!$E$2:$E$1006,$G300))</f>
        <v/>
      </c>
      <c r="M300" s="9" t="str">
        <f ca="1">IF($G300="","",INDEX(BASE_PRODUTOS!$F$2:$F$1006,$G300))</f>
        <v/>
      </c>
      <c r="N300" s="9" t="str">
        <f ca="1">IF($G300="","",INDEX(BASE_PRODUTOS!$G$2:$G$1006,$G300))</f>
        <v/>
      </c>
      <c r="O300" s="9" t="str">
        <f ca="1">IF($G300="","",INDEX(BASE_PRODUTOS!$H$2:$H$1006,$G300))</f>
        <v/>
      </c>
      <c r="P300" s="9" t="str">
        <f ca="1">IF($G300="","",INDEX(BASE_PRODUTOS!$I$2:$I$1006,$G300))</f>
        <v/>
      </c>
      <c r="Q300" s="9" t="str">
        <f ca="1">IF($G300="","",INDEX(BASE_PRODUTOS!$J$2:$J$1006,$G300))</f>
        <v/>
      </c>
      <c r="R300" s="9" t="str">
        <f ca="1">IF($G300="","",INDEX(BASE_PRODUTOS!$M$2:$M$1006,$G300))</f>
        <v/>
      </c>
      <c r="S300" s="9" t="str">
        <f ca="1">IF($G300="","",INDEX(BASE_PRODUTOS!$N$2:$N$1006,$G300))</f>
        <v/>
      </c>
      <c r="T300" s="9" t="str">
        <f ca="1">IF($G300="","",INDEX(BASE_PRODUTOS!$D$2:$D$1006,$G300))</f>
        <v/>
      </c>
    </row>
    <row r="301" spans="7:20" ht="18" customHeight="1" x14ac:dyDescent="0.35">
      <c r="G301" t="str">
        <f ca="1">IFERROR(_xludf.aggregate(15,6,(ROW(BASE_PRODUTOS!$L$2:$L$1006)-ROW(BASE_PRODUTOS!$L$2)+1)/(BASE_PRODUTOS!$L$2:$L$1006&gt;0),ROWS($G$10:G301)),"")</f>
        <v/>
      </c>
      <c r="H301" s="9" t="str">
        <f ca="1">IF($G301="","",INDEX(BASE_PRODUTOS!$B$2:$B$1006,$G301))</f>
        <v/>
      </c>
      <c r="I301" s="9" t="str">
        <f ca="1">IF($G301="","",INDEX(BASE_PRODUTOS!$L$2:$L$1006,$G301))</f>
        <v/>
      </c>
      <c r="J301" s="9" t="str">
        <f ca="1">IF($G301="","",INDEX(BASE_PRODUTOS!$A$2:$A$1006,$G301))</f>
        <v/>
      </c>
      <c r="K301" s="9" t="str">
        <f ca="1">IF($G301="","",INDEX(BASE_PRODUTOS!$C$2:$C$1006,$G301))</f>
        <v/>
      </c>
      <c r="L301" s="9" t="str">
        <f ca="1">IF($G301="","",INDEX(BASE_PRODUTOS!$E$2:$E$1006,$G301))</f>
        <v/>
      </c>
      <c r="M301" s="9" t="str">
        <f ca="1">IF($G301="","",INDEX(BASE_PRODUTOS!$F$2:$F$1006,$G301))</f>
        <v/>
      </c>
      <c r="N301" s="9" t="str">
        <f ca="1">IF($G301="","",INDEX(BASE_PRODUTOS!$G$2:$G$1006,$G301))</f>
        <v/>
      </c>
      <c r="O301" s="9" t="str">
        <f ca="1">IF($G301="","",INDEX(BASE_PRODUTOS!$H$2:$H$1006,$G301))</f>
        <v/>
      </c>
      <c r="P301" s="9" t="str">
        <f ca="1">IF($G301="","",INDEX(BASE_PRODUTOS!$I$2:$I$1006,$G301))</f>
        <v/>
      </c>
      <c r="Q301" s="9" t="str">
        <f ca="1">IF($G301="","",INDEX(BASE_PRODUTOS!$J$2:$J$1006,$G301))</f>
        <v/>
      </c>
      <c r="R301" s="9" t="str">
        <f ca="1">IF($G301="","",INDEX(BASE_PRODUTOS!$M$2:$M$1006,$G301))</f>
        <v/>
      </c>
      <c r="S301" s="9" t="str">
        <f ca="1">IF($G301="","",INDEX(BASE_PRODUTOS!$N$2:$N$1006,$G301))</f>
        <v/>
      </c>
      <c r="T301" s="9" t="str">
        <f ca="1">IF($G301="","",INDEX(BASE_PRODUTOS!$D$2:$D$1006,$G301))</f>
        <v/>
      </c>
    </row>
    <row r="302" spans="7:20" ht="18" customHeight="1" x14ac:dyDescent="0.35">
      <c r="G302" t="str">
        <f ca="1">IFERROR(_xludf.aggregate(15,6,(ROW(BASE_PRODUTOS!$L$2:$L$1006)-ROW(BASE_PRODUTOS!$L$2)+1)/(BASE_PRODUTOS!$L$2:$L$1006&gt;0),ROWS($G$10:G302)),"")</f>
        <v/>
      </c>
      <c r="H302" s="9" t="str">
        <f ca="1">IF($G302="","",INDEX(BASE_PRODUTOS!$B$2:$B$1006,$G302))</f>
        <v/>
      </c>
      <c r="I302" s="9" t="str">
        <f ca="1">IF($G302="","",INDEX(BASE_PRODUTOS!$L$2:$L$1006,$G302))</f>
        <v/>
      </c>
      <c r="J302" s="9" t="str">
        <f ca="1">IF($G302="","",INDEX(BASE_PRODUTOS!$A$2:$A$1006,$G302))</f>
        <v/>
      </c>
      <c r="K302" s="9" t="str">
        <f ca="1">IF($G302="","",INDEX(BASE_PRODUTOS!$C$2:$C$1006,$G302))</f>
        <v/>
      </c>
      <c r="L302" s="9" t="str">
        <f ca="1">IF($G302="","",INDEX(BASE_PRODUTOS!$E$2:$E$1006,$G302))</f>
        <v/>
      </c>
      <c r="M302" s="9" t="str">
        <f ca="1">IF($G302="","",INDEX(BASE_PRODUTOS!$F$2:$F$1006,$G302))</f>
        <v/>
      </c>
      <c r="N302" s="9" t="str">
        <f ca="1">IF($G302="","",INDEX(BASE_PRODUTOS!$G$2:$G$1006,$G302))</f>
        <v/>
      </c>
      <c r="O302" s="9" t="str">
        <f ca="1">IF($G302="","",INDEX(BASE_PRODUTOS!$H$2:$H$1006,$G302))</f>
        <v/>
      </c>
      <c r="P302" s="9" t="str">
        <f ca="1">IF($G302="","",INDEX(BASE_PRODUTOS!$I$2:$I$1006,$G302))</f>
        <v/>
      </c>
      <c r="Q302" s="9" t="str">
        <f ca="1">IF($G302="","",INDEX(BASE_PRODUTOS!$J$2:$J$1006,$G302))</f>
        <v/>
      </c>
      <c r="R302" s="9" t="str">
        <f ca="1">IF($G302="","",INDEX(BASE_PRODUTOS!$M$2:$M$1006,$G302))</f>
        <v/>
      </c>
      <c r="S302" s="9" t="str">
        <f ca="1">IF($G302="","",INDEX(BASE_PRODUTOS!$N$2:$N$1006,$G302))</f>
        <v/>
      </c>
      <c r="T302" s="9" t="str">
        <f ca="1">IF($G302="","",INDEX(BASE_PRODUTOS!$D$2:$D$1006,$G302))</f>
        <v/>
      </c>
    </row>
    <row r="303" spans="7:20" ht="18" customHeight="1" x14ac:dyDescent="0.35">
      <c r="G303" t="str">
        <f ca="1">IFERROR(_xludf.aggregate(15,6,(ROW(BASE_PRODUTOS!$L$2:$L$1006)-ROW(BASE_PRODUTOS!$L$2)+1)/(BASE_PRODUTOS!$L$2:$L$1006&gt;0),ROWS($G$10:G303)),"")</f>
        <v/>
      </c>
      <c r="H303" s="9" t="str">
        <f ca="1">IF($G303="","",INDEX(BASE_PRODUTOS!$B$2:$B$1006,$G303))</f>
        <v/>
      </c>
      <c r="I303" s="9" t="str">
        <f ca="1">IF($G303="","",INDEX(BASE_PRODUTOS!$L$2:$L$1006,$G303))</f>
        <v/>
      </c>
      <c r="J303" s="9" t="str">
        <f ca="1">IF($G303="","",INDEX(BASE_PRODUTOS!$A$2:$A$1006,$G303))</f>
        <v/>
      </c>
      <c r="K303" s="9" t="str">
        <f ca="1">IF($G303="","",INDEX(BASE_PRODUTOS!$C$2:$C$1006,$G303))</f>
        <v/>
      </c>
      <c r="L303" s="9" t="str">
        <f ca="1">IF($G303="","",INDEX(BASE_PRODUTOS!$E$2:$E$1006,$G303))</f>
        <v/>
      </c>
      <c r="M303" s="9" t="str">
        <f ca="1">IF($G303="","",INDEX(BASE_PRODUTOS!$F$2:$F$1006,$G303))</f>
        <v/>
      </c>
      <c r="N303" s="9" t="str">
        <f ca="1">IF($G303="","",INDEX(BASE_PRODUTOS!$G$2:$G$1006,$G303))</f>
        <v/>
      </c>
      <c r="O303" s="9" t="str">
        <f ca="1">IF($G303="","",INDEX(BASE_PRODUTOS!$H$2:$H$1006,$G303))</f>
        <v/>
      </c>
      <c r="P303" s="9" t="str">
        <f ca="1">IF($G303="","",INDEX(BASE_PRODUTOS!$I$2:$I$1006,$G303))</f>
        <v/>
      </c>
      <c r="Q303" s="9" t="str">
        <f ca="1">IF($G303="","",INDEX(BASE_PRODUTOS!$J$2:$J$1006,$G303))</f>
        <v/>
      </c>
      <c r="R303" s="9" t="str">
        <f ca="1">IF($G303="","",INDEX(BASE_PRODUTOS!$M$2:$M$1006,$G303))</f>
        <v/>
      </c>
      <c r="S303" s="9" t="str">
        <f ca="1">IF($G303="","",INDEX(BASE_PRODUTOS!$N$2:$N$1006,$G303))</f>
        <v/>
      </c>
      <c r="T303" s="9" t="str">
        <f ca="1">IF($G303="","",INDEX(BASE_PRODUTOS!$D$2:$D$1006,$G303))</f>
        <v/>
      </c>
    </row>
    <row r="304" spans="7:20" ht="18" customHeight="1" x14ac:dyDescent="0.35">
      <c r="G304" t="str">
        <f ca="1">IFERROR(_xludf.aggregate(15,6,(ROW(BASE_PRODUTOS!$L$2:$L$1006)-ROW(BASE_PRODUTOS!$L$2)+1)/(BASE_PRODUTOS!$L$2:$L$1006&gt;0),ROWS($G$10:G304)),"")</f>
        <v/>
      </c>
      <c r="H304" s="9" t="str">
        <f ca="1">IF($G304="","",INDEX(BASE_PRODUTOS!$B$2:$B$1006,$G304))</f>
        <v/>
      </c>
      <c r="I304" s="9" t="str">
        <f ca="1">IF($G304="","",INDEX(BASE_PRODUTOS!$L$2:$L$1006,$G304))</f>
        <v/>
      </c>
      <c r="J304" s="9" t="str">
        <f ca="1">IF($G304="","",INDEX(BASE_PRODUTOS!$A$2:$A$1006,$G304))</f>
        <v/>
      </c>
      <c r="K304" s="9" t="str">
        <f ca="1">IF($G304="","",INDEX(BASE_PRODUTOS!$C$2:$C$1006,$G304))</f>
        <v/>
      </c>
      <c r="L304" s="9" t="str">
        <f ca="1">IF($G304="","",INDEX(BASE_PRODUTOS!$E$2:$E$1006,$G304))</f>
        <v/>
      </c>
      <c r="M304" s="9" t="str">
        <f ca="1">IF($G304="","",INDEX(BASE_PRODUTOS!$F$2:$F$1006,$G304))</f>
        <v/>
      </c>
      <c r="N304" s="9" t="str">
        <f ca="1">IF($G304="","",INDEX(BASE_PRODUTOS!$G$2:$G$1006,$G304))</f>
        <v/>
      </c>
      <c r="O304" s="9" t="str">
        <f ca="1">IF($G304="","",INDEX(BASE_PRODUTOS!$H$2:$H$1006,$G304))</f>
        <v/>
      </c>
      <c r="P304" s="9" t="str">
        <f ca="1">IF($G304="","",INDEX(BASE_PRODUTOS!$I$2:$I$1006,$G304))</f>
        <v/>
      </c>
      <c r="Q304" s="9" t="str">
        <f ca="1">IF($G304="","",INDEX(BASE_PRODUTOS!$J$2:$J$1006,$G304))</f>
        <v/>
      </c>
      <c r="R304" s="9" t="str">
        <f ca="1">IF($G304="","",INDEX(BASE_PRODUTOS!$M$2:$M$1006,$G304))</f>
        <v/>
      </c>
      <c r="S304" s="9" t="str">
        <f ca="1">IF($G304="","",INDEX(BASE_PRODUTOS!$N$2:$N$1006,$G304))</f>
        <v/>
      </c>
      <c r="T304" s="9" t="str">
        <f ca="1">IF($G304="","",INDEX(BASE_PRODUTOS!$D$2:$D$1006,$G304))</f>
        <v/>
      </c>
    </row>
    <row r="305" spans="7:20" ht="18" customHeight="1" x14ac:dyDescent="0.35">
      <c r="G305" t="str">
        <f ca="1">IFERROR(_xludf.aggregate(15,6,(ROW(BASE_PRODUTOS!$L$2:$L$1006)-ROW(BASE_PRODUTOS!$L$2)+1)/(BASE_PRODUTOS!$L$2:$L$1006&gt;0),ROWS($G$10:G305)),"")</f>
        <v/>
      </c>
      <c r="H305" s="9" t="str">
        <f ca="1">IF($G305="","",INDEX(BASE_PRODUTOS!$B$2:$B$1006,$G305))</f>
        <v/>
      </c>
      <c r="I305" s="9" t="str">
        <f ca="1">IF($G305="","",INDEX(BASE_PRODUTOS!$L$2:$L$1006,$G305))</f>
        <v/>
      </c>
      <c r="J305" s="9" t="str">
        <f ca="1">IF($G305="","",INDEX(BASE_PRODUTOS!$A$2:$A$1006,$G305))</f>
        <v/>
      </c>
      <c r="K305" s="9" t="str">
        <f ca="1">IF($G305="","",INDEX(BASE_PRODUTOS!$C$2:$C$1006,$G305))</f>
        <v/>
      </c>
      <c r="L305" s="9" t="str">
        <f ca="1">IF($G305="","",INDEX(BASE_PRODUTOS!$E$2:$E$1006,$G305))</f>
        <v/>
      </c>
      <c r="M305" s="9" t="str">
        <f ca="1">IF($G305="","",INDEX(BASE_PRODUTOS!$F$2:$F$1006,$G305))</f>
        <v/>
      </c>
      <c r="N305" s="9" t="str">
        <f ca="1">IF($G305="","",INDEX(BASE_PRODUTOS!$G$2:$G$1006,$G305))</f>
        <v/>
      </c>
      <c r="O305" s="9" t="str">
        <f ca="1">IF($G305="","",INDEX(BASE_PRODUTOS!$H$2:$H$1006,$G305))</f>
        <v/>
      </c>
      <c r="P305" s="9" t="str">
        <f ca="1">IF($G305="","",INDEX(BASE_PRODUTOS!$I$2:$I$1006,$G305))</f>
        <v/>
      </c>
      <c r="Q305" s="9" t="str">
        <f ca="1">IF($G305="","",INDEX(BASE_PRODUTOS!$J$2:$J$1006,$G305))</f>
        <v/>
      </c>
      <c r="R305" s="9" t="str">
        <f ca="1">IF($G305="","",INDEX(BASE_PRODUTOS!$M$2:$M$1006,$G305))</f>
        <v/>
      </c>
      <c r="S305" s="9" t="str">
        <f ca="1">IF($G305="","",INDEX(BASE_PRODUTOS!$N$2:$N$1006,$G305))</f>
        <v/>
      </c>
      <c r="T305" s="9" t="str">
        <f ca="1">IF($G305="","",INDEX(BASE_PRODUTOS!$D$2:$D$1006,$G305))</f>
        <v/>
      </c>
    </row>
    <row r="306" spans="7:20" ht="18" customHeight="1" x14ac:dyDescent="0.35">
      <c r="G306" t="str">
        <f ca="1">IFERROR(_xludf.aggregate(15,6,(ROW(BASE_PRODUTOS!$L$2:$L$1006)-ROW(BASE_PRODUTOS!$L$2)+1)/(BASE_PRODUTOS!$L$2:$L$1006&gt;0),ROWS($G$10:G306)),"")</f>
        <v/>
      </c>
      <c r="H306" s="9" t="str">
        <f ca="1">IF($G306="","",INDEX(BASE_PRODUTOS!$B$2:$B$1006,$G306))</f>
        <v/>
      </c>
      <c r="I306" s="9" t="str">
        <f ca="1">IF($G306="","",INDEX(BASE_PRODUTOS!$L$2:$L$1006,$G306))</f>
        <v/>
      </c>
      <c r="J306" s="9" t="str">
        <f ca="1">IF($G306="","",INDEX(BASE_PRODUTOS!$A$2:$A$1006,$G306))</f>
        <v/>
      </c>
      <c r="K306" s="9" t="str">
        <f ca="1">IF($G306="","",INDEX(BASE_PRODUTOS!$C$2:$C$1006,$G306))</f>
        <v/>
      </c>
      <c r="L306" s="9" t="str">
        <f ca="1">IF($G306="","",INDEX(BASE_PRODUTOS!$E$2:$E$1006,$G306))</f>
        <v/>
      </c>
      <c r="M306" s="9" t="str">
        <f ca="1">IF($G306="","",INDEX(BASE_PRODUTOS!$F$2:$F$1006,$G306))</f>
        <v/>
      </c>
      <c r="N306" s="9" t="str">
        <f ca="1">IF($G306="","",INDEX(BASE_PRODUTOS!$G$2:$G$1006,$G306))</f>
        <v/>
      </c>
      <c r="O306" s="9" t="str">
        <f ca="1">IF($G306="","",INDEX(BASE_PRODUTOS!$H$2:$H$1006,$G306))</f>
        <v/>
      </c>
      <c r="P306" s="9" t="str">
        <f ca="1">IF($G306="","",INDEX(BASE_PRODUTOS!$I$2:$I$1006,$G306))</f>
        <v/>
      </c>
      <c r="Q306" s="9" t="str">
        <f ca="1">IF($G306="","",INDEX(BASE_PRODUTOS!$J$2:$J$1006,$G306))</f>
        <v/>
      </c>
      <c r="R306" s="9" t="str">
        <f ca="1">IF($G306="","",INDEX(BASE_PRODUTOS!$M$2:$M$1006,$G306))</f>
        <v/>
      </c>
      <c r="S306" s="9" t="str">
        <f ca="1">IF($G306="","",INDEX(BASE_PRODUTOS!$N$2:$N$1006,$G306))</f>
        <v/>
      </c>
      <c r="T306" s="9" t="str">
        <f ca="1">IF($G306="","",INDEX(BASE_PRODUTOS!$D$2:$D$1006,$G306))</f>
        <v/>
      </c>
    </row>
    <row r="307" spans="7:20" ht="18" customHeight="1" x14ac:dyDescent="0.35">
      <c r="G307" t="str">
        <f ca="1">IFERROR(_xludf.aggregate(15,6,(ROW(BASE_PRODUTOS!$L$2:$L$1006)-ROW(BASE_PRODUTOS!$L$2)+1)/(BASE_PRODUTOS!$L$2:$L$1006&gt;0),ROWS($G$10:G307)),"")</f>
        <v/>
      </c>
      <c r="H307" s="9" t="str">
        <f ca="1">IF($G307="","",INDEX(BASE_PRODUTOS!$B$2:$B$1006,$G307))</f>
        <v/>
      </c>
      <c r="I307" s="9" t="str">
        <f ca="1">IF($G307="","",INDEX(BASE_PRODUTOS!$L$2:$L$1006,$G307))</f>
        <v/>
      </c>
      <c r="J307" s="9" t="str">
        <f ca="1">IF($G307="","",INDEX(BASE_PRODUTOS!$A$2:$A$1006,$G307))</f>
        <v/>
      </c>
      <c r="K307" s="9" t="str">
        <f ca="1">IF($G307="","",INDEX(BASE_PRODUTOS!$C$2:$C$1006,$G307))</f>
        <v/>
      </c>
      <c r="L307" s="9" t="str">
        <f ca="1">IF($G307="","",INDEX(BASE_PRODUTOS!$E$2:$E$1006,$G307))</f>
        <v/>
      </c>
      <c r="M307" s="9" t="str">
        <f ca="1">IF($G307="","",INDEX(BASE_PRODUTOS!$F$2:$F$1006,$G307))</f>
        <v/>
      </c>
      <c r="N307" s="9" t="str">
        <f ca="1">IF($G307="","",INDEX(BASE_PRODUTOS!$G$2:$G$1006,$G307))</f>
        <v/>
      </c>
      <c r="O307" s="9" t="str">
        <f ca="1">IF($G307="","",INDEX(BASE_PRODUTOS!$H$2:$H$1006,$G307))</f>
        <v/>
      </c>
      <c r="P307" s="9" t="str">
        <f ca="1">IF($G307="","",INDEX(BASE_PRODUTOS!$I$2:$I$1006,$G307))</f>
        <v/>
      </c>
      <c r="Q307" s="9" t="str">
        <f ca="1">IF($G307="","",INDEX(BASE_PRODUTOS!$J$2:$J$1006,$G307))</f>
        <v/>
      </c>
      <c r="R307" s="9" t="str">
        <f ca="1">IF($G307="","",INDEX(BASE_PRODUTOS!$M$2:$M$1006,$G307))</f>
        <v/>
      </c>
      <c r="S307" s="9" t="str">
        <f ca="1">IF($G307="","",INDEX(BASE_PRODUTOS!$N$2:$N$1006,$G307))</f>
        <v/>
      </c>
      <c r="T307" s="9" t="str">
        <f ca="1">IF($G307="","",INDEX(BASE_PRODUTOS!$D$2:$D$1006,$G307))</f>
        <v/>
      </c>
    </row>
    <row r="308" spans="7:20" ht="18" customHeight="1" x14ac:dyDescent="0.35">
      <c r="G308" t="str">
        <f ca="1">IFERROR(_xludf.aggregate(15,6,(ROW(BASE_PRODUTOS!$L$2:$L$1006)-ROW(BASE_PRODUTOS!$L$2)+1)/(BASE_PRODUTOS!$L$2:$L$1006&gt;0),ROWS($G$10:G308)),"")</f>
        <v/>
      </c>
      <c r="H308" s="9" t="str">
        <f ca="1">IF($G308="","",INDEX(BASE_PRODUTOS!$B$2:$B$1006,$G308))</f>
        <v/>
      </c>
      <c r="I308" s="9" t="str">
        <f ca="1">IF($G308="","",INDEX(BASE_PRODUTOS!$L$2:$L$1006,$G308))</f>
        <v/>
      </c>
      <c r="J308" s="9" t="str">
        <f ca="1">IF($G308="","",INDEX(BASE_PRODUTOS!$A$2:$A$1006,$G308))</f>
        <v/>
      </c>
      <c r="K308" s="9" t="str">
        <f ca="1">IF($G308="","",INDEX(BASE_PRODUTOS!$C$2:$C$1006,$G308))</f>
        <v/>
      </c>
      <c r="L308" s="9" t="str">
        <f ca="1">IF($G308="","",INDEX(BASE_PRODUTOS!$E$2:$E$1006,$G308))</f>
        <v/>
      </c>
      <c r="M308" s="9" t="str">
        <f ca="1">IF($G308="","",INDEX(BASE_PRODUTOS!$F$2:$F$1006,$G308))</f>
        <v/>
      </c>
      <c r="N308" s="9" t="str">
        <f ca="1">IF($G308="","",INDEX(BASE_PRODUTOS!$G$2:$G$1006,$G308))</f>
        <v/>
      </c>
      <c r="O308" s="9" t="str">
        <f ca="1">IF($G308="","",INDEX(BASE_PRODUTOS!$H$2:$H$1006,$G308))</f>
        <v/>
      </c>
      <c r="P308" s="9" t="str">
        <f ca="1">IF($G308="","",INDEX(BASE_PRODUTOS!$I$2:$I$1006,$G308))</f>
        <v/>
      </c>
      <c r="Q308" s="9" t="str">
        <f ca="1">IF($G308="","",INDEX(BASE_PRODUTOS!$J$2:$J$1006,$G308))</f>
        <v/>
      </c>
      <c r="R308" s="9" t="str">
        <f ca="1">IF($G308="","",INDEX(BASE_PRODUTOS!$M$2:$M$1006,$G308))</f>
        <v/>
      </c>
      <c r="S308" s="9" t="str">
        <f ca="1">IF($G308="","",INDEX(BASE_PRODUTOS!$N$2:$N$1006,$G308))</f>
        <v/>
      </c>
      <c r="T308" s="9" t="str">
        <f ca="1">IF($G308="","",INDEX(BASE_PRODUTOS!$D$2:$D$1006,$G308))</f>
        <v/>
      </c>
    </row>
    <row r="309" spans="7:20" ht="18" customHeight="1" x14ac:dyDescent="0.35">
      <c r="G309" t="str">
        <f ca="1">IFERROR(_xludf.aggregate(15,6,(ROW(BASE_PRODUTOS!$L$2:$L$1006)-ROW(BASE_PRODUTOS!$L$2)+1)/(BASE_PRODUTOS!$L$2:$L$1006&gt;0),ROWS($G$10:G309)),"")</f>
        <v/>
      </c>
      <c r="H309" s="9" t="str">
        <f ca="1">IF($G309="","",INDEX(BASE_PRODUTOS!$B$2:$B$1006,$G309))</f>
        <v/>
      </c>
      <c r="I309" s="9" t="str">
        <f ca="1">IF($G309="","",INDEX(BASE_PRODUTOS!$L$2:$L$1006,$G309))</f>
        <v/>
      </c>
      <c r="J309" s="9" t="str">
        <f ca="1">IF($G309="","",INDEX(BASE_PRODUTOS!$A$2:$A$1006,$G309))</f>
        <v/>
      </c>
      <c r="K309" s="9" t="str">
        <f ca="1">IF($G309="","",INDEX(BASE_PRODUTOS!$C$2:$C$1006,$G309))</f>
        <v/>
      </c>
      <c r="L309" s="9" t="str">
        <f ca="1">IF($G309="","",INDEX(BASE_PRODUTOS!$E$2:$E$1006,$G309))</f>
        <v/>
      </c>
      <c r="M309" s="9" t="str">
        <f ca="1">IF($G309="","",INDEX(BASE_PRODUTOS!$F$2:$F$1006,$G309))</f>
        <v/>
      </c>
      <c r="N309" s="9" t="str">
        <f ca="1">IF($G309="","",INDEX(BASE_PRODUTOS!$G$2:$G$1006,$G309))</f>
        <v/>
      </c>
      <c r="O309" s="9" t="str">
        <f ca="1">IF($G309="","",INDEX(BASE_PRODUTOS!$H$2:$H$1006,$G309))</f>
        <v/>
      </c>
      <c r="P309" s="9" t="str">
        <f ca="1">IF($G309="","",INDEX(BASE_PRODUTOS!$I$2:$I$1006,$G309))</f>
        <v/>
      </c>
      <c r="Q309" s="9" t="str">
        <f ca="1">IF($G309="","",INDEX(BASE_PRODUTOS!$J$2:$J$1006,$G309))</f>
        <v/>
      </c>
      <c r="R309" s="9" t="str">
        <f ca="1">IF($G309="","",INDEX(BASE_PRODUTOS!$M$2:$M$1006,$G309))</f>
        <v/>
      </c>
      <c r="S309" s="9" t="str">
        <f ca="1">IF($G309="","",INDEX(BASE_PRODUTOS!$N$2:$N$1006,$G309))</f>
        <v/>
      </c>
      <c r="T309" s="9" t="str">
        <f ca="1">IF($G309="","",INDEX(BASE_PRODUTOS!$D$2:$D$1006,$G309))</f>
        <v/>
      </c>
    </row>
    <row r="310" spans="7:20" ht="18" customHeight="1" x14ac:dyDescent="0.35">
      <c r="G310" t="str">
        <f ca="1">IFERROR(_xludf.aggregate(15,6,(ROW(BASE_PRODUTOS!$L$2:$L$1006)-ROW(BASE_PRODUTOS!$L$2)+1)/(BASE_PRODUTOS!$L$2:$L$1006&gt;0),ROWS($G$10:G310)),"")</f>
        <v/>
      </c>
      <c r="H310" s="9" t="str">
        <f ca="1">IF($G310="","",INDEX(BASE_PRODUTOS!$B$2:$B$1006,$G310))</f>
        <v/>
      </c>
      <c r="I310" s="9" t="str">
        <f ca="1">IF($G310="","",INDEX(BASE_PRODUTOS!$L$2:$L$1006,$G310))</f>
        <v/>
      </c>
      <c r="J310" s="9" t="str">
        <f ca="1">IF($G310="","",INDEX(BASE_PRODUTOS!$A$2:$A$1006,$G310))</f>
        <v/>
      </c>
      <c r="K310" s="9" t="str">
        <f ca="1">IF($G310="","",INDEX(BASE_PRODUTOS!$C$2:$C$1006,$G310))</f>
        <v/>
      </c>
      <c r="L310" s="9" t="str">
        <f ca="1">IF($G310="","",INDEX(BASE_PRODUTOS!$E$2:$E$1006,$G310))</f>
        <v/>
      </c>
      <c r="M310" s="9" t="str">
        <f ca="1">IF($G310="","",INDEX(BASE_PRODUTOS!$F$2:$F$1006,$G310))</f>
        <v/>
      </c>
      <c r="N310" s="9" t="str">
        <f ca="1">IF($G310="","",INDEX(BASE_PRODUTOS!$G$2:$G$1006,$G310))</f>
        <v/>
      </c>
      <c r="O310" s="9" t="str">
        <f ca="1">IF($G310="","",INDEX(BASE_PRODUTOS!$H$2:$H$1006,$G310))</f>
        <v/>
      </c>
      <c r="P310" s="9" t="str">
        <f ca="1">IF($G310="","",INDEX(BASE_PRODUTOS!$I$2:$I$1006,$G310))</f>
        <v/>
      </c>
      <c r="Q310" s="9" t="str">
        <f ca="1">IF($G310="","",INDEX(BASE_PRODUTOS!$J$2:$J$1006,$G310))</f>
        <v/>
      </c>
      <c r="R310" s="9" t="str">
        <f ca="1">IF($G310="","",INDEX(BASE_PRODUTOS!$M$2:$M$1006,$G310))</f>
        <v/>
      </c>
      <c r="S310" s="9" t="str">
        <f ca="1">IF($G310="","",INDEX(BASE_PRODUTOS!$N$2:$N$1006,$G310))</f>
        <v/>
      </c>
      <c r="T310" s="9" t="str">
        <f ca="1">IF($G310="","",INDEX(BASE_PRODUTOS!$D$2:$D$1006,$G310))</f>
        <v/>
      </c>
    </row>
    <row r="311" spans="7:20" ht="18" customHeight="1" x14ac:dyDescent="0.35">
      <c r="G311" t="str">
        <f ca="1">IFERROR(_xludf.aggregate(15,6,(ROW(BASE_PRODUTOS!$L$2:$L$1006)-ROW(BASE_PRODUTOS!$L$2)+1)/(BASE_PRODUTOS!$L$2:$L$1006&gt;0),ROWS($G$10:G311)),"")</f>
        <v/>
      </c>
      <c r="H311" s="9" t="str">
        <f ca="1">IF($G311="","",INDEX(BASE_PRODUTOS!$B$2:$B$1006,$G311))</f>
        <v/>
      </c>
      <c r="I311" s="9" t="str">
        <f ca="1">IF($G311="","",INDEX(BASE_PRODUTOS!$L$2:$L$1006,$G311))</f>
        <v/>
      </c>
      <c r="J311" s="9" t="str">
        <f ca="1">IF($G311="","",INDEX(BASE_PRODUTOS!$A$2:$A$1006,$G311))</f>
        <v/>
      </c>
      <c r="K311" s="9" t="str">
        <f ca="1">IF($G311="","",INDEX(BASE_PRODUTOS!$C$2:$C$1006,$G311))</f>
        <v/>
      </c>
      <c r="L311" s="9" t="str">
        <f ca="1">IF($G311="","",INDEX(BASE_PRODUTOS!$E$2:$E$1006,$G311))</f>
        <v/>
      </c>
      <c r="M311" s="9" t="str">
        <f ca="1">IF($G311="","",INDEX(BASE_PRODUTOS!$F$2:$F$1006,$G311))</f>
        <v/>
      </c>
      <c r="N311" s="9" t="str">
        <f ca="1">IF($G311="","",INDEX(BASE_PRODUTOS!$G$2:$G$1006,$G311))</f>
        <v/>
      </c>
      <c r="O311" s="9" t="str">
        <f ca="1">IF($G311="","",INDEX(BASE_PRODUTOS!$H$2:$H$1006,$G311))</f>
        <v/>
      </c>
      <c r="P311" s="9" t="str">
        <f ca="1">IF($G311="","",INDEX(BASE_PRODUTOS!$I$2:$I$1006,$G311))</f>
        <v/>
      </c>
      <c r="Q311" s="9" t="str">
        <f ca="1">IF($G311="","",INDEX(BASE_PRODUTOS!$J$2:$J$1006,$G311))</f>
        <v/>
      </c>
      <c r="R311" s="9" t="str">
        <f ca="1">IF($G311="","",INDEX(BASE_PRODUTOS!$M$2:$M$1006,$G311))</f>
        <v/>
      </c>
      <c r="S311" s="9" t="str">
        <f ca="1">IF($G311="","",INDEX(BASE_PRODUTOS!$N$2:$N$1006,$G311))</f>
        <v/>
      </c>
      <c r="T311" s="9" t="str">
        <f ca="1">IF($G311="","",INDEX(BASE_PRODUTOS!$D$2:$D$1006,$G311))</f>
        <v/>
      </c>
    </row>
    <row r="312" spans="7:20" ht="18" customHeight="1" x14ac:dyDescent="0.35">
      <c r="G312" t="str">
        <f ca="1">IFERROR(_xludf.aggregate(15,6,(ROW(BASE_PRODUTOS!$L$2:$L$1006)-ROW(BASE_PRODUTOS!$L$2)+1)/(BASE_PRODUTOS!$L$2:$L$1006&gt;0),ROWS($G$10:G312)),"")</f>
        <v/>
      </c>
      <c r="H312" s="9" t="str">
        <f ca="1">IF($G312="","",INDEX(BASE_PRODUTOS!$B$2:$B$1006,$G312))</f>
        <v/>
      </c>
      <c r="I312" s="9" t="str">
        <f ca="1">IF($G312="","",INDEX(BASE_PRODUTOS!$L$2:$L$1006,$G312))</f>
        <v/>
      </c>
      <c r="J312" s="9" t="str">
        <f ca="1">IF($G312="","",INDEX(BASE_PRODUTOS!$A$2:$A$1006,$G312))</f>
        <v/>
      </c>
      <c r="K312" s="9" t="str">
        <f ca="1">IF($G312="","",INDEX(BASE_PRODUTOS!$C$2:$C$1006,$G312))</f>
        <v/>
      </c>
      <c r="L312" s="9" t="str">
        <f ca="1">IF($G312="","",INDEX(BASE_PRODUTOS!$E$2:$E$1006,$G312))</f>
        <v/>
      </c>
      <c r="M312" s="9" t="str">
        <f ca="1">IF($G312="","",INDEX(BASE_PRODUTOS!$F$2:$F$1006,$G312))</f>
        <v/>
      </c>
      <c r="N312" s="9" t="str">
        <f ca="1">IF($G312="","",INDEX(BASE_PRODUTOS!$G$2:$G$1006,$G312))</f>
        <v/>
      </c>
      <c r="O312" s="9" t="str">
        <f ca="1">IF($G312="","",INDEX(BASE_PRODUTOS!$H$2:$H$1006,$G312))</f>
        <v/>
      </c>
      <c r="P312" s="9" t="str">
        <f ca="1">IF($G312="","",INDEX(BASE_PRODUTOS!$I$2:$I$1006,$G312))</f>
        <v/>
      </c>
      <c r="Q312" s="9" t="str">
        <f ca="1">IF($G312="","",INDEX(BASE_PRODUTOS!$J$2:$J$1006,$G312))</f>
        <v/>
      </c>
      <c r="R312" s="9" t="str">
        <f ca="1">IF($G312="","",INDEX(BASE_PRODUTOS!$M$2:$M$1006,$G312))</f>
        <v/>
      </c>
      <c r="S312" s="9" t="str">
        <f ca="1">IF($G312="","",INDEX(BASE_PRODUTOS!$N$2:$N$1006,$G312))</f>
        <v/>
      </c>
      <c r="T312" s="9" t="str">
        <f ca="1">IF($G312="","",INDEX(BASE_PRODUTOS!$D$2:$D$1006,$G312))</f>
        <v/>
      </c>
    </row>
    <row r="313" spans="7:20" ht="18" customHeight="1" x14ac:dyDescent="0.35">
      <c r="G313" t="str">
        <f ca="1">IFERROR(_xludf.aggregate(15,6,(ROW(BASE_PRODUTOS!$L$2:$L$1006)-ROW(BASE_PRODUTOS!$L$2)+1)/(BASE_PRODUTOS!$L$2:$L$1006&gt;0),ROWS($G$10:G313)),"")</f>
        <v/>
      </c>
      <c r="H313" s="9" t="str">
        <f ca="1">IF($G313="","",INDEX(BASE_PRODUTOS!$B$2:$B$1006,$G313))</f>
        <v/>
      </c>
      <c r="I313" s="9" t="str">
        <f ca="1">IF($G313="","",INDEX(BASE_PRODUTOS!$L$2:$L$1006,$G313))</f>
        <v/>
      </c>
      <c r="J313" s="9" t="str">
        <f ca="1">IF($G313="","",INDEX(BASE_PRODUTOS!$A$2:$A$1006,$G313))</f>
        <v/>
      </c>
      <c r="K313" s="9" t="str">
        <f ca="1">IF($G313="","",INDEX(BASE_PRODUTOS!$C$2:$C$1006,$G313))</f>
        <v/>
      </c>
      <c r="L313" s="9" t="str">
        <f ca="1">IF($G313="","",INDEX(BASE_PRODUTOS!$E$2:$E$1006,$G313))</f>
        <v/>
      </c>
      <c r="M313" s="9" t="str">
        <f ca="1">IF($G313="","",INDEX(BASE_PRODUTOS!$F$2:$F$1006,$G313))</f>
        <v/>
      </c>
      <c r="N313" s="9" t="str">
        <f ca="1">IF($G313="","",INDEX(BASE_PRODUTOS!$G$2:$G$1006,$G313))</f>
        <v/>
      </c>
      <c r="O313" s="9" t="str">
        <f ca="1">IF($G313="","",INDEX(BASE_PRODUTOS!$H$2:$H$1006,$G313))</f>
        <v/>
      </c>
      <c r="P313" s="9" t="str">
        <f ca="1">IF($G313="","",INDEX(BASE_PRODUTOS!$I$2:$I$1006,$G313))</f>
        <v/>
      </c>
      <c r="Q313" s="9" t="str">
        <f ca="1">IF($G313="","",INDEX(BASE_PRODUTOS!$J$2:$J$1006,$G313))</f>
        <v/>
      </c>
      <c r="R313" s="9" t="str">
        <f ca="1">IF($G313="","",INDEX(BASE_PRODUTOS!$M$2:$M$1006,$G313))</f>
        <v/>
      </c>
      <c r="S313" s="9" t="str">
        <f ca="1">IF($G313="","",INDEX(BASE_PRODUTOS!$N$2:$N$1006,$G313))</f>
        <v/>
      </c>
      <c r="T313" s="9" t="str">
        <f ca="1">IF($G313="","",INDEX(BASE_PRODUTOS!$D$2:$D$1006,$G313))</f>
        <v/>
      </c>
    </row>
    <row r="314" spans="7:20" ht="18" customHeight="1" x14ac:dyDescent="0.35">
      <c r="G314" t="str">
        <f ca="1">IFERROR(_xludf.aggregate(15,6,(ROW(BASE_PRODUTOS!$L$2:$L$1006)-ROW(BASE_PRODUTOS!$L$2)+1)/(BASE_PRODUTOS!$L$2:$L$1006&gt;0),ROWS($G$10:G314)),"")</f>
        <v/>
      </c>
      <c r="H314" s="9" t="str">
        <f ca="1">IF($G314="","",INDEX(BASE_PRODUTOS!$B$2:$B$1006,$G314))</f>
        <v/>
      </c>
      <c r="I314" s="9" t="str">
        <f ca="1">IF($G314="","",INDEX(BASE_PRODUTOS!$L$2:$L$1006,$G314))</f>
        <v/>
      </c>
      <c r="J314" s="9" t="str">
        <f ca="1">IF($G314="","",INDEX(BASE_PRODUTOS!$A$2:$A$1006,$G314))</f>
        <v/>
      </c>
      <c r="K314" s="9" t="str">
        <f ca="1">IF($G314="","",INDEX(BASE_PRODUTOS!$C$2:$C$1006,$G314))</f>
        <v/>
      </c>
      <c r="L314" s="9" t="str">
        <f ca="1">IF($G314="","",INDEX(BASE_PRODUTOS!$E$2:$E$1006,$G314))</f>
        <v/>
      </c>
      <c r="M314" s="9" t="str">
        <f ca="1">IF($G314="","",INDEX(BASE_PRODUTOS!$F$2:$F$1006,$G314))</f>
        <v/>
      </c>
      <c r="N314" s="9" t="str">
        <f ca="1">IF($G314="","",INDEX(BASE_PRODUTOS!$G$2:$G$1006,$G314))</f>
        <v/>
      </c>
      <c r="O314" s="9" t="str">
        <f ca="1">IF($G314="","",INDEX(BASE_PRODUTOS!$H$2:$H$1006,$G314))</f>
        <v/>
      </c>
      <c r="P314" s="9" t="str">
        <f ca="1">IF($G314="","",INDEX(BASE_PRODUTOS!$I$2:$I$1006,$G314))</f>
        <v/>
      </c>
      <c r="Q314" s="9" t="str">
        <f ca="1">IF($G314="","",INDEX(BASE_PRODUTOS!$J$2:$J$1006,$G314))</f>
        <v/>
      </c>
      <c r="R314" s="9" t="str">
        <f ca="1">IF($G314="","",INDEX(BASE_PRODUTOS!$M$2:$M$1006,$G314))</f>
        <v/>
      </c>
      <c r="S314" s="9" t="str">
        <f ca="1">IF($G314="","",INDEX(BASE_PRODUTOS!$N$2:$N$1006,$G314))</f>
        <v/>
      </c>
      <c r="T314" s="9" t="str">
        <f ca="1">IF($G314="","",INDEX(BASE_PRODUTOS!$D$2:$D$1006,$G314))</f>
        <v/>
      </c>
    </row>
    <row r="315" spans="7:20" ht="18" customHeight="1" x14ac:dyDescent="0.35">
      <c r="G315" t="str">
        <f ca="1">IFERROR(_xludf.aggregate(15,6,(ROW(BASE_PRODUTOS!$L$2:$L$1006)-ROW(BASE_PRODUTOS!$L$2)+1)/(BASE_PRODUTOS!$L$2:$L$1006&gt;0),ROWS($G$10:G315)),"")</f>
        <v/>
      </c>
      <c r="H315" s="9" t="str">
        <f ca="1">IF($G315="","",INDEX(BASE_PRODUTOS!$B$2:$B$1006,$G315))</f>
        <v/>
      </c>
      <c r="I315" s="9" t="str">
        <f ca="1">IF($G315="","",INDEX(BASE_PRODUTOS!$L$2:$L$1006,$G315))</f>
        <v/>
      </c>
      <c r="J315" s="9" t="str">
        <f ca="1">IF($G315="","",INDEX(BASE_PRODUTOS!$A$2:$A$1006,$G315))</f>
        <v/>
      </c>
      <c r="K315" s="9" t="str">
        <f ca="1">IF($G315="","",INDEX(BASE_PRODUTOS!$C$2:$C$1006,$G315))</f>
        <v/>
      </c>
      <c r="L315" s="9" t="str">
        <f ca="1">IF($G315="","",INDEX(BASE_PRODUTOS!$E$2:$E$1006,$G315))</f>
        <v/>
      </c>
      <c r="M315" s="9" t="str">
        <f ca="1">IF($G315="","",INDEX(BASE_PRODUTOS!$F$2:$F$1006,$G315))</f>
        <v/>
      </c>
      <c r="N315" s="9" t="str">
        <f ca="1">IF($G315="","",INDEX(BASE_PRODUTOS!$G$2:$G$1006,$G315))</f>
        <v/>
      </c>
      <c r="O315" s="9" t="str">
        <f ca="1">IF($G315="","",INDEX(BASE_PRODUTOS!$H$2:$H$1006,$G315))</f>
        <v/>
      </c>
      <c r="P315" s="9" t="str">
        <f ca="1">IF($G315="","",INDEX(BASE_PRODUTOS!$I$2:$I$1006,$G315))</f>
        <v/>
      </c>
      <c r="Q315" s="9" t="str">
        <f ca="1">IF($G315="","",INDEX(BASE_PRODUTOS!$J$2:$J$1006,$G315))</f>
        <v/>
      </c>
      <c r="R315" s="9" t="str">
        <f ca="1">IF($G315="","",INDEX(BASE_PRODUTOS!$M$2:$M$1006,$G315))</f>
        <v/>
      </c>
      <c r="S315" s="9" t="str">
        <f ca="1">IF($G315="","",INDEX(BASE_PRODUTOS!$N$2:$N$1006,$G315))</f>
        <v/>
      </c>
      <c r="T315" s="9" t="str">
        <f ca="1">IF($G315="","",INDEX(BASE_PRODUTOS!$D$2:$D$1006,$G315))</f>
        <v/>
      </c>
    </row>
    <row r="316" spans="7:20" ht="18" customHeight="1" x14ac:dyDescent="0.35">
      <c r="G316" t="str">
        <f ca="1">IFERROR(_xludf.aggregate(15,6,(ROW(BASE_PRODUTOS!$L$2:$L$1006)-ROW(BASE_PRODUTOS!$L$2)+1)/(BASE_PRODUTOS!$L$2:$L$1006&gt;0),ROWS($G$10:G316)),"")</f>
        <v/>
      </c>
      <c r="H316" s="9" t="str">
        <f ca="1">IF($G316="","",INDEX(BASE_PRODUTOS!$B$2:$B$1006,$G316))</f>
        <v/>
      </c>
      <c r="I316" s="9" t="str">
        <f ca="1">IF($G316="","",INDEX(BASE_PRODUTOS!$L$2:$L$1006,$G316))</f>
        <v/>
      </c>
      <c r="J316" s="9" t="str">
        <f ca="1">IF($G316="","",INDEX(BASE_PRODUTOS!$A$2:$A$1006,$G316))</f>
        <v/>
      </c>
      <c r="K316" s="9" t="str">
        <f ca="1">IF($G316="","",INDEX(BASE_PRODUTOS!$C$2:$C$1006,$G316))</f>
        <v/>
      </c>
      <c r="L316" s="9" t="str">
        <f ca="1">IF($G316="","",INDEX(BASE_PRODUTOS!$E$2:$E$1006,$G316))</f>
        <v/>
      </c>
      <c r="M316" s="9" t="str">
        <f ca="1">IF($G316="","",INDEX(BASE_PRODUTOS!$F$2:$F$1006,$G316))</f>
        <v/>
      </c>
      <c r="N316" s="9" t="str">
        <f ca="1">IF($G316="","",INDEX(BASE_PRODUTOS!$G$2:$G$1006,$G316))</f>
        <v/>
      </c>
      <c r="O316" s="9" t="str">
        <f ca="1">IF($G316="","",INDEX(BASE_PRODUTOS!$H$2:$H$1006,$G316))</f>
        <v/>
      </c>
      <c r="P316" s="9" t="str">
        <f ca="1">IF($G316="","",INDEX(BASE_PRODUTOS!$I$2:$I$1006,$G316))</f>
        <v/>
      </c>
      <c r="Q316" s="9" t="str">
        <f ca="1">IF($G316="","",INDEX(BASE_PRODUTOS!$J$2:$J$1006,$G316))</f>
        <v/>
      </c>
      <c r="R316" s="9" t="str">
        <f ca="1">IF($G316="","",INDEX(BASE_PRODUTOS!$M$2:$M$1006,$G316))</f>
        <v/>
      </c>
      <c r="S316" s="9" t="str">
        <f ca="1">IF($G316="","",INDEX(BASE_PRODUTOS!$N$2:$N$1006,$G316))</f>
        <v/>
      </c>
      <c r="T316" s="9" t="str">
        <f ca="1">IF($G316="","",INDEX(BASE_PRODUTOS!$D$2:$D$1006,$G316))</f>
        <v/>
      </c>
    </row>
    <row r="317" spans="7:20" ht="18" customHeight="1" x14ac:dyDescent="0.35">
      <c r="G317" t="str">
        <f ca="1">IFERROR(_xludf.aggregate(15,6,(ROW(BASE_PRODUTOS!$L$2:$L$1006)-ROW(BASE_PRODUTOS!$L$2)+1)/(BASE_PRODUTOS!$L$2:$L$1006&gt;0),ROWS($G$10:G317)),"")</f>
        <v/>
      </c>
      <c r="H317" s="9" t="str">
        <f ca="1">IF($G317="","",INDEX(BASE_PRODUTOS!$B$2:$B$1006,$G317))</f>
        <v/>
      </c>
      <c r="I317" s="9" t="str">
        <f ca="1">IF($G317="","",INDEX(BASE_PRODUTOS!$L$2:$L$1006,$G317))</f>
        <v/>
      </c>
      <c r="J317" s="9" t="str">
        <f ca="1">IF($G317="","",INDEX(BASE_PRODUTOS!$A$2:$A$1006,$G317))</f>
        <v/>
      </c>
      <c r="K317" s="9" t="str">
        <f ca="1">IF($G317="","",INDEX(BASE_PRODUTOS!$C$2:$C$1006,$G317))</f>
        <v/>
      </c>
      <c r="L317" s="9" t="str">
        <f ca="1">IF($G317="","",INDEX(BASE_PRODUTOS!$E$2:$E$1006,$G317))</f>
        <v/>
      </c>
      <c r="M317" s="9" t="str">
        <f ca="1">IF($G317="","",INDEX(BASE_PRODUTOS!$F$2:$F$1006,$G317))</f>
        <v/>
      </c>
      <c r="N317" s="9" t="str">
        <f ca="1">IF($G317="","",INDEX(BASE_PRODUTOS!$G$2:$G$1006,$G317))</f>
        <v/>
      </c>
      <c r="O317" s="9" t="str">
        <f ca="1">IF($G317="","",INDEX(BASE_PRODUTOS!$H$2:$H$1006,$G317))</f>
        <v/>
      </c>
      <c r="P317" s="9" t="str">
        <f ca="1">IF($G317="","",INDEX(BASE_PRODUTOS!$I$2:$I$1006,$G317))</f>
        <v/>
      </c>
      <c r="Q317" s="9" t="str">
        <f ca="1">IF($G317="","",INDEX(BASE_PRODUTOS!$J$2:$J$1006,$G317))</f>
        <v/>
      </c>
      <c r="R317" s="9" t="str">
        <f ca="1">IF($G317="","",INDEX(BASE_PRODUTOS!$M$2:$M$1006,$G317))</f>
        <v/>
      </c>
      <c r="S317" s="9" t="str">
        <f ca="1">IF($G317="","",INDEX(BASE_PRODUTOS!$N$2:$N$1006,$G317))</f>
        <v/>
      </c>
      <c r="T317" s="9" t="str">
        <f ca="1">IF($G317="","",INDEX(BASE_PRODUTOS!$D$2:$D$1006,$G317))</f>
        <v/>
      </c>
    </row>
    <row r="318" spans="7:20" ht="18" customHeight="1" x14ac:dyDescent="0.35">
      <c r="G318" t="str">
        <f ca="1">IFERROR(_xludf.aggregate(15,6,(ROW(BASE_PRODUTOS!$L$2:$L$1006)-ROW(BASE_PRODUTOS!$L$2)+1)/(BASE_PRODUTOS!$L$2:$L$1006&gt;0),ROWS($G$10:G318)),"")</f>
        <v/>
      </c>
      <c r="H318" s="9" t="str">
        <f ca="1">IF($G318="","",INDEX(BASE_PRODUTOS!$B$2:$B$1006,$G318))</f>
        <v/>
      </c>
      <c r="I318" s="9" t="str">
        <f ca="1">IF($G318="","",INDEX(BASE_PRODUTOS!$L$2:$L$1006,$G318))</f>
        <v/>
      </c>
      <c r="J318" s="9" t="str">
        <f ca="1">IF($G318="","",INDEX(BASE_PRODUTOS!$A$2:$A$1006,$G318))</f>
        <v/>
      </c>
      <c r="K318" s="9" t="str">
        <f ca="1">IF($G318="","",INDEX(BASE_PRODUTOS!$C$2:$C$1006,$G318))</f>
        <v/>
      </c>
      <c r="L318" s="9" t="str">
        <f ca="1">IF($G318="","",INDEX(BASE_PRODUTOS!$E$2:$E$1006,$G318))</f>
        <v/>
      </c>
      <c r="M318" s="9" t="str">
        <f ca="1">IF($G318="","",INDEX(BASE_PRODUTOS!$F$2:$F$1006,$G318))</f>
        <v/>
      </c>
      <c r="N318" s="9" t="str">
        <f ca="1">IF($G318="","",INDEX(BASE_PRODUTOS!$G$2:$G$1006,$G318))</f>
        <v/>
      </c>
      <c r="O318" s="9" t="str">
        <f ca="1">IF($G318="","",INDEX(BASE_PRODUTOS!$H$2:$H$1006,$G318))</f>
        <v/>
      </c>
      <c r="P318" s="9" t="str">
        <f ca="1">IF($G318="","",INDEX(BASE_PRODUTOS!$I$2:$I$1006,$G318))</f>
        <v/>
      </c>
      <c r="Q318" s="9" t="str">
        <f ca="1">IF($G318="","",INDEX(BASE_PRODUTOS!$J$2:$J$1006,$G318))</f>
        <v/>
      </c>
      <c r="R318" s="9" t="str">
        <f ca="1">IF($G318="","",INDEX(BASE_PRODUTOS!$M$2:$M$1006,$G318))</f>
        <v/>
      </c>
      <c r="S318" s="9" t="str">
        <f ca="1">IF($G318="","",INDEX(BASE_PRODUTOS!$N$2:$N$1006,$G318))</f>
        <v/>
      </c>
      <c r="T318" s="9" t="str">
        <f ca="1">IF($G318="","",INDEX(BASE_PRODUTOS!$D$2:$D$1006,$G318))</f>
        <v/>
      </c>
    </row>
    <row r="319" spans="7:20" ht="18" customHeight="1" x14ac:dyDescent="0.35">
      <c r="G319" t="str">
        <f ca="1">IFERROR(_xludf.aggregate(15,6,(ROW(BASE_PRODUTOS!$L$2:$L$1006)-ROW(BASE_PRODUTOS!$L$2)+1)/(BASE_PRODUTOS!$L$2:$L$1006&gt;0),ROWS($G$10:G319)),"")</f>
        <v/>
      </c>
      <c r="H319" s="9" t="str">
        <f ca="1">IF($G319="","",INDEX(BASE_PRODUTOS!$B$2:$B$1006,$G319))</f>
        <v/>
      </c>
      <c r="I319" s="9" t="str">
        <f ca="1">IF($G319="","",INDEX(BASE_PRODUTOS!$L$2:$L$1006,$G319))</f>
        <v/>
      </c>
      <c r="J319" s="9" t="str">
        <f ca="1">IF($G319="","",INDEX(BASE_PRODUTOS!$A$2:$A$1006,$G319))</f>
        <v/>
      </c>
      <c r="K319" s="9" t="str">
        <f ca="1">IF($G319="","",INDEX(BASE_PRODUTOS!$C$2:$C$1006,$G319))</f>
        <v/>
      </c>
      <c r="L319" s="9" t="str">
        <f ca="1">IF($G319="","",INDEX(BASE_PRODUTOS!$E$2:$E$1006,$G319))</f>
        <v/>
      </c>
      <c r="M319" s="9" t="str">
        <f ca="1">IF($G319="","",INDEX(BASE_PRODUTOS!$F$2:$F$1006,$G319))</f>
        <v/>
      </c>
      <c r="N319" s="9" t="str">
        <f ca="1">IF($G319="","",INDEX(BASE_PRODUTOS!$G$2:$G$1006,$G319))</f>
        <v/>
      </c>
      <c r="O319" s="9" t="str">
        <f ca="1">IF($G319="","",INDEX(BASE_PRODUTOS!$H$2:$H$1006,$G319))</f>
        <v/>
      </c>
      <c r="P319" s="9" t="str">
        <f ca="1">IF($G319="","",INDEX(BASE_PRODUTOS!$I$2:$I$1006,$G319))</f>
        <v/>
      </c>
      <c r="Q319" s="9" t="str">
        <f ca="1">IF($G319="","",INDEX(BASE_PRODUTOS!$J$2:$J$1006,$G319))</f>
        <v/>
      </c>
      <c r="R319" s="9" t="str">
        <f ca="1">IF($G319="","",INDEX(BASE_PRODUTOS!$M$2:$M$1006,$G319))</f>
        <v/>
      </c>
      <c r="S319" s="9" t="str">
        <f ca="1">IF($G319="","",INDEX(BASE_PRODUTOS!$N$2:$N$1006,$G319))</f>
        <v/>
      </c>
      <c r="T319" s="9" t="str">
        <f ca="1">IF($G319="","",INDEX(BASE_PRODUTOS!$D$2:$D$1006,$G319))</f>
        <v/>
      </c>
    </row>
    <row r="320" spans="7:20" ht="18" customHeight="1" x14ac:dyDescent="0.35">
      <c r="G320" t="str">
        <f ca="1">IFERROR(_xludf.aggregate(15,6,(ROW(BASE_PRODUTOS!$L$2:$L$1006)-ROW(BASE_PRODUTOS!$L$2)+1)/(BASE_PRODUTOS!$L$2:$L$1006&gt;0),ROWS($G$10:G320)),"")</f>
        <v/>
      </c>
      <c r="H320" s="9" t="str">
        <f ca="1">IF($G320="","",INDEX(BASE_PRODUTOS!$B$2:$B$1006,$G320))</f>
        <v/>
      </c>
      <c r="I320" s="9" t="str">
        <f ca="1">IF($G320="","",INDEX(BASE_PRODUTOS!$L$2:$L$1006,$G320))</f>
        <v/>
      </c>
      <c r="J320" s="9" t="str">
        <f ca="1">IF($G320="","",INDEX(BASE_PRODUTOS!$A$2:$A$1006,$G320))</f>
        <v/>
      </c>
      <c r="K320" s="9" t="str">
        <f ca="1">IF($G320="","",INDEX(BASE_PRODUTOS!$C$2:$C$1006,$G320))</f>
        <v/>
      </c>
      <c r="L320" s="9" t="str">
        <f ca="1">IF($G320="","",INDEX(BASE_PRODUTOS!$E$2:$E$1006,$G320))</f>
        <v/>
      </c>
      <c r="M320" s="9" t="str">
        <f ca="1">IF($G320="","",INDEX(BASE_PRODUTOS!$F$2:$F$1006,$G320))</f>
        <v/>
      </c>
      <c r="N320" s="9" t="str">
        <f ca="1">IF($G320="","",INDEX(BASE_PRODUTOS!$G$2:$G$1006,$G320))</f>
        <v/>
      </c>
      <c r="O320" s="9" t="str">
        <f ca="1">IF($G320="","",INDEX(BASE_PRODUTOS!$H$2:$H$1006,$G320))</f>
        <v/>
      </c>
      <c r="P320" s="9" t="str">
        <f ca="1">IF($G320="","",INDEX(BASE_PRODUTOS!$I$2:$I$1006,$G320))</f>
        <v/>
      </c>
      <c r="Q320" s="9" t="str">
        <f ca="1">IF($G320="","",INDEX(BASE_PRODUTOS!$J$2:$J$1006,$G320))</f>
        <v/>
      </c>
      <c r="R320" s="9" t="str">
        <f ca="1">IF($G320="","",INDEX(BASE_PRODUTOS!$M$2:$M$1006,$G320))</f>
        <v/>
      </c>
      <c r="S320" s="9" t="str">
        <f ca="1">IF($G320="","",INDEX(BASE_PRODUTOS!$N$2:$N$1006,$G320))</f>
        <v/>
      </c>
      <c r="T320" s="9" t="str">
        <f ca="1">IF($G320="","",INDEX(BASE_PRODUTOS!$D$2:$D$1006,$G320))</f>
        <v/>
      </c>
    </row>
    <row r="321" spans="7:20" ht="18" customHeight="1" x14ac:dyDescent="0.35">
      <c r="G321" t="str">
        <f ca="1">IFERROR(_xludf.aggregate(15,6,(ROW(BASE_PRODUTOS!$L$2:$L$1006)-ROW(BASE_PRODUTOS!$L$2)+1)/(BASE_PRODUTOS!$L$2:$L$1006&gt;0),ROWS($G$10:G321)),"")</f>
        <v/>
      </c>
      <c r="H321" s="9" t="str">
        <f ca="1">IF($G321="","",INDEX(BASE_PRODUTOS!$B$2:$B$1006,$G321))</f>
        <v/>
      </c>
      <c r="I321" s="9" t="str">
        <f ca="1">IF($G321="","",INDEX(BASE_PRODUTOS!$L$2:$L$1006,$G321))</f>
        <v/>
      </c>
      <c r="J321" s="9" t="str">
        <f ca="1">IF($G321="","",INDEX(BASE_PRODUTOS!$A$2:$A$1006,$G321))</f>
        <v/>
      </c>
      <c r="K321" s="9" t="str">
        <f ca="1">IF($G321="","",INDEX(BASE_PRODUTOS!$C$2:$C$1006,$G321))</f>
        <v/>
      </c>
      <c r="L321" s="9" t="str">
        <f ca="1">IF($G321="","",INDEX(BASE_PRODUTOS!$E$2:$E$1006,$G321))</f>
        <v/>
      </c>
      <c r="M321" s="9" t="str">
        <f ca="1">IF($G321="","",INDEX(BASE_PRODUTOS!$F$2:$F$1006,$G321))</f>
        <v/>
      </c>
      <c r="N321" s="9" t="str">
        <f ca="1">IF($G321="","",INDEX(BASE_PRODUTOS!$G$2:$G$1006,$G321))</f>
        <v/>
      </c>
      <c r="O321" s="9" t="str">
        <f ca="1">IF($G321="","",INDEX(BASE_PRODUTOS!$H$2:$H$1006,$G321))</f>
        <v/>
      </c>
      <c r="P321" s="9" t="str">
        <f ca="1">IF($G321="","",INDEX(BASE_PRODUTOS!$I$2:$I$1006,$G321))</f>
        <v/>
      </c>
      <c r="Q321" s="9" t="str">
        <f ca="1">IF($G321="","",INDEX(BASE_PRODUTOS!$J$2:$J$1006,$G321))</f>
        <v/>
      </c>
      <c r="R321" s="9" t="str">
        <f ca="1">IF($G321="","",INDEX(BASE_PRODUTOS!$M$2:$M$1006,$G321))</f>
        <v/>
      </c>
      <c r="S321" s="9" t="str">
        <f ca="1">IF($G321="","",INDEX(BASE_PRODUTOS!$N$2:$N$1006,$G321))</f>
        <v/>
      </c>
      <c r="T321" s="9" t="str">
        <f ca="1">IF($G321="","",INDEX(BASE_PRODUTOS!$D$2:$D$1006,$G321))</f>
        <v/>
      </c>
    </row>
    <row r="322" spans="7:20" ht="18" customHeight="1" x14ac:dyDescent="0.35">
      <c r="G322" t="str">
        <f ca="1">IFERROR(_xludf.aggregate(15,6,(ROW(BASE_PRODUTOS!$L$2:$L$1006)-ROW(BASE_PRODUTOS!$L$2)+1)/(BASE_PRODUTOS!$L$2:$L$1006&gt;0),ROWS($G$10:G322)),"")</f>
        <v/>
      </c>
      <c r="H322" s="9" t="str">
        <f ca="1">IF($G322="","",INDEX(BASE_PRODUTOS!$B$2:$B$1006,$G322))</f>
        <v/>
      </c>
      <c r="I322" s="9" t="str">
        <f ca="1">IF($G322="","",INDEX(BASE_PRODUTOS!$L$2:$L$1006,$G322))</f>
        <v/>
      </c>
      <c r="J322" s="9" t="str">
        <f ca="1">IF($G322="","",INDEX(BASE_PRODUTOS!$A$2:$A$1006,$G322))</f>
        <v/>
      </c>
      <c r="K322" s="9" t="str">
        <f ca="1">IF($G322="","",INDEX(BASE_PRODUTOS!$C$2:$C$1006,$G322))</f>
        <v/>
      </c>
      <c r="L322" s="9" t="str">
        <f ca="1">IF($G322="","",INDEX(BASE_PRODUTOS!$E$2:$E$1006,$G322))</f>
        <v/>
      </c>
      <c r="M322" s="9" t="str">
        <f ca="1">IF($G322="","",INDEX(BASE_PRODUTOS!$F$2:$F$1006,$G322))</f>
        <v/>
      </c>
      <c r="N322" s="9" t="str">
        <f ca="1">IF($G322="","",INDEX(BASE_PRODUTOS!$G$2:$G$1006,$G322))</f>
        <v/>
      </c>
      <c r="O322" s="9" t="str">
        <f ca="1">IF($G322="","",INDEX(BASE_PRODUTOS!$H$2:$H$1006,$G322))</f>
        <v/>
      </c>
      <c r="P322" s="9" t="str">
        <f ca="1">IF($G322="","",INDEX(BASE_PRODUTOS!$I$2:$I$1006,$G322))</f>
        <v/>
      </c>
      <c r="Q322" s="9" t="str">
        <f ca="1">IF($G322="","",INDEX(BASE_PRODUTOS!$J$2:$J$1006,$G322))</f>
        <v/>
      </c>
      <c r="R322" s="9" t="str">
        <f ca="1">IF($G322="","",INDEX(BASE_PRODUTOS!$M$2:$M$1006,$G322))</f>
        <v/>
      </c>
      <c r="S322" s="9" t="str">
        <f ca="1">IF($G322="","",INDEX(BASE_PRODUTOS!$N$2:$N$1006,$G322))</f>
        <v/>
      </c>
      <c r="T322" s="9" t="str">
        <f ca="1">IF($G322="","",INDEX(BASE_PRODUTOS!$D$2:$D$1006,$G322))</f>
        <v/>
      </c>
    </row>
    <row r="323" spans="7:20" ht="18" customHeight="1" x14ac:dyDescent="0.35">
      <c r="G323" t="str">
        <f ca="1">IFERROR(_xludf.aggregate(15,6,(ROW(BASE_PRODUTOS!$L$2:$L$1006)-ROW(BASE_PRODUTOS!$L$2)+1)/(BASE_PRODUTOS!$L$2:$L$1006&gt;0),ROWS($G$10:G323)),"")</f>
        <v/>
      </c>
      <c r="H323" s="9" t="str">
        <f ca="1">IF($G323="","",INDEX(BASE_PRODUTOS!$B$2:$B$1006,$G323))</f>
        <v/>
      </c>
      <c r="I323" s="9" t="str">
        <f ca="1">IF($G323="","",INDEX(BASE_PRODUTOS!$L$2:$L$1006,$G323))</f>
        <v/>
      </c>
      <c r="J323" s="9" t="str">
        <f ca="1">IF($G323="","",INDEX(BASE_PRODUTOS!$A$2:$A$1006,$G323))</f>
        <v/>
      </c>
      <c r="K323" s="9" t="str">
        <f ca="1">IF($G323="","",INDEX(BASE_PRODUTOS!$C$2:$C$1006,$G323))</f>
        <v/>
      </c>
      <c r="L323" s="9" t="str">
        <f ca="1">IF($G323="","",INDEX(BASE_PRODUTOS!$E$2:$E$1006,$G323))</f>
        <v/>
      </c>
      <c r="M323" s="9" t="str">
        <f ca="1">IF($G323="","",INDEX(BASE_PRODUTOS!$F$2:$F$1006,$G323))</f>
        <v/>
      </c>
      <c r="N323" s="9" t="str">
        <f ca="1">IF($G323="","",INDEX(BASE_PRODUTOS!$G$2:$G$1006,$G323))</f>
        <v/>
      </c>
      <c r="O323" s="9" t="str">
        <f ca="1">IF($G323="","",INDEX(BASE_PRODUTOS!$H$2:$H$1006,$G323))</f>
        <v/>
      </c>
      <c r="P323" s="9" t="str">
        <f ca="1">IF($G323="","",INDEX(BASE_PRODUTOS!$I$2:$I$1006,$G323))</f>
        <v/>
      </c>
      <c r="Q323" s="9" t="str">
        <f ca="1">IF($G323="","",INDEX(BASE_PRODUTOS!$J$2:$J$1006,$G323))</f>
        <v/>
      </c>
      <c r="R323" s="9" t="str">
        <f ca="1">IF($G323="","",INDEX(BASE_PRODUTOS!$M$2:$M$1006,$G323))</f>
        <v/>
      </c>
      <c r="S323" s="9" t="str">
        <f ca="1">IF($G323="","",INDEX(BASE_PRODUTOS!$N$2:$N$1006,$G323))</f>
        <v/>
      </c>
      <c r="T323" s="9" t="str">
        <f ca="1">IF($G323="","",INDEX(BASE_PRODUTOS!$D$2:$D$1006,$G323))</f>
        <v/>
      </c>
    </row>
    <row r="324" spans="7:20" ht="18" customHeight="1" x14ac:dyDescent="0.35">
      <c r="G324" t="str">
        <f ca="1">IFERROR(_xludf.aggregate(15,6,(ROW(BASE_PRODUTOS!$L$2:$L$1006)-ROW(BASE_PRODUTOS!$L$2)+1)/(BASE_PRODUTOS!$L$2:$L$1006&gt;0),ROWS($G$10:G324)),"")</f>
        <v/>
      </c>
      <c r="H324" s="9" t="str">
        <f ca="1">IF($G324="","",INDEX(BASE_PRODUTOS!$B$2:$B$1006,$G324))</f>
        <v/>
      </c>
      <c r="I324" s="9" t="str">
        <f ca="1">IF($G324="","",INDEX(BASE_PRODUTOS!$L$2:$L$1006,$G324))</f>
        <v/>
      </c>
      <c r="J324" s="9" t="str">
        <f ca="1">IF($G324="","",INDEX(BASE_PRODUTOS!$A$2:$A$1006,$G324))</f>
        <v/>
      </c>
      <c r="K324" s="9" t="str">
        <f ca="1">IF($G324="","",INDEX(BASE_PRODUTOS!$C$2:$C$1006,$G324))</f>
        <v/>
      </c>
      <c r="L324" s="9" t="str">
        <f ca="1">IF($G324="","",INDEX(BASE_PRODUTOS!$E$2:$E$1006,$G324))</f>
        <v/>
      </c>
      <c r="M324" s="9" t="str">
        <f ca="1">IF($G324="","",INDEX(BASE_PRODUTOS!$F$2:$F$1006,$G324))</f>
        <v/>
      </c>
      <c r="N324" s="9" t="str">
        <f ca="1">IF($G324="","",INDEX(BASE_PRODUTOS!$G$2:$G$1006,$G324))</f>
        <v/>
      </c>
      <c r="O324" s="9" t="str">
        <f ca="1">IF($G324="","",INDEX(BASE_PRODUTOS!$H$2:$H$1006,$G324))</f>
        <v/>
      </c>
      <c r="P324" s="9" t="str">
        <f ca="1">IF($G324="","",INDEX(BASE_PRODUTOS!$I$2:$I$1006,$G324))</f>
        <v/>
      </c>
      <c r="Q324" s="9" t="str">
        <f ca="1">IF($G324="","",INDEX(BASE_PRODUTOS!$J$2:$J$1006,$G324))</f>
        <v/>
      </c>
      <c r="R324" s="9" t="str">
        <f ca="1">IF($G324="","",INDEX(BASE_PRODUTOS!$M$2:$M$1006,$G324))</f>
        <v/>
      </c>
      <c r="S324" s="9" t="str">
        <f ca="1">IF($G324="","",INDEX(BASE_PRODUTOS!$N$2:$N$1006,$G324))</f>
        <v/>
      </c>
      <c r="T324" s="9" t="str">
        <f ca="1">IF($G324="","",INDEX(BASE_PRODUTOS!$D$2:$D$1006,$G324))</f>
        <v/>
      </c>
    </row>
    <row r="325" spans="7:20" ht="18" customHeight="1" x14ac:dyDescent="0.35">
      <c r="G325" t="str">
        <f ca="1">IFERROR(_xludf.aggregate(15,6,(ROW(BASE_PRODUTOS!$L$2:$L$1006)-ROW(BASE_PRODUTOS!$L$2)+1)/(BASE_PRODUTOS!$L$2:$L$1006&gt;0),ROWS($G$10:G325)),"")</f>
        <v/>
      </c>
      <c r="H325" s="9" t="str">
        <f ca="1">IF($G325="","",INDEX(BASE_PRODUTOS!$B$2:$B$1006,$G325))</f>
        <v/>
      </c>
      <c r="I325" s="9" t="str">
        <f ca="1">IF($G325="","",INDEX(BASE_PRODUTOS!$L$2:$L$1006,$G325))</f>
        <v/>
      </c>
      <c r="J325" s="9" t="str">
        <f ca="1">IF($G325="","",INDEX(BASE_PRODUTOS!$A$2:$A$1006,$G325))</f>
        <v/>
      </c>
      <c r="K325" s="9" t="str">
        <f ca="1">IF($G325="","",INDEX(BASE_PRODUTOS!$C$2:$C$1006,$G325))</f>
        <v/>
      </c>
      <c r="L325" s="9" t="str">
        <f ca="1">IF($G325="","",INDEX(BASE_PRODUTOS!$E$2:$E$1006,$G325))</f>
        <v/>
      </c>
      <c r="M325" s="9" t="str">
        <f ca="1">IF($G325="","",INDEX(BASE_PRODUTOS!$F$2:$F$1006,$G325))</f>
        <v/>
      </c>
      <c r="N325" s="9" t="str">
        <f ca="1">IF($G325="","",INDEX(BASE_PRODUTOS!$G$2:$G$1006,$G325))</f>
        <v/>
      </c>
      <c r="O325" s="9" t="str">
        <f ca="1">IF($G325="","",INDEX(BASE_PRODUTOS!$H$2:$H$1006,$G325))</f>
        <v/>
      </c>
      <c r="P325" s="9" t="str">
        <f ca="1">IF($G325="","",INDEX(BASE_PRODUTOS!$I$2:$I$1006,$G325))</f>
        <v/>
      </c>
      <c r="Q325" s="9" t="str">
        <f ca="1">IF($G325="","",INDEX(BASE_PRODUTOS!$J$2:$J$1006,$G325))</f>
        <v/>
      </c>
      <c r="R325" s="9" t="str">
        <f ca="1">IF($G325="","",INDEX(BASE_PRODUTOS!$M$2:$M$1006,$G325))</f>
        <v/>
      </c>
      <c r="S325" s="9" t="str">
        <f ca="1">IF($G325="","",INDEX(BASE_PRODUTOS!$N$2:$N$1006,$G325))</f>
        <v/>
      </c>
      <c r="T325" s="9" t="str">
        <f ca="1">IF($G325="","",INDEX(BASE_PRODUTOS!$D$2:$D$1006,$G325))</f>
        <v/>
      </c>
    </row>
    <row r="326" spans="7:20" ht="18" customHeight="1" x14ac:dyDescent="0.35">
      <c r="G326" t="str">
        <f ca="1">IFERROR(_xludf.aggregate(15,6,(ROW(BASE_PRODUTOS!$L$2:$L$1006)-ROW(BASE_PRODUTOS!$L$2)+1)/(BASE_PRODUTOS!$L$2:$L$1006&gt;0),ROWS($G$10:G326)),"")</f>
        <v/>
      </c>
      <c r="H326" s="9" t="str">
        <f ca="1">IF($G326="","",INDEX(BASE_PRODUTOS!$B$2:$B$1006,$G326))</f>
        <v/>
      </c>
      <c r="I326" s="9" t="str">
        <f ca="1">IF($G326="","",INDEX(BASE_PRODUTOS!$L$2:$L$1006,$G326))</f>
        <v/>
      </c>
      <c r="J326" s="9" t="str">
        <f ca="1">IF($G326="","",INDEX(BASE_PRODUTOS!$A$2:$A$1006,$G326))</f>
        <v/>
      </c>
      <c r="K326" s="9" t="str">
        <f ca="1">IF($G326="","",INDEX(BASE_PRODUTOS!$C$2:$C$1006,$G326))</f>
        <v/>
      </c>
      <c r="L326" s="9" t="str">
        <f ca="1">IF($G326="","",INDEX(BASE_PRODUTOS!$E$2:$E$1006,$G326))</f>
        <v/>
      </c>
      <c r="M326" s="9" t="str">
        <f ca="1">IF($G326="","",INDEX(BASE_PRODUTOS!$F$2:$F$1006,$G326))</f>
        <v/>
      </c>
      <c r="N326" s="9" t="str">
        <f ca="1">IF($G326="","",INDEX(BASE_PRODUTOS!$G$2:$G$1006,$G326))</f>
        <v/>
      </c>
      <c r="O326" s="9" t="str">
        <f ca="1">IF($G326="","",INDEX(BASE_PRODUTOS!$H$2:$H$1006,$G326))</f>
        <v/>
      </c>
      <c r="P326" s="9" t="str">
        <f ca="1">IF($G326="","",INDEX(BASE_PRODUTOS!$I$2:$I$1006,$G326))</f>
        <v/>
      </c>
      <c r="Q326" s="9" t="str">
        <f ca="1">IF($G326="","",INDEX(BASE_PRODUTOS!$J$2:$J$1006,$G326))</f>
        <v/>
      </c>
      <c r="R326" s="9" t="str">
        <f ca="1">IF($G326="","",INDEX(BASE_PRODUTOS!$M$2:$M$1006,$G326))</f>
        <v/>
      </c>
      <c r="S326" s="9" t="str">
        <f ca="1">IF($G326="","",INDEX(BASE_PRODUTOS!$N$2:$N$1006,$G326))</f>
        <v/>
      </c>
      <c r="T326" s="9" t="str">
        <f ca="1">IF($G326="","",INDEX(BASE_PRODUTOS!$D$2:$D$1006,$G326))</f>
        <v/>
      </c>
    </row>
    <row r="327" spans="7:20" ht="18" customHeight="1" x14ac:dyDescent="0.35">
      <c r="G327" t="str">
        <f ca="1">IFERROR(_xludf.aggregate(15,6,(ROW(BASE_PRODUTOS!$L$2:$L$1006)-ROW(BASE_PRODUTOS!$L$2)+1)/(BASE_PRODUTOS!$L$2:$L$1006&gt;0),ROWS($G$10:G327)),"")</f>
        <v/>
      </c>
      <c r="H327" s="9" t="str">
        <f ca="1">IF($G327="","",INDEX(BASE_PRODUTOS!$B$2:$B$1006,$G327))</f>
        <v/>
      </c>
      <c r="I327" s="9" t="str">
        <f ca="1">IF($G327="","",INDEX(BASE_PRODUTOS!$L$2:$L$1006,$G327))</f>
        <v/>
      </c>
      <c r="J327" s="9" t="str">
        <f ca="1">IF($G327="","",INDEX(BASE_PRODUTOS!$A$2:$A$1006,$G327))</f>
        <v/>
      </c>
      <c r="K327" s="9" t="str">
        <f ca="1">IF($G327="","",INDEX(BASE_PRODUTOS!$C$2:$C$1006,$G327))</f>
        <v/>
      </c>
      <c r="L327" s="9" t="str">
        <f ca="1">IF($G327="","",INDEX(BASE_PRODUTOS!$E$2:$E$1006,$G327))</f>
        <v/>
      </c>
      <c r="M327" s="9" t="str">
        <f ca="1">IF($G327="","",INDEX(BASE_PRODUTOS!$F$2:$F$1006,$G327))</f>
        <v/>
      </c>
      <c r="N327" s="9" t="str">
        <f ca="1">IF($G327="","",INDEX(BASE_PRODUTOS!$G$2:$G$1006,$G327))</f>
        <v/>
      </c>
      <c r="O327" s="9" t="str">
        <f ca="1">IF($G327="","",INDEX(BASE_PRODUTOS!$H$2:$H$1006,$G327))</f>
        <v/>
      </c>
      <c r="P327" s="9" t="str">
        <f ca="1">IF($G327="","",INDEX(BASE_PRODUTOS!$I$2:$I$1006,$G327))</f>
        <v/>
      </c>
      <c r="Q327" s="9" t="str">
        <f ca="1">IF($G327="","",INDEX(BASE_PRODUTOS!$J$2:$J$1006,$G327))</f>
        <v/>
      </c>
      <c r="R327" s="9" t="str">
        <f ca="1">IF($G327="","",INDEX(BASE_PRODUTOS!$M$2:$M$1006,$G327))</f>
        <v/>
      </c>
      <c r="S327" s="9" t="str">
        <f ca="1">IF($G327="","",INDEX(BASE_PRODUTOS!$N$2:$N$1006,$G327))</f>
        <v/>
      </c>
      <c r="T327" s="9" t="str">
        <f ca="1">IF($G327="","",INDEX(BASE_PRODUTOS!$D$2:$D$1006,$G327))</f>
        <v/>
      </c>
    </row>
    <row r="328" spans="7:20" ht="18" customHeight="1" x14ac:dyDescent="0.35">
      <c r="G328" t="str">
        <f ca="1">IFERROR(_xludf.aggregate(15,6,(ROW(BASE_PRODUTOS!$L$2:$L$1006)-ROW(BASE_PRODUTOS!$L$2)+1)/(BASE_PRODUTOS!$L$2:$L$1006&gt;0),ROWS($G$10:G328)),"")</f>
        <v/>
      </c>
      <c r="H328" s="9" t="str">
        <f ca="1">IF($G328="","",INDEX(BASE_PRODUTOS!$B$2:$B$1006,$G328))</f>
        <v/>
      </c>
      <c r="I328" s="9" t="str">
        <f ca="1">IF($G328="","",INDEX(BASE_PRODUTOS!$L$2:$L$1006,$G328))</f>
        <v/>
      </c>
      <c r="J328" s="9" t="str">
        <f ca="1">IF($G328="","",INDEX(BASE_PRODUTOS!$A$2:$A$1006,$G328))</f>
        <v/>
      </c>
      <c r="K328" s="9" t="str">
        <f ca="1">IF($G328="","",INDEX(BASE_PRODUTOS!$C$2:$C$1006,$G328))</f>
        <v/>
      </c>
      <c r="L328" s="9" t="str">
        <f ca="1">IF($G328="","",INDEX(BASE_PRODUTOS!$E$2:$E$1006,$G328))</f>
        <v/>
      </c>
      <c r="M328" s="9" t="str">
        <f ca="1">IF($G328="","",INDEX(BASE_PRODUTOS!$F$2:$F$1006,$G328))</f>
        <v/>
      </c>
      <c r="N328" s="9" t="str">
        <f ca="1">IF($G328="","",INDEX(BASE_PRODUTOS!$G$2:$G$1006,$G328))</f>
        <v/>
      </c>
      <c r="O328" s="9" t="str">
        <f ca="1">IF($G328="","",INDEX(BASE_PRODUTOS!$H$2:$H$1006,$G328))</f>
        <v/>
      </c>
      <c r="P328" s="9" t="str">
        <f ca="1">IF($G328="","",INDEX(BASE_PRODUTOS!$I$2:$I$1006,$G328))</f>
        <v/>
      </c>
      <c r="Q328" s="9" t="str">
        <f ca="1">IF($G328="","",INDEX(BASE_PRODUTOS!$J$2:$J$1006,$G328))</f>
        <v/>
      </c>
      <c r="R328" s="9" t="str">
        <f ca="1">IF($G328="","",INDEX(BASE_PRODUTOS!$M$2:$M$1006,$G328))</f>
        <v/>
      </c>
      <c r="S328" s="9" t="str">
        <f ca="1">IF($G328="","",INDEX(BASE_PRODUTOS!$N$2:$N$1006,$G328))</f>
        <v/>
      </c>
      <c r="T328" s="9" t="str">
        <f ca="1">IF($G328="","",INDEX(BASE_PRODUTOS!$D$2:$D$1006,$G328))</f>
        <v/>
      </c>
    </row>
    <row r="329" spans="7:20" ht="18" customHeight="1" x14ac:dyDescent="0.35">
      <c r="G329" t="str">
        <f ca="1">IFERROR(_xludf.aggregate(15,6,(ROW(BASE_PRODUTOS!$L$2:$L$1006)-ROW(BASE_PRODUTOS!$L$2)+1)/(BASE_PRODUTOS!$L$2:$L$1006&gt;0),ROWS($G$10:G329)),"")</f>
        <v/>
      </c>
      <c r="H329" s="9" t="str">
        <f ca="1">IF($G329="","",INDEX(BASE_PRODUTOS!$B$2:$B$1006,$G329))</f>
        <v/>
      </c>
      <c r="I329" s="9" t="str">
        <f ca="1">IF($G329="","",INDEX(BASE_PRODUTOS!$L$2:$L$1006,$G329))</f>
        <v/>
      </c>
      <c r="J329" s="9" t="str">
        <f ca="1">IF($G329="","",INDEX(BASE_PRODUTOS!$A$2:$A$1006,$G329))</f>
        <v/>
      </c>
      <c r="K329" s="9" t="str">
        <f ca="1">IF($G329="","",INDEX(BASE_PRODUTOS!$C$2:$C$1006,$G329))</f>
        <v/>
      </c>
      <c r="L329" s="9" t="str">
        <f ca="1">IF($G329="","",INDEX(BASE_PRODUTOS!$E$2:$E$1006,$G329))</f>
        <v/>
      </c>
      <c r="M329" s="9" t="str">
        <f ca="1">IF($G329="","",INDEX(BASE_PRODUTOS!$F$2:$F$1006,$G329))</f>
        <v/>
      </c>
      <c r="N329" s="9" t="str">
        <f ca="1">IF($G329="","",INDEX(BASE_PRODUTOS!$G$2:$G$1006,$G329))</f>
        <v/>
      </c>
      <c r="O329" s="9" t="str">
        <f ca="1">IF($G329="","",INDEX(BASE_PRODUTOS!$H$2:$H$1006,$G329))</f>
        <v/>
      </c>
      <c r="P329" s="9" t="str">
        <f ca="1">IF($G329="","",INDEX(BASE_PRODUTOS!$I$2:$I$1006,$G329))</f>
        <v/>
      </c>
      <c r="Q329" s="9" t="str">
        <f ca="1">IF($G329="","",INDEX(BASE_PRODUTOS!$J$2:$J$1006,$G329))</f>
        <v/>
      </c>
      <c r="R329" s="9" t="str">
        <f ca="1">IF($G329="","",INDEX(BASE_PRODUTOS!$M$2:$M$1006,$G329))</f>
        <v/>
      </c>
      <c r="S329" s="9" t="str">
        <f ca="1">IF($G329="","",INDEX(BASE_PRODUTOS!$N$2:$N$1006,$G329))</f>
        <v/>
      </c>
      <c r="T329" s="9" t="str">
        <f ca="1">IF($G329="","",INDEX(BASE_PRODUTOS!$D$2:$D$1006,$G329))</f>
        <v/>
      </c>
    </row>
    <row r="330" spans="7:20" ht="18" customHeight="1" x14ac:dyDescent="0.35">
      <c r="G330" t="str">
        <f ca="1">IFERROR(_xludf.aggregate(15,6,(ROW(BASE_PRODUTOS!$L$2:$L$1006)-ROW(BASE_PRODUTOS!$L$2)+1)/(BASE_PRODUTOS!$L$2:$L$1006&gt;0),ROWS($G$10:G330)),"")</f>
        <v/>
      </c>
      <c r="H330" s="9" t="str">
        <f ca="1">IF($G330="","",INDEX(BASE_PRODUTOS!$B$2:$B$1006,$G330))</f>
        <v/>
      </c>
      <c r="I330" s="9" t="str">
        <f ca="1">IF($G330="","",INDEX(BASE_PRODUTOS!$L$2:$L$1006,$G330))</f>
        <v/>
      </c>
      <c r="J330" s="9" t="str">
        <f ca="1">IF($G330="","",INDEX(BASE_PRODUTOS!$A$2:$A$1006,$G330))</f>
        <v/>
      </c>
      <c r="K330" s="9" t="str">
        <f ca="1">IF($G330="","",INDEX(BASE_PRODUTOS!$C$2:$C$1006,$G330))</f>
        <v/>
      </c>
      <c r="L330" s="9" t="str">
        <f ca="1">IF($G330="","",INDEX(BASE_PRODUTOS!$E$2:$E$1006,$G330))</f>
        <v/>
      </c>
      <c r="M330" s="9" t="str">
        <f ca="1">IF($G330="","",INDEX(BASE_PRODUTOS!$F$2:$F$1006,$G330))</f>
        <v/>
      </c>
      <c r="N330" s="9" t="str">
        <f ca="1">IF($G330="","",INDEX(BASE_PRODUTOS!$G$2:$G$1006,$G330))</f>
        <v/>
      </c>
      <c r="O330" s="9" t="str">
        <f ca="1">IF($G330="","",INDEX(BASE_PRODUTOS!$H$2:$H$1006,$G330))</f>
        <v/>
      </c>
      <c r="P330" s="9" t="str">
        <f ca="1">IF($G330="","",INDEX(BASE_PRODUTOS!$I$2:$I$1006,$G330))</f>
        <v/>
      </c>
      <c r="Q330" s="9" t="str">
        <f ca="1">IF($G330="","",INDEX(BASE_PRODUTOS!$J$2:$J$1006,$G330))</f>
        <v/>
      </c>
      <c r="R330" s="9" t="str">
        <f ca="1">IF($G330="","",INDEX(BASE_PRODUTOS!$M$2:$M$1006,$G330))</f>
        <v/>
      </c>
      <c r="S330" s="9" t="str">
        <f ca="1">IF($G330="","",INDEX(BASE_PRODUTOS!$N$2:$N$1006,$G330))</f>
        <v/>
      </c>
      <c r="T330" s="9" t="str">
        <f ca="1">IF($G330="","",INDEX(BASE_PRODUTOS!$D$2:$D$1006,$G330))</f>
        <v/>
      </c>
    </row>
    <row r="331" spans="7:20" ht="18" customHeight="1" x14ac:dyDescent="0.35">
      <c r="G331" t="str">
        <f ca="1">IFERROR(_xludf.aggregate(15,6,(ROW(BASE_PRODUTOS!$L$2:$L$1006)-ROW(BASE_PRODUTOS!$L$2)+1)/(BASE_PRODUTOS!$L$2:$L$1006&gt;0),ROWS($G$10:G331)),"")</f>
        <v/>
      </c>
      <c r="H331" s="9" t="str">
        <f ca="1">IF($G331="","",INDEX(BASE_PRODUTOS!$B$2:$B$1006,$G331))</f>
        <v/>
      </c>
      <c r="I331" s="9" t="str">
        <f ca="1">IF($G331="","",INDEX(BASE_PRODUTOS!$L$2:$L$1006,$G331))</f>
        <v/>
      </c>
      <c r="J331" s="9" t="str">
        <f ca="1">IF($G331="","",INDEX(BASE_PRODUTOS!$A$2:$A$1006,$G331))</f>
        <v/>
      </c>
      <c r="K331" s="9" t="str">
        <f ca="1">IF($G331="","",INDEX(BASE_PRODUTOS!$C$2:$C$1006,$G331))</f>
        <v/>
      </c>
      <c r="L331" s="9" t="str">
        <f ca="1">IF($G331="","",INDEX(BASE_PRODUTOS!$E$2:$E$1006,$G331))</f>
        <v/>
      </c>
      <c r="M331" s="9" t="str">
        <f ca="1">IF($G331="","",INDEX(BASE_PRODUTOS!$F$2:$F$1006,$G331))</f>
        <v/>
      </c>
      <c r="N331" s="9" t="str">
        <f ca="1">IF($G331="","",INDEX(BASE_PRODUTOS!$G$2:$G$1006,$G331))</f>
        <v/>
      </c>
      <c r="O331" s="9" t="str">
        <f ca="1">IF($G331="","",INDEX(BASE_PRODUTOS!$H$2:$H$1006,$G331))</f>
        <v/>
      </c>
      <c r="P331" s="9" t="str">
        <f ca="1">IF($G331="","",INDEX(BASE_PRODUTOS!$I$2:$I$1006,$G331))</f>
        <v/>
      </c>
      <c r="Q331" s="9" t="str">
        <f ca="1">IF($G331="","",INDEX(BASE_PRODUTOS!$J$2:$J$1006,$G331))</f>
        <v/>
      </c>
      <c r="R331" s="9" t="str">
        <f ca="1">IF($G331="","",INDEX(BASE_PRODUTOS!$M$2:$M$1006,$G331))</f>
        <v/>
      </c>
      <c r="S331" s="9" t="str">
        <f ca="1">IF($G331="","",INDEX(BASE_PRODUTOS!$N$2:$N$1006,$G331))</f>
        <v/>
      </c>
      <c r="T331" s="9" t="str">
        <f ca="1">IF($G331="","",INDEX(BASE_PRODUTOS!$D$2:$D$1006,$G331))</f>
        <v/>
      </c>
    </row>
    <row r="332" spans="7:20" ht="18" customHeight="1" x14ac:dyDescent="0.35">
      <c r="G332" t="str">
        <f ca="1">IFERROR(_xludf.aggregate(15,6,(ROW(BASE_PRODUTOS!$L$2:$L$1006)-ROW(BASE_PRODUTOS!$L$2)+1)/(BASE_PRODUTOS!$L$2:$L$1006&gt;0),ROWS($G$10:G332)),"")</f>
        <v/>
      </c>
      <c r="H332" s="9" t="str">
        <f ca="1">IF($G332="","",INDEX(BASE_PRODUTOS!$B$2:$B$1006,$G332))</f>
        <v/>
      </c>
      <c r="I332" s="9" t="str">
        <f ca="1">IF($G332="","",INDEX(BASE_PRODUTOS!$L$2:$L$1006,$G332))</f>
        <v/>
      </c>
      <c r="J332" s="9" t="str">
        <f ca="1">IF($G332="","",INDEX(BASE_PRODUTOS!$A$2:$A$1006,$G332))</f>
        <v/>
      </c>
      <c r="K332" s="9" t="str">
        <f ca="1">IF($G332="","",INDEX(BASE_PRODUTOS!$C$2:$C$1006,$G332))</f>
        <v/>
      </c>
      <c r="L332" s="9" t="str">
        <f ca="1">IF($G332="","",INDEX(BASE_PRODUTOS!$E$2:$E$1006,$G332))</f>
        <v/>
      </c>
      <c r="M332" s="9" t="str">
        <f ca="1">IF($G332="","",INDEX(BASE_PRODUTOS!$F$2:$F$1006,$G332))</f>
        <v/>
      </c>
      <c r="N332" s="9" t="str">
        <f ca="1">IF($G332="","",INDEX(BASE_PRODUTOS!$G$2:$G$1006,$G332))</f>
        <v/>
      </c>
      <c r="O332" s="9" t="str">
        <f ca="1">IF($G332="","",INDEX(BASE_PRODUTOS!$H$2:$H$1006,$G332))</f>
        <v/>
      </c>
      <c r="P332" s="9" t="str">
        <f ca="1">IF($G332="","",INDEX(BASE_PRODUTOS!$I$2:$I$1006,$G332))</f>
        <v/>
      </c>
      <c r="Q332" s="9" t="str">
        <f ca="1">IF($G332="","",INDEX(BASE_PRODUTOS!$J$2:$J$1006,$G332))</f>
        <v/>
      </c>
      <c r="R332" s="9" t="str">
        <f ca="1">IF($G332="","",INDEX(BASE_PRODUTOS!$M$2:$M$1006,$G332))</f>
        <v/>
      </c>
      <c r="S332" s="9" t="str">
        <f ca="1">IF($G332="","",INDEX(BASE_PRODUTOS!$N$2:$N$1006,$G332))</f>
        <v/>
      </c>
      <c r="T332" s="9" t="str">
        <f ca="1">IF($G332="","",INDEX(BASE_PRODUTOS!$D$2:$D$1006,$G332))</f>
        <v/>
      </c>
    </row>
    <row r="333" spans="7:20" ht="18" customHeight="1" x14ac:dyDescent="0.35">
      <c r="G333" t="str">
        <f ca="1">IFERROR(_xludf.aggregate(15,6,(ROW(BASE_PRODUTOS!$L$2:$L$1006)-ROW(BASE_PRODUTOS!$L$2)+1)/(BASE_PRODUTOS!$L$2:$L$1006&gt;0),ROWS($G$10:G333)),"")</f>
        <v/>
      </c>
      <c r="H333" s="9" t="str">
        <f ca="1">IF($G333="","",INDEX(BASE_PRODUTOS!$B$2:$B$1006,$G333))</f>
        <v/>
      </c>
      <c r="I333" s="9" t="str">
        <f ca="1">IF($G333="","",INDEX(BASE_PRODUTOS!$L$2:$L$1006,$G333))</f>
        <v/>
      </c>
      <c r="J333" s="9" t="str">
        <f ca="1">IF($G333="","",INDEX(BASE_PRODUTOS!$A$2:$A$1006,$G333))</f>
        <v/>
      </c>
      <c r="K333" s="9" t="str">
        <f ca="1">IF($G333="","",INDEX(BASE_PRODUTOS!$C$2:$C$1006,$G333))</f>
        <v/>
      </c>
      <c r="L333" s="9" t="str">
        <f ca="1">IF($G333="","",INDEX(BASE_PRODUTOS!$E$2:$E$1006,$G333))</f>
        <v/>
      </c>
      <c r="M333" s="9" t="str">
        <f ca="1">IF($G333="","",INDEX(BASE_PRODUTOS!$F$2:$F$1006,$G333))</f>
        <v/>
      </c>
      <c r="N333" s="9" t="str">
        <f ca="1">IF($G333="","",INDEX(BASE_PRODUTOS!$G$2:$G$1006,$G333))</f>
        <v/>
      </c>
      <c r="O333" s="9" t="str">
        <f ca="1">IF($G333="","",INDEX(BASE_PRODUTOS!$H$2:$H$1006,$G333))</f>
        <v/>
      </c>
      <c r="P333" s="9" t="str">
        <f ca="1">IF($G333="","",INDEX(BASE_PRODUTOS!$I$2:$I$1006,$G333))</f>
        <v/>
      </c>
      <c r="Q333" s="9" t="str">
        <f ca="1">IF($G333="","",INDEX(BASE_PRODUTOS!$J$2:$J$1006,$G333))</f>
        <v/>
      </c>
      <c r="R333" s="9" t="str">
        <f ca="1">IF($G333="","",INDEX(BASE_PRODUTOS!$M$2:$M$1006,$G333))</f>
        <v/>
      </c>
      <c r="S333" s="9" t="str">
        <f ca="1">IF($G333="","",INDEX(BASE_PRODUTOS!$N$2:$N$1006,$G333))</f>
        <v/>
      </c>
      <c r="T333" s="9" t="str">
        <f ca="1">IF($G333="","",INDEX(BASE_PRODUTOS!$D$2:$D$1006,$G333))</f>
        <v/>
      </c>
    </row>
    <row r="334" spans="7:20" ht="18" customHeight="1" x14ac:dyDescent="0.35">
      <c r="G334" t="str">
        <f ca="1">IFERROR(_xludf.aggregate(15,6,(ROW(BASE_PRODUTOS!$L$2:$L$1006)-ROW(BASE_PRODUTOS!$L$2)+1)/(BASE_PRODUTOS!$L$2:$L$1006&gt;0),ROWS($G$10:G334)),"")</f>
        <v/>
      </c>
      <c r="H334" s="9" t="str">
        <f ca="1">IF($G334="","",INDEX(BASE_PRODUTOS!$B$2:$B$1006,$G334))</f>
        <v/>
      </c>
      <c r="I334" s="9" t="str">
        <f ca="1">IF($G334="","",INDEX(BASE_PRODUTOS!$L$2:$L$1006,$G334))</f>
        <v/>
      </c>
      <c r="J334" s="9" t="str">
        <f ca="1">IF($G334="","",INDEX(BASE_PRODUTOS!$A$2:$A$1006,$G334))</f>
        <v/>
      </c>
      <c r="K334" s="9" t="str">
        <f ca="1">IF($G334="","",INDEX(BASE_PRODUTOS!$C$2:$C$1006,$G334))</f>
        <v/>
      </c>
      <c r="L334" s="9" t="str">
        <f ca="1">IF($G334="","",INDEX(BASE_PRODUTOS!$E$2:$E$1006,$G334))</f>
        <v/>
      </c>
      <c r="M334" s="9" t="str">
        <f ca="1">IF($G334="","",INDEX(BASE_PRODUTOS!$F$2:$F$1006,$G334))</f>
        <v/>
      </c>
      <c r="N334" s="9" t="str">
        <f ca="1">IF($G334="","",INDEX(BASE_PRODUTOS!$G$2:$G$1006,$G334))</f>
        <v/>
      </c>
      <c r="O334" s="9" t="str">
        <f ca="1">IF($G334="","",INDEX(BASE_PRODUTOS!$H$2:$H$1006,$G334))</f>
        <v/>
      </c>
      <c r="P334" s="9" t="str">
        <f ca="1">IF($G334="","",INDEX(BASE_PRODUTOS!$I$2:$I$1006,$G334))</f>
        <v/>
      </c>
      <c r="Q334" s="9" t="str">
        <f ca="1">IF($G334="","",INDEX(BASE_PRODUTOS!$J$2:$J$1006,$G334))</f>
        <v/>
      </c>
      <c r="R334" s="9" t="str">
        <f ca="1">IF($G334="","",INDEX(BASE_PRODUTOS!$M$2:$M$1006,$G334))</f>
        <v/>
      </c>
      <c r="S334" s="9" t="str">
        <f ca="1">IF($G334="","",INDEX(BASE_PRODUTOS!$N$2:$N$1006,$G334))</f>
        <v/>
      </c>
      <c r="T334" s="9" t="str">
        <f ca="1">IF($G334="","",INDEX(BASE_PRODUTOS!$D$2:$D$1006,$G334))</f>
        <v/>
      </c>
    </row>
    <row r="335" spans="7:20" ht="18" customHeight="1" x14ac:dyDescent="0.35">
      <c r="G335" t="str">
        <f ca="1">IFERROR(_xludf.aggregate(15,6,(ROW(BASE_PRODUTOS!$L$2:$L$1006)-ROW(BASE_PRODUTOS!$L$2)+1)/(BASE_PRODUTOS!$L$2:$L$1006&gt;0),ROWS($G$10:G335)),"")</f>
        <v/>
      </c>
      <c r="H335" s="9" t="str">
        <f ca="1">IF($G335="","",INDEX(BASE_PRODUTOS!$B$2:$B$1006,$G335))</f>
        <v/>
      </c>
      <c r="I335" s="9" t="str">
        <f ca="1">IF($G335="","",INDEX(BASE_PRODUTOS!$L$2:$L$1006,$G335))</f>
        <v/>
      </c>
      <c r="J335" s="9" t="str">
        <f ca="1">IF($G335="","",INDEX(BASE_PRODUTOS!$A$2:$A$1006,$G335))</f>
        <v/>
      </c>
      <c r="K335" s="9" t="str">
        <f ca="1">IF($G335="","",INDEX(BASE_PRODUTOS!$C$2:$C$1006,$G335))</f>
        <v/>
      </c>
      <c r="L335" s="9" t="str">
        <f ca="1">IF($G335="","",INDEX(BASE_PRODUTOS!$E$2:$E$1006,$G335))</f>
        <v/>
      </c>
      <c r="M335" s="9" t="str">
        <f ca="1">IF($G335="","",INDEX(BASE_PRODUTOS!$F$2:$F$1006,$G335))</f>
        <v/>
      </c>
      <c r="N335" s="9" t="str">
        <f ca="1">IF($G335="","",INDEX(BASE_PRODUTOS!$G$2:$G$1006,$G335))</f>
        <v/>
      </c>
      <c r="O335" s="9" t="str">
        <f ca="1">IF($G335="","",INDEX(BASE_PRODUTOS!$H$2:$H$1006,$G335))</f>
        <v/>
      </c>
      <c r="P335" s="9" t="str">
        <f ca="1">IF($G335="","",INDEX(BASE_PRODUTOS!$I$2:$I$1006,$G335))</f>
        <v/>
      </c>
      <c r="Q335" s="9" t="str">
        <f ca="1">IF($G335="","",INDEX(BASE_PRODUTOS!$J$2:$J$1006,$G335))</f>
        <v/>
      </c>
      <c r="R335" s="9" t="str">
        <f ca="1">IF($G335="","",INDEX(BASE_PRODUTOS!$M$2:$M$1006,$G335))</f>
        <v/>
      </c>
      <c r="S335" s="9" t="str">
        <f ca="1">IF($G335="","",INDEX(BASE_PRODUTOS!$N$2:$N$1006,$G335))</f>
        <v/>
      </c>
      <c r="T335" s="9" t="str">
        <f ca="1">IF($G335="","",INDEX(BASE_PRODUTOS!$D$2:$D$1006,$G335))</f>
        <v/>
      </c>
    </row>
    <row r="336" spans="7:20" ht="18" customHeight="1" x14ac:dyDescent="0.35">
      <c r="G336" t="str">
        <f ca="1">IFERROR(_xludf.aggregate(15,6,(ROW(BASE_PRODUTOS!$L$2:$L$1006)-ROW(BASE_PRODUTOS!$L$2)+1)/(BASE_PRODUTOS!$L$2:$L$1006&gt;0),ROWS($G$10:G336)),"")</f>
        <v/>
      </c>
      <c r="H336" s="9" t="str">
        <f ca="1">IF($G336="","",INDEX(BASE_PRODUTOS!$B$2:$B$1006,$G336))</f>
        <v/>
      </c>
      <c r="I336" s="9" t="str">
        <f ca="1">IF($G336="","",INDEX(BASE_PRODUTOS!$L$2:$L$1006,$G336))</f>
        <v/>
      </c>
      <c r="J336" s="9" t="str">
        <f ca="1">IF($G336="","",INDEX(BASE_PRODUTOS!$A$2:$A$1006,$G336))</f>
        <v/>
      </c>
      <c r="K336" s="9" t="str">
        <f ca="1">IF($G336="","",INDEX(BASE_PRODUTOS!$C$2:$C$1006,$G336))</f>
        <v/>
      </c>
      <c r="L336" s="9" t="str">
        <f ca="1">IF($G336="","",INDEX(BASE_PRODUTOS!$E$2:$E$1006,$G336))</f>
        <v/>
      </c>
      <c r="M336" s="9" t="str">
        <f ca="1">IF($G336="","",INDEX(BASE_PRODUTOS!$F$2:$F$1006,$G336))</f>
        <v/>
      </c>
      <c r="N336" s="9" t="str">
        <f ca="1">IF($G336="","",INDEX(BASE_PRODUTOS!$G$2:$G$1006,$G336))</f>
        <v/>
      </c>
      <c r="O336" s="9" t="str">
        <f ca="1">IF($G336="","",INDEX(BASE_PRODUTOS!$H$2:$H$1006,$G336))</f>
        <v/>
      </c>
      <c r="P336" s="9" t="str">
        <f ca="1">IF($G336="","",INDEX(BASE_PRODUTOS!$I$2:$I$1006,$G336))</f>
        <v/>
      </c>
      <c r="Q336" s="9" t="str">
        <f ca="1">IF($G336="","",INDEX(BASE_PRODUTOS!$J$2:$J$1006,$G336))</f>
        <v/>
      </c>
      <c r="R336" s="9" t="str">
        <f ca="1">IF($G336="","",INDEX(BASE_PRODUTOS!$M$2:$M$1006,$G336))</f>
        <v/>
      </c>
      <c r="S336" s="9" t="str">
        <f ca="1">IF($G336="","",INDEX(BASE_PRODUTOS!$N$2:$N$1006,$G336))</f>
        <v/>
      </c>
      <c r="T336" s="9" t="str">
        <f ca="1">IF($G336="","",INDEX(BASE_PRODUTOS!$D$2:$D$1006,$G336))</f>
        <v/>
      </c>
    </row>
    <row r="337" spans="7:20" ht="18" customHeight="1" x14ac:dyDescent="0.35">
      <c r="G337" t="str">
        <f ca="1">IFERROR(_xludf.aggregate(15,6,(ROW(BASE_PRODUTOS!$L$2:$L$1006)-ROW(BASE_PRODUTOS!$L$2)+1)/(BASE_PRODUTOS!$L$2:$L$1006&gt;0),ROWS($G$10:G337)),"")</f>
        <v/>
      </c>
      <c r="H337" s="9" t="str">
        <f ca="1">IF($G337="","",INDEX(BASE_PRODUTOS!$B$2:$B$1006,$G337))</f>
        <v/>
      </c>
      <c r="I337" s="9" t="str">
        <f ca="1">IF($G337="","",INDEX(BASE_PRODUTOS!$L$2:$L$1006,$G337))</f>
        <v/>
      </c>
      <c r="J337" s="9" t="str">
        <f ca="1">IF($G337="","",INDEX(BASE_PRODUTOS!$A$2:$A$1006,$G337))</f>
        <v/>
      </c>
      <c r="K337" s="9" t="str">
        <f ca="1">IF($G337="","",INDEX(BASE_PRODUTOS!$C$2:$C$1006,$G337))</f>
        <v/>
      </c>
      <c r="L337" s="9" t="str">
        <f ca="1">IF($G337="","",INDEX(BASE_PRODUTOS!$E$2:$E$1006,$G337))</f>
        <v/>
      </c>
      <c r="M337" s="9" t="str">
        <f ca="1">IF($G337="","",INDEX(BASE_PRODUTOS!$F$2:$F$1006,$G337))</f>
        <v/>
      </c>
      <c r="N337" s="9" t="str">
        <f ca="1">IF($G337="","",INDEX(BASE_PRODUTOS!$G$2:$G$1006,$G337))</f>
        <v/>
      </c>
      <c r="O337" s="9" t="str">
        <f ca="1">IF($G337="","",INDEX(BASE_PRODUTOS!$H$2:$H$1006,$G337))</f>
        <v/>
      </c>
      <c r="P337" s="9" t="str">
        <f ca="1">IF($G337="","",INDEX(BASE_PRODUTOS!$I$2:$I$1006,$G337))</f>
        <v/>
      </c>
      <c r="Q337" s="9" t="str">
        <f ca="1">IF($G337="","",INDEX(BASE_PRODUTOS!$J$2:$J$1006,$G337))</f>
        <v/>
      </c>
      <c r="R337" s="9" t="str">
        <f ca="1">IF($G337="","",INDEX(BASE_PRODUTOS!$M$2:$M$1006,$G337))</f>
        <v/>
      </c>
      <c r="S337" s="9" t="str">
        <f ca="1">IF($G337="","",INDEX(BASE_PRODUTOS!$N$2:$N$1006,$G337))</f>
        <v/>
      </c>
      <c r="T337" s="9" t="str">
        <f ca="1">IF($G337="","",INDEX(BASE_PRODUTOS!$D$2:$D$1006,$G337))</f>
        <v/>
      </c>
    </row>
    <row r="338" spans="7:20" ht="18" customHeight="1" x14ac:dyDescent="0.35">
      <c r="G338" t="str">
        <f ca="1">IFERROR(_xludf.aggregate(15,6,(ROW(BASE_PRODUTOS!$L$2:$L$1006)-ROW(BASE_PRODUTOS!$L$2)+1)/(BASE_PRODUTOS!$L$2:$L$1006&gt;0),ROWS($G$10:G338)),"")</f>
        <v/>
      </c>
      <c r="H338" s="9" t="str">
        <f ca="1">IF($G338="","",INDEX(BASE_PRODUTOS!$B$2:$B$1006,$G338))</f>
        <v/>
      </c>
      <c r="I338" s="9" t="str">
        <f ca="1">IF($G338="","",INDEX(BASE_PRODUTOS!$L$2:$L$1006,$G338))</f>
        <v/>
      </c>
      <c r="J338" s="9" t="str">
        <f ca="1">IF($G338="","",INDEX(BASE_PRODUTOS!$A$2:$A$1006,$G338))</f>
        <v/>
      </c>
      <c r="K338" s="9" t="str">
        <f ca="1">IF($G338="","",INDEX(BASE_PRODUTOS!$C$2:$C$1006,$G338))</f>
        <v/>
      </c>
      <c r="L338" s="9" t="str">
        <f ca="1">IF($G338="","",INDEX(BASE_PRODUTOS!$E$2:$E$1006,$G338))</f>
        <v/>
      </c>
      <c r="M338" s="9" t="str">
        <f ca="1">IF($G338="","",INDEX(BASE_PRODUTOS!$F$2:$F$1006,$G338))</f>
        <v/>
      </c>
      <c r="N338" s="9" t="str">
        <f ca="1">IF($G338="","",INDEX(BASE_PRODUTOS!$G$2:$G$1006,$G338))</f>
        <v/>
      </c>
      <c r="O338" s="9" t="str">
        <f ca="1">IF($G338="","",INDEX(BASE_PRODUTOS!$H$2:$H$1006,$G338))</f>
        <v/>
      </c>
      <c r="P338" s="9" t="str">
        <f ca="1">IF($G338="","",INDEX(BASE_PRODUTOS!$I$2:$I$1006,$G338))</f>
        <v/>
      </c>
      <c r="Q338" s="9" t="str">
        <f ca="1">IF($G338="","",INDEX(BASE_PRODUTOS!$J$2:$J$1006,$G338))</f>
        <v/>
      </c>
      <c r="R338" s="9" t="str">
        <f ca="1">IF($G338="","",INDEX(BASE_PRODUTOS!$M$2:$M$1006,$G338))</f>
        <v/>
      </c>
      <c r="S338" s="9" t="str">
        <f ca="1">IF($G338="","",INDEX(BASE_PRODUTOS!$N$2:$N$1006,$G338))</f>
        <v/>
      </c>
      <c r="T338" s="9" t="str">
        <f ca="1">IF($G338="","",INDEX(BASE_PRODUTOS!$D$2:$D$1006,$G338))</f>
        <v/>
      </c>
    </row>
    <row r="339" spans="7:20" ht="18" customHeight="1" x14ac:dyDescent="0.35">
      <c r="G339" t="str">
        <f ca="1">IFERROR(_xludf.aggregate(15,6,(ROW(BASE_PRODUTOS!$L$2:$L$1006)-ROW(BASE_PRODUTOS!$L$2)+1)/(BASE_PRODUTOS!$L$2:$L$1006&gt;0),ROWS($G$10:G339)),"")</f>
        <v/>
      </c>
      <c r="H339" s="9" t="str">
        <f ca="1">IF($G339="","",INDEX(BASE_PRODUTOS!$B$2:$B$1006,$G339))</f>
        <v/>
      </c>
      <c r="I339" s="9" t="str">
        <f ca="1">IF($G339="","",INDEX(BASE_PRODUTOS!$L$2:$L$1006,$G339))</f>
        <v/>
      </c>
      <c r="J339" s="9" t="str">
        <f ca="1">IF($G339="","",INDEX(BASE_PRODUTOS!$A$2:$A$1006,$G339))</f>
        <v/>
      </c>
      <c r="K339" s="9" t="str">
        <f ca="1">IF($G339="","",INDEX(BASE_PRODUTOS!$C$2:$C$1006,$G339))</f>
        <v/>
      </c>
      <c r="L339" s="9" t="str">
        <f ca="1">IF($G339="","",INDEX(BASE_PRODUTOS!$E$2:$E$1006,$G339))</f>
        <v/>
      </c>
      <c r="M339" s="9" t="str">
        <f ca="1">IF($G339="","",INDEX(BASE_PRODUTOS!$F$2:$F$1006,$G339))</f>
        <v/>
      </c>
      <c r="N339" s="9" t="str">
        <f ca="1">IF($G339="","",INDEX(BASE_PRODUTOS!$G$2:$G$1006,$G339))</f>
        <v/>
      </c>
      <c r="O339" s="9" t="str">
        <f ca="1">IF($G339="","",INDEX(BASE_PRODUTOS!$H$2:$H$1006,$G339))</f>
        <v/>
      </c>
      <c r="P339" s="9" t="str">
        <f ca="1">IF($G339="","",INDEX(BASE_PRODUTOS!$I$2:$I$1006,$G339))</f>
        <v/>
      </c>
      <c r="Q339" s="9" t="str">
        <f ca="1">IF($G339="","",INDEX(BASE_PRODUTOS!$J$2:$J$1006,$G339))</f>
        <v/>
      </c>
      <c r="R339" s="9" t="str">
        <f ca="1">IF($G339="","",INDEX(BASE_PRODUTOS!$M$2:$M$1006,$G339))</f>
        <v/>
      </c>
      <c r="S339" s="9" t="str">
        <f ca="1">IF($G339="","",INDEX(BASE_PRODUTOS!$N$2:$N$1006,$G339))</f>
        <v/>
      </c>
      <c r="T339" s="9" t="str">
        <f ca="1">IF($G339="","",INDEX(BASE_PRODUTOS!$D$2:$D$1006,$G339))</f>
        <v/>
      </c>
    </row>
    <row r="340" spans="7:20" ht="18" customHeight="1" x14ac:dyDescent="0.35">
      <c r="G340" t="str">
        <f ca="1">IFERROR(_xludf.aggregate(15,6,(ROW(BASE_PRODUTOS!$L$2:$L$1006)-ROW(BASE_PRODUTOS!$L$2)+1)/(BASE_PRODUTOS!$L$2:$L$1006&gt;0),ROWS($G$10:G340)),"")</f>
        <v/>
      </c>
      <c r="H340" s="9" t="str">
        <f ca="1">IF($G340="","",INDEX(BASE_PRODUTOS!$B$2:$B$1006,$G340))</f>
        <v/>
      </c>
      <c r="I340" s="9" t="str">
        <f ca="1">IF($G340="","",INDEX(BASE_PRODUTOS!$L$2:$L$1006,$G340))</f>
        <v/>
      </c>
      <c r="J340" s="9" t="str">
        <f ca="1">IF($G340="","",INDEX(BASE_PRODUTOS!$A$2:$A$1006,$G340))</f>
        <v/>
      </c>
      <c r="K340" s="9" t="str">
        <f ca="1">IF($G340="","",INDEX(BASE_PRODUTOS!$C$2:$C$1006,$G340))</f>
        <v/>
      </c>
      <c r="L340" s="9" t="str">
        <f ca="1">IF($G340="","",INDEX(BASE_PRODUTOS!$E$2:$E$1006,$G340))</f>
        <v/>
      </c>
      <c r="M340" s="9" t="str">
        <f ca="1">IF($G340="","",INDEX(BASE_PRODUTOS!$F$2:$F$1006,$G340))</f>
        <v/>
      </c>
      <c r="N340" s="9" t="str">
        <f ca="1">IF($G340="","",INDEX(BASE_PRODUTOS!$G$2:$G$1006,$G340))</f>
        <v/>
      </c>
      <c r="O340" s="9" t="str">
        <f ca="1">IF($G340="","",INDEX(BASE_PRODUTOS!$H$2:$H$1006,$G340))</f>
        <v/>
      </c>
      <c r="P340" s="9" t="str">
        <f ca="1">IF($G340="","",INDEX(BASE_PRODUTOS!$I$2:$I$1006,$G340))</f>
        <v/>
      </c>
      <c r="Q340" s="9" t="str">
        <f ca="1">IF($G340="","",INDEX(BASE_PRODUTOS!$J$2:$J$1006,$G340))</f>
        <v/>
      </c>
      <c r="R340" s="9" t="str">
        <f ca="1">IF($G340="","",INDEX(BASE_PRODUTOS!$M$2:$M$1006,$G340))</f>
        <v/>
      </c>
      <c r="S340" s="9" t="str">
        <f ca="1">IF($G340="","",INDEX(BASE_PRODUTOS!$N$2:$N$1006,$G340))</f>
        <v/>
      </c>
      <c r="T340" s="9" t="str">
        <f ca="1">IF($G340="","",INDEX(BASE_PRODUTOS!$D$2:$D$1006,$G340))</f>
        <v/>
      </c>
    </row>
    <row r="341" spans="7:20" ht="18" customHeight="1" x14ac:dyDescent="0.35">
      <c r="G341" t="str">
        <f ca="1">IFERROR(_xludf.aggregate(15,6,(ROW(BASE_PRODUTOS!$L$2:$L$1006)-ROW(BASE_PRODUTOS!$L$2)+1)/(BASE_PRODUTOS!$L$2:$L$1006&gt;0),ROWS($G$10:G341)),"")</f>
        <v/>
      </c>
      <c r="H341" s="9" t="str">
        <f ca="1">IF($G341="","",INDEX(BASE_PRODUTOS!$B$2:$B$1006,$G341))</f>
        <v/>
      </c>
      <c r="I341" s="9" t="str">
        <f ca="1">IF($G341="","",INDEX(BASE_PRODUTOS!$L$2:$L$1006,$G341))</f>
        <v/>
      </c>
      <c r="J341" s="9" t="str">
        <f ca="1">IF($G341="","",INDEX(BASE_PRODUTOS!$A$2:$A$1006,$G341))</f>
        <v/>
      </c>
      <c r="K341" s="9" t="str">
        <f ca="1">IF($G341="","",INDEX(BASE_PRODUTOS!$C$2:$C$1006,$G341))</f>
        <v/>
      </c>
      <c r="L341" s="9" t="str">
        <f ca="1">IF($G341="","",INDEX(BASE_PRODUTOS!$E$2:$E$1006,$G341))</f>
        <v/>
      </c>
      <c r="M341" s="9" t="str">
        <f ca="1">IF($G341="","",INDEX(BASE_PRODUTOS!$F$2:$F$1006,$G341))</f>
        <v/>
      </c>
      <c r="N341" s="9" t="str">
        <f ca="1">IF($G341="","",INDEX(BASE_PRODUTOS!$G$2:$G$1006,$G341))</f>
        <v/>
      </c>
      <c r="O341" s="9" t="str">
        <f ca="1">IF($G341="","",INDEX(BASE_PRODUTOS!$H$2:$H$1006,$G341))</f>
        <v/>
      </c>
      <c r="P341" s="9" t="str">
        <f ca="1">IF($G341="","",INDEX(BASE_PRODUTOS!$I$2:$I$1006,$G341))</f>
        <v/>
      </c>
      <c r="Q341" s="9" t="str">
        <f ca="1">IF($G341="","",INDEX(BASE_PRODUTOS!$J$2:$J$1006,$G341))</f>
        <v/>
      </c>
      <c r="R341" s="9" t="str">
        <f ca="1">IF($G341="","",INDEX(BASE_PRODUTOS!$M$2:$M$1006,$G341))</f>
        <v/>
      </c>
      <c r="S341" s="9" t="str">
        <f ca="1">IF($G341="","",INDEX(BASE_PRODUTOS!$N$2:$N$1006,$G341))</f>
        <v/>
      </c>
      <c r="T341" s="9" t="str">
        <f ca="1">IF($G341="","",INDEX(BASE_PRODUTOS!$D$2:$D$1006,$G341))</f>
        <v/>
      </c>
    </row>
    <row r="342" spans="7:20" ht="18" customHeight="1" x14ac:dyDescent="0.35">
      <c r="G342" t="str">
        <f ca="1">IFERROR(_xludf.aggregate(15,6,(ROW(BASE_PRODUTOS!$L$2:$L$1006)-ROW(BASE_PRODUTOS!$L$2)+1)/(BASE_PRODUTOS!$L$2:$L$1006&gt;0),ROWS($G$10:G342)),"")</f>
        <v/>
      </c>
      <c r="H342" s="9" t="str">
        <f ca="1">IF($G342="","",INDEX(BASE_PRODUTOS!$B$2:$B$1006,$G342))</f>
        <v/>
      </c>
      <c r="I342" s="9" t="str">
        <f ca="1">IF($G342="","",INDEX(BASE_PRODUTOS!$L$2:$L$1006,$G342))</f>
        <v/>
      </c>
      <c r="J342" s="9" t="str">
        <f ca="1">IF($G342="","",INDEX(BASE_PRODUTOS!$A$2:$A$1006,$G342))</f>
        <v/>
      </c>
      <c r="K342" s="9" t="str">
        <f ca="1">IF($G342="","",INDEX(BASE_PRODUTOS!$C$2:$C$1006,$G342))</f>
        <v/>
      </c>
      <c r="L342" s="9" t="str">
        <f ca="1">IF($G342="","",INDEX(BASE_PRODUTOS!$E$2:$E$1006,$G342))</f>
        <v/>
      </c>
      <c r="M342" s="9" t="str">
        <f ca="1">IF($G342="","",INDEX(BASE_PRODUTOS!$F$2:$F$1006,$G342))</f>
        <v/>
      </c>
      <c r="N342" s="9" t="str">
        <f ca="1">IF($G342="","",INDEX(BASE_PRODUTOS!$G$2:$G$1006,$G342))</f>
        <v/>
      </c>
      <c r="O342" s="9" t="str">
        <f ca="1">IF($G342="","",INDEX(BASE_PRODUTOS!$H$2:$H$1006,$G342))</f>
        <v/>
      </c>
      <c r="P342" s="9" t="str">
        <f ca="1">IF($G342="","",INDEX(BASE_PRODUTOS!$I$2:$I$1006,$G342))</f>
        <v/>
      </c>
      <c r="Q342" s="9" t="str">
        <f ca="1">IF($G342="","",INDEX(BASE_PRODUTOS!$J$2:$J$1006,$G342))</f>
        <v/>
      </c>
      <c r="R342" s="9" t="str">
        <f ca="1">IF($G342="","",INDEX(BASE_PRODUTOS!$M$2:$M$1006,$G342))</f>
        <v/>
      </c>
      <c r="S342" s="9" t="str">
        <f ca="1">IF($G342="","",INDEX(BASE_PRODUTOS!$N$2:$N$1006,$G342))</f>
        <v/>
      </c>
      <c r="T342" s="9" t="str">
        <f ca="1">IF($G342="","",INDEX(BASE_PRODUTOS!$D$2:$D$1006,$G342))</f>
        <v/>
      </c>
    </row>
    <row r="343" spans="7:20" ht="18" customHeight="1" x14ac:dyDescent="0.35">
      <c r="G343" t="str">
        <f ca="1">IFERROR(_xludf.aggregate(15,6,(ROW(BASE_PRODUTOS!$L$2:$L$1006)-ROW(BASE_PRODUTOS!$L$2)+1)/(BASE_PRODUTOS!$L$2:$L$1006&gt;0),ROWS($G$10:G343)),"")</f>
        <v/>
      </c>
      <c r="H343" s="9" t="str">
        <f ca="1">IF($G343="","",INDEX(BASE_PRODUTOS!$B$2:$B$1006,$G343))</f>
        <v/>
      </c>
      <c r="I343" s="9" t="str">
        <f ca="1">IF($G343="","",INDEX(BASE_PRODUTOS!$L$2:$L$1006,$G343))</f>
        <v/>
      </c>
      <c r="J343" s="9" t="str">
        <f ca="1">IF($G343="","",INDEX(BASE_PRODUTOS!$A$2:$A$1006,$G343))</f>
        <v/>
      </c>
      <c r="K343" s="9" t="str">
        <f ca="1">IF($G343="","",INDEX(BASE_PRODUTOS!$C$2:$C$1006,$G343))</f>
        <v/>
      </c>
      <c r="L343" s="9" t="str">
        <f ca="1">IF($G343="","",INDEX(BASE_PRODUTOS!$E$2:$E$1006,$G343))</f>
        <v/>
      </c>
      <c r="M343" s="9" t="str">
        <f ca="1">IF($G343="","",INDEX(BASE_PRODUTOS!$F$2:$F$1006,$G343))</f>
        <v/>
      </c>
      <c r="N343" s="9" t="str">
        <f ca="1">IF($G343="","",INDEX(BASE_PRODUTOS!$G$2:$G$1006,$G343))</f>
        <v/>
      </c>
      <c r="O343" s="9" t="str">
        <f ca="1">IF($G343="","",INDEX(BASE_PRODUTOS!$H$2:$H$1006,$G343))</f>
        <v/>
      </c>
      <c r="P343" s="9" t="str">
        <f ca="1">IF($G343="","",INDEX(BASE_PRODUTOS!$I$2:$I$1006,$G343))</f>
        <v/>
      </c>
      <c r="Q343" s="9" t="str">
        <f ca="1">IF($G343="","",INDEX(BASE_PRODUTOS!$J$2:$J$1006,$G343))</f>
        <v/>
      </c>
      <c r="R343" s="9" t="str">
        <f ca="1">IF($G343="","",INDEX(BASE_PRODUTOS!$M$2:$M$1006,$G343))</f>
        <v/>
      </c>
      <c r="S343" s="9" t="str">
        <f ca="1">IF($G343="","",INDEX(BASE_PRODUTOS!$N$2:$N$1006,$G343))</f>
        <v/>
      </c>
      <c r="T343" s="9" t="str">
        <f ca="1">IF($G343="","",INDEX(BASE_PRODUTOS!$D$2:$D$1006,$G343))</f>
        <v/>
      </c>
    </row>
    <row r="344" spans="7:20" ht="18" customHeight="1" x14ac:dyDescent="0.35">
      <c r="G344" t="str">
        <f ca="1">IFERROR(_xludf.aggregate(15,6,(ROW(BASE_PRODUTOS!$L$2:$L$1006)-ROW(BASE_PRODUTOS!$L$2)+1)/(BASE_PRODUTOS!$L$2:$L$1006&gt;0),ROWS($G$10:G344)),"")</f>
        <v/>
      </c>
      <c r="H344" s="9" t="str">
        <f ca="1">IF($G344="","",INDEX(BASE_PRODUTOS!$B$2:$B$1006,$G344))</f>
        <v/>
      </c>
      <c r="I344" s="9" t="str">
        <f ca="1">IF($G344="","",INDEX(BASE_PRODUTOS!$L$2:$L$1006,$G344))</f>
        <v/>
      </c>
      <c r="J344" s="9" t="str">
        <f ca="1">IF($G344="","",INDEX(BASE_PRODUTOS!$A$2:$A$1006,$G344))</f>
        <v/>
      </c>
      <c r="K344" s="9" t="str">
        <f ca="1">IF($G344="","",INDEX(BASE_PRODUTOS!$C$2:$C$1006,$G344))</f>
        <v/>
      </c>
      <c r="L344" s="9" t="str">
        <f ca="1">IF($G344="","",INDEX(BASE_PRODUTOS!$E$2:$E$1006,$G344))</f>
        <v/>
      </c>
      <c r="M344" s="9" t="str">
        <f ca="1">IF($G344="","",INDEX(BASE_PRODUTOS!$F$2:$F$1006,$G344))</f>
        <v/>
      </c>
      <c r="N344" s="9" t="str">
        <f ca="1">IF($G344="","",INDEX(BASE_PRODUTOS!$G$2:$G$1006,$G344))</f>
        <v/>
      </c>
      <c r="O344" s="9" t="str">
        <f ca="1">IF($G344="","",INDEX(BASE_PRODUTOS!$H$2:$H$1006,$G344))</f>
        <v/>
      </c>
      <c r="P344" s="9" t="str">
        <f ca="1">IF($G344="","",INDEX(BASE_PRODUTOS!$I$2:$I$1006,$G344))</f>
        <v/>
      </c>
      <c r="Q344" s="9" t="str">
        <f ca="1">IF($G344="","",INDEX(BASE_PRODUTOS!$J$2:$J$1006,$G344))</f>
        <v/>
      </c>
      <c r="R344" s="9" t="str">
        <f ca="1">IF($G344="","",INDEX(BASE_PRODUTOS!$M$2:$M$1006,$G344))</f>
        <v/>
      </c>
      <c r="S344" s="9" t="str">
        <f ca="1">IF($G344="","",INDEX(BASE_PRODUTOS!$N$2:$N$1006,$G344))</f>
        <v/>
      </c>
      <c r="T344" s="9" t="str">
        <f ca="1">IF($G344="","",INDEX(BASE_PRODUTOS!$D$2:$D$1006,$G344))</f>
        <v/>
      </c>
    </row>
    <row r="345" spans="7:20" ht="18" customHeight="1" x14ac:dyDescent="0.35">
      <c r="G345" t="str">
        <f ca="1">IFERROR(_xludf.aggregate(15,6,(ROW(BASE_PRODUTOS!$L$2:$L$1006)-ROW(BASE_PRODUTOS!$L$2)+1)/(BASE_PRODUTOS!$L$2:$L$1006&gt;0),ROWS($G$10:G345)),"")</f>
        <v/>
      </c>
      <c r="H345" s="9" t="str">
        <f ca="1">IF($G345="","",INDEX(BASE_PRODUTOS!$B$2:$B$1006,$G345))</f>
        <v/>
      </c>
      <c r="I345" s="9" t="str">
        <f ca="1">IF($G345="","",INDEX(BASE_PRODUTOS!$L$2:$L$1006,$G345))</f>
        <v/>
      </c>
      <c r="J345" s="9" t="str">
        <f ca="1">IF($G345="","",INDEX(BASE_PRODUTOS!$A$2:$A$1006,$G345))</f>
        <v/>
      </c>
      <c r="K345" s="9" t="str">
        <f ca="1">IF($G345="","",INDEX(BASE_PRODUTOS!$C$2:$C$1006,$G345))</f>
        <v/>
      </c>
      <c r="L345" s="9" t="str">
        <f ca="1">IF($G345="","",INDEX(BASE_PRODUTOS!$E$2:$E$1006,$G345))</f>
        <v/>
      </c>
      <c r="M345" s="9" t="str">
        <f ca="1">IF($G345="","",INDEX(BASE_PRODUTOS!$F$2:$F$1006,$G345))</f>
        <v/>
      </c>
      <c r="N345" s="9" t="str">
        <f ca="1">IF($G345="","",INDEX(BASE_PRODUTOS!$G$2:$G$1006,$G345))</f>
        <v/>
      </c>
      <c r="O345" s="9" t="str">
        <f ca="1">IF($G345="","",INDEX(BASE_PRODUTOS!$H$2:$H$1006,$G345))</f>
        <v/>
      </c>
      <c r="P345" s="9" t="str">
        <f ca="1">IF($G345="","",INDEX(BASE_PRODUTOS!$I$2:$I$1006,$G345))</f>
        <v/>
      </c>
      <c r="Q345" s="9" t="str">
        <f ca="1">IF($G345="","",INDEX(BASE_PRODUTOS!$J$2:$J$1006,$G345))</f>
        <v/>
      </c>
      <c r="R345" s="9" t="str">
        <f ca="1">IF($G345="","",INDEX(BASE_PRODUTOS!$M$2:$M$1006,$G345))</f>
        <v/>
      </c>
      <c r="S345" s="9" t="str">
        <f ca="1">IF($G345="","",INDEX(BASE_PRODUTOS!$N$2:$N$1006,$G345))</f>
        <v/>
      </c>
      <c r="T345" s="9" t="str">
        <f ca="1">IF($G345="","",INDEX(BASE_PRODUTOS!$D$2:$D$1006,$G345))</f>
        <v/>
      </c>
    </row>
    <row r="346" spans="7:20" ht="18" customHeight="1" x14ac:dyDescent="0.35">
      <c r="G346" t="str">
        <f ca="1">IFERROR(_xludf.aggregate(15,6,(ROW(BASE_PRODUTOS!$L$2:$L$1006)-ROW(BASE_PRODUTOS!$L$2)+1)/(BASE_PRODUTOS!$L$2:$L$1006&gt;0),ROWS($G$10:G346)),"")</f>
        <v/>
      </c>
      <c r="H346" s="9" t="str">
        <f ca="1">IF($G346="","",INDEX(BASE_PRODUTOS!$B$2:$B$1006,$G346))</f>
        <v/>
      </c>
      <c r="I346" s="9" t="str">
        <f ca="1">IF($G346="","",INDEX(BASE_PRODUTOS!$L$2:$L$1006,$G346))</f>
        <v/>
      </c>
      <c r="J346" s="9" t="str">
        <f ca="1">IF($G346="","",INDEX(BASE_PRODUTOS!$A$2:$A$1006,$G346))</f>
        <v/>
      </c>
      <c r="K346" s="9" t="str">
        <f ca="1">IF($G346="","",INDEX(BASE_PRODUTOS!$C$2:$C$1006,$G346))</f>
        <v/>
      </c>
      <c r="L346" s="9" t="str">
        <f ca="1">IF($G346="","",INDEX(BASE_PRODUTOS!$E$2:$E$1006,$G346))</f>
        <v/>
      </c>
      <c r="M346" s="9" t="str">
        <f ca="1">IF($G346="","",INDEX(BASE_PRODUTOS!$F$2:$F$1006,$G346))</f>
        <v/>
      </c>
      <c r="N346" s="9" t="str">
        <f ca="1">IF($G346="","",INDEX(BASE_PRODUTOS!$G$2:$G$1006,$G346))</f>
        <v/>
      </c>
      <c r="O346" s="9" t="str">
        <f ca="1">IF($G346="","",INDEX(BASE_PRODUTOS!$H$2:$H$1006,$G346))</f>
        <v/>
      </c>
      <c r="P346" s="9" t="str">
        <f ca="1">IF($G346="","",INDEX(BASE_PRODUTOS!$I$2:$I$1006,$G346))</f>
        <v/>
      </c>
      <c r="Q346" s="9" t="str">
        <f ca="1">IF($G346="","",INDEX(BASE_PRODUTOS!$J$2:$J$1006,$G346))</f>
        <v/>
      </c>
      <c r="R346" s="9" t="str">
        <f ca="1">IF($G346="","",INDEX(BASE_PRODUTOS!$M$2:$M$1006,$G346))</f>
        <v/>
      </c>
      <c r="S346" s="9" t="str">
        <f ca="1">IF($G346="","",INDEX(BASE_PRODUTOS!$N$2:$N$1006,$G346))</f>
        <v/>
      </c>
      <c r="T346" s="9" t="str">
        <f ca="1">IF($G346="","",INDEX(BASE_PRODUTOS!$D$2:$D$1006,$G346))</f>
        <v/>
      </c>
    </row>
    <row r="347" spans="7:20" ht="18" customHeight="1" x14ac:dyDescent="0.35">
      <c r="G347" t="str">
        <f ca="1">IFERROR(_xludf.aggregate(15,6,(ROW(BASE_PRODUTOS!$L$2:$L$1006)-ROW(BASE_PRODUTOS!$L$2)+1)/(BASE_PRODUTOS!$L$2:$L$1006&gt;0),ROWS($G$10:G347)),"")</f>
        <v/>
      </c>
      <c r="H347" s="9" t="str">
        <f ca="1">IF($G347="","",INDEX(BASE_PRODUTOS!$B$2:$B$1006,$G347))</f>
        <v/>
      </c>
      <c r="I347" s="9" t="str">
        <f ca="1">IF($G347="","",INDEX(BASE_PRODUTOS!$L$2:$L$1006,$G347))</f>
        <v/>
      </c>
      <c r="J347" s="9" t="str">
        <f ca="1">IF($G347="","",INDEX(BASE_PRODUTOS!$A$2:$A$1006,$G347))</f>
        <v/>
      </c>
      <c r="K347" s="9" t="str">
        <f ca="1">IF($G347="","",INDEX(BASE_PRODUTOS!$C$2:$C$1006,$G347))</f>
        <v/>
      </c>
      <c r="L347" s="9" t="str">
        <f ca="1">IF($G347="","",INDEX(BASE_PRODUTOS!$E$2:$E$1006,$G347))</f>
        <v/>
      </c>
      <c r="M347" s="9" t="str">
        <f ca="1">IF($G347="","",INDEX(BASE_PRODUTOS!$F$2:$F$1006,$G347))</f>
        <v/>
      </c>
      <c r="N347" s="9" t="str">
        <f ca="1">IF($G347="","",INDEX(BASE_PRODUTOS!$G$2:$G$1006,$G347))</f>
        <v/>
      </c>
      <c r="O347" s="9" t="str">
        <f ca="1">IF($G347="","",INDEX(BASE_PRODUTOS!$H$2:$H$1006,$G347))</f>
        <v/>
      </c>
      <c r="P347" s="9" t="str">
        <f ca="1">IF($G347="","",INDEX(BASE_PRODUTOS!$I$2:$I$1006,$G347))</f>
        <v/>
      </c>
      <c r="Q347" s="9" t="str">
        <f ca="1">IF($G347="","",INDEX(BASE_PRODUTOS!$J$2:$J$1006,$G347))</f>
        <v/>
      </c>
      <c r="R347" s="9" t="str">
        <f ca="1">IF($G347="","",INDEX(BASE_PRODUTOS!$M$2:$M$1006,$G347))</f>
        <v/>
      </c>
      <c r="S347" s="9" t="str">
        <f ca="1">IF($G347="","",INDEX(BASE_PRODUTOS!$N$2:$N$1006,$G347))</f>
        <v/>
      </c>
      <c r="T347" s="9" t="str">
        <f ca="1">IF($G347="","",INDEX(BASE_PRODUTOS!$D$2:$D$1006,$G347))</f>
        <v/>
      </c>
    </row>
    <row r="348" spans="7:20" ht="18" customHeight="1" x14ac:dyDescent="0.35">
      <c r="G348" t="str">
        <f ca="1">IFERROR(_xludf.aggregate(15,6,(ROW(BASE_PRODUTOS!$L$2:$L$1006)-ROW(BASE_PRODUTOS!$L$2)+1)/(BASE_PRODUTOS!$L$2:$L$1006&gt;0),ROWS($G$10:G348)),"")</f>
        <v/>
      </c>
      <c r="H348" s="9" t="str">
        <f ca="1">IF($G348="","",INDEX(BASE_PRODUTOS!$B$2:$B$1006,$G348))</f>
        <v/>
      </c>
      <c r="I348" s="9" t="str">
        <f ca="1">IF($G348="","",INDEX(BASE_PRODUTOS!$L$2:$L$1006,$G348))</f>
        <v/>
      </c>
      <c r="J348" s="9" t="str">
        <f ca="1">IF($G348="","",INDEX(BASE_PRODUTOS!$A$2:$A$1006,$G348))</f>
        <v/>
      </c>
      <c r="K348" s="9" t="str">
        <f ca="1">IF($G348="","",INDEX(BASE_PRODUTOS!$C$2:$C$1006,$G348))</f>
        <v/>
      </c>
      <c r="L348" s="9" t="str">
        <f ca="1">IF($G348="","",INDEX(BASE_PRODUTOS!$E$2:$E$1006,$G348))</f>
        <v/>
      </c>
      <c r="M348" s="9" t="str">
        <f ca="1">IF($G348="","",INDEX(BASE_PRODUTOS!$F$2:$F$1006,$G348))</f>
        <v/>
      </c>
      <c r="N348" s="9" t="str">
        <f ca="1">IF($G348="","",INDEX(BASE_PRODUTOS!$G$2:$G$1006,$G348))</f>
        <v/>
      </c>
      <c r="O348" s="9" t="str">
        <f ca="1">IF($G348="","",INDEX(BASE_PRODUTOS!$H$2:$H$1006,$G348))</f>
        <v/>
      </c>
      <c r="P348" s="9" t="str">
        <f ca="1">IF($G348="","",INDEX(BASE_PRODUTOS!$I$2:$I$1006,$G348))</f>
        <v/>
      </c>
      <c r="Q348" s="9" t="str">
        <f ca="1">IF($G348="","",INDEX(BASE_PRODUTOS!$J$2:$J$1006,$G348))</f>
        <v/>
      </c>
      <c r="R348" s="9" t="str">
        <f ca="1">IF($G348="","",INDEX(BASE_PRODUTOS!$M$2:$M$1006,$G348))</f>
        <v/>
      </c>
      <c r="S348" s="9" t="str">
        <f ca="1">IF($G348="","",INDEX(BASE_PRODUTOS!$N$2:$N$1006,$G348))</f>
        <v/>
      </c>
      <c r="T348" s="9" t="str">
        <f ca="1">IF($G348="","",INDEX(BASE_PRODUTOS!$D$2:$D$1006,$G348))</f>
        <v/>
      </c>
    </row>
    <row r="349" spans="7:20" ht="18" customHeight="1" x14ac:dyDescent="0.35">
      <c r="G349" t="str">
        <f ca="1">IFERROR(_xludf.aggregate(15,6,(ROW(BASE_PRODUTOS!$L$2:$L$1006)-ROW(BASE_PRODUTOS!$L$2)+1)/(BASE_PRODUTOS!$L$2:$L$1006&gt;0),ROWS($G$10:G349)),"")</f>
        <v/>
      </c>
      <c r="H349" s="9" t="str">
        <f ca="1">IF($G349="","",INDEX(BASE_PRODUTOS!$B$2:$B$1006,$G349))</f>
        <v/>
      </c>
      <c r="I349" s="9" t="str">
        <f ca="1">IF($G349="","",INDEX(BASE_PRODUTOS!$L$2:$L$1006,$G349))</f>
        <v/>
      </c>
      <c r="J349" s="9" t="str">
        <f ca="1">IF($G349="","",INDEX(BASE_PRODUTOS!$A$2:$A$1006,$G349))</f>
        <v/>
      </c>
      <c r="K349" s="9" t="str">
        <f ca="1">IF($G349="","",INDEX(BASE_PRODUTOS!$C$2:$C$1006,$G349))</f>
        <v/>
      </c>
      <c r="L349" s="9" t="str">
        <f ca="1">IF($G349="","",INDEX(BASE_PRODUTOS!$E$2:$E$1006,$G349))</f>
        <v/>
      </c>
      <c r="M349" s="9" t="str">
        <f ca="1">IF($G349="","",INDEX(BASE_PRODUTOS!$F$2:$F$1006,$G349))</f>
        <v/>
      </c>
      <c r="N349" s="9" t="str">
        <f ca="1">IF($G349="","",INDEX(BASE_PRODUTOS!$G$2:$G$1006,$G349))</f>
        <v/>
      </c>
      <c r="O349" s="9" t="str">
        <f ca="1">IF($G349="","",INDEX(BASE_PRODUTOS!$H$2:$H$1006,$G349))</f>
        <v/>
      </c>
      <c r="P349" s="9" t="str">
        <f ca="1">IF($G349="","",INDEX(BASE_PRODUTOS!$I$2:$I$1006,$G349))</f>
        <v/>
      </c>
      <c r="Q349" s="9" t="str">
        <f ca="1">IF($G349="","",INDEX(BASE_PRODUTOS!$J$2:$J$1006,$G349))</f>
        <v/>
      </c>
      <c r="R349" s="9" t="str">
        <f ca="1">IF($G349="","",INDEX(BASE_PRODUTOS!$M$2:$M$1006,$G349))</f>
        <v/>
      </c>
      <c r="S349" s="9" t="str">
        <f ca="1">IF($G349="","",INDEX(BASE_PRODUTOS!$N$2:$N$1006,$G349))</f>
        <v/>
      </c>
      <c r="T349" s="9" t="str">
        <f ca="1">IF($G349="","",INDEX(BASE_PRODUTOS!$D$2:$D$1006,$G349))</f>
        <v/>
      </c>
    </row>
    <row r="350" spans="7:20" ht="18" customHeight="1" x14ac:dyDescent="0.35">
      <c r="G350" t="str">
        <f ca="1">IFERROR(_xludf.aggregate(15,6,(ROW(BASE_PRODUTOS!$L$2:$L$1006)-ROW(BASE_PRODUTOS!$L$2)+1)/(BASE_PRODUTOS!$L$2:$L$1006&gt;0),ROWS($G$10:G350)),"")</f>
        <v/>
      </c>
      <c r="H350" s="9" t="str">
        <f ca="1">IF($G350="","",INDEX(BASE_PRODUTOS!$B$2:$B$1006,$G350))</f>
        <v/>
      </c>
      <c r="I350" s="9" t="str">
        <f ca="1">IF($G350="","",INDEX(BASE_PRODUTOS!$L$2:$L$1006,$G350))</f>
        <v/>
      </c>
      <c r="J350" s="9" t="str">
        <f ca="1">IF($G350="","",INDEX(BASE_PRODUTOS!$A$2:$A$1006,$G350))</f>
        <v/>
      </c>
      <c r="K350" s="9" t="str">
        <f ca="1">IF($G350="","",INDEX(BASE_PRODUTOS!$C$2:$C$1006,$G350))</f>
        <v/>
      </c>
      <c r="L350" s="9" t="str">
        <f ca="1">IF($G350="","",INDEX(BASE_PRODUTOS!$E$2:$E$1006,$G350))</f>
        <v/>
      </c>
      <c r="M350" s="9" t="str">
        <f ca="1">IF($G350="","",INDEX(BASE_PRODUTOS!$F$2:$F$1006,$G350))</f>
        <v/>
      </c>
      <c r="N350" s="9" t="str">
        <f ca="1">IF($G350="","",INDEX(BASE_PRODUTOS!$G$2:$G$1006,$G350))</f>
        <v/>
      </c>
      <c r="O350" s="9" t="str">
        <f ca="1">IF($G350="","",INDEX(BASE_PRODUTOS!$H$2:$H$1006,$G350))</f>
        <v/>
      </c>
      <c r="P350" s="9" t="str">
        <f ca="1">IF($G350="","",INDEX(BASE_PRODUTOS!$I$2:$I$1006,$G350))</f>
        <v/>
      </c>
      <c r="Q350" s="9" t="str">
        <f ca="1">IF($G350="","",INDEX(BASE_PRODUTOS!$J$2:$J$1006,$G350))</f>
        <v/>
      </c>
      <c r="R350" s="9" t="str">
        <f ca="1">IF($G350="","",INDEX(BASE_PRODUTOS!$M$2:$M$1006,$G350))</f>
        <v/>
      </c>
      <c r="S350" s="9" t="str">
        <f ca="1">IF($G350="","",INDEX(BASE_PRODUTOS!$N$2:$N$1006,$G350))</f>
        <v/>
      </c>
      <c r="T350" s="9" t="str">
        <f ca="1">IF($G350="","",INDEX(BASE_PRODUTOS!$D$2:$D$1006,$G350))</f>
        <v/>
      </c>
    </row>
    <row r="351" spans="7:20" ht="18" customHeight="1" x14ac:dyDescent="0.35">
      <c r="G351" t="str">
        <f ca="1">IFERROR(_xludf.aggregate(15,6,(ROW(BASE_PRODUTOS!$L$2:$L$1006)-ROW(BASE_PRODUTOS!$L$2)+1)/(BASE_PRODUTOS!$L$2:$L$1006&gt;0),ROWS($G$10:G351)),"")</f>
        <v/>
      </c>
      <c r="H351" s="9" t="str">
        <f ca="1">IF($G351="","",INDEX(BASE_PRODUTOS!$B$2:$B$1006,$G351))</f>
        <v/>
      </c>
      <c r="I351" s="9" t="str">
        <f ca="1">IF($G351="","",INDEX(BASE_PRODUTOS!$L$2:$L$1006,$G351))</f>
        <v/>
      </c>
      <c r="J351" s="9" t="str">
        <f ca="1">IF($G351="","",INDEX(BASE_PRODUTOS!$A$2:$A$1006,$G351))</f>
        <v/>
      </c>
      <c r="K351" s="9" t="str">
        <f ca="1">IF($G351="","",INDEX(BASE_PRODUTOS!$C$2:$C$1006,$G351))</f>
        <v/>
      </c>
      <c r="L351" s="9" t="str">
        <f ca="1">IF($G351="","",INDEX(BASE_PRODUTOS!$E$2:$E$1006,$G351))</f>
        <v/>
      </c>
      <c r="M351" s="9" t="str">
        <f ca="1">IF($G351="","",INDEX(BASE_PRODUTOS!$F$2:$F$1006,$G351))</f>
        <v/>
      </c>
      <c r="N351" s="9" t="str">
        <f ca="1">IF($G351="","",INDEX(BASE_PRODUTOS!$G$2:$G$1006,$G351))</f>
        <v/>
      </c>
      <c r="O351" s="9" t="str">
        <f ca="1">IF($G351="","",INDEX(BASE_PRODUTOS!$H$2:$H$1006,$G351))</f>
        <v/>
      </c>
      <c r="P351" s="9" t="str">
        <f ca="1">IF($G351="","",INDEX(BASE_PRODUTOS!$I$2:$I$1006,$G351))</f>
        <v/>
      </c>
      <c r="Q351" s="9" t="str">
        <f ca="1">IF($G351="","",INDEX(BASE_PRODUTOS!$J$2:$J$1006,$G351))</f>
        <v/>
      </c>
      <c r="R351" s="9" t="str">
        <f ca="1">IF($G351="","",INDEX(BASE_PRODUTOS!$M$2:$M$1006,$G351))</f>
        <v/>
      </c>
      <c r="S351" s="9" t="str">
        <f ca="1">IF($G351="","",INDEX(BASE_PRODUTOS!$N$2:$N$1006,$G351))</f>
        <v/>
      </c>
      <c r="T351" s="9" t="str">
        <f ca="1">IF($G351="","",INDEX(BASE_PRODUTOS!$D$2:$D$1006,$G351))</f>
        <v/>
      </c>
    </row>
    <row r="352" spans="7:20" ht="18" customHeight="1" x14ac:dyDescent="0.35">
      <c r="G352" t="str">
        <f ca="1">IFERROR(_xludf.aggregate(15,6,(ROW(BASE_PRODUTOS!$L$2:$L$1006)-ROW(BASE_PRODUTOS!$L$2)+1)/(BASE_PRODUTOS!$L$2:$L$1006&gt;0),ROWS($G$10:G352)),"")</f>
        <v/>
      </c>
      <c r="H352" s="9" t="str">
        <f ca="1">IF($G352="","",INDEX(BASE_PRODUTOS!$B$2:$B$1006,$G352))</f>
        <v/>
      </c>
      <c r="I352" s="9" t="str">
        <f ca="1">IF($G352="","",INDEX(BASE_PRODUTOS!$L$2:$L$1006,$G352))</f>
        <v/>
      </c>
      <c r="J352" s="9" t="str">
        <f ca="1">IF($G352="","",INDEX(BASE_PRODUTOS!$A$2:$A$1006,$G352))</f>
        <v/>
      </c>
      <c r="K352" s="9" t="str">
        <f ca="1">IF($G352="","",INDEX(BASE_PRODUTOS!$C$2:$C$1006,$G352))</f>
        <v/>
      </c>
      <c r="L352" s="9" t="str">
        <f ca="1">IF($G352="","",INDEX(BASE_PRODUTOS!$E$2:$E$1006,$G352))</f>
        <v/>
      </c>
      <c r="M352" s="9" t="str">
        <f ca="1">IF($G352="","",INDEX(BASE_PRODUTOS!$F$2:$F$1006,$G352))</f>
        <v/>
      </c>
      <c r="N352" s="9" t="str">
        <f ca="1">IF($G352="","",INDEX(BASE_PRODUTOS!$G$2:$G$1006,$G352))</f>
        <v/>
      </c>
      <c r="O352" s="9" t="str">
        <f ca="1">IF($G352="","",INDEX(BASE_PRODUTOS!$H$2:$H$1006,$G352))</f>
        <v/>
      </c>
      <c r="P352" s="9" t="str">
        <f ca="1">IF($G352="","",INDEX(BASE_PRODUTOS!$I$2:$I$1006,$G352))</f>
        <v/>
      </c>
      <c r="Q352" s="9" t="str">
        <f ca="1">IF($G352="","",INDEX(BASE_PRODUTOS!$J$2:$J$1006,$G352))</f>
        <v/>
      </c>
      <c r="R352" s="9" t="str">
        <f ca="1">IF($G352="","",INDEX(BASE_PRODUTOS!$M$2:$M$1006,$G352))</f>
        <v/>
      </c>
      <c r="S352" s="9" t="str">
        <f ca="1">IF($G352="","",INDEX(BASE_PRODUTOS!$N$2:$N$1006,$G352))</f>
        <v/>
      </c>
      <c r="T352" s="9" t="str">
        <f ca="1">IF($G352="","",INDEX(BASE_PRODUTOS!$D$2:$D$1006,$G352))</f>
        <v/>
      </c>
    </row>
    <row r="353" spans="7:20" ht="18" customHeight="1" x14ac:dyDescent="0.35">
      <c r="G353" t="str">
        <f ca="1">IFERROR(_xludf.aggregate(15,6,(ROW(BASE_PRODUTOS!$L$2:$L$1006)-ROW(BASE_PRODUTOS!$L$2)+1)/(BASE_PRODUTOS!$L$2:$L$1006&gt;0),ROWS($G$10:G353)),"")</f>
        <v/>
      </c>
      <c r="H353" s="9" t="str">
        <f ca="1">IF($G353="","",INDEX(BASE_PRODUTOS!$B$2:$B$1006,$G353))</f>
        <v/>
      </c>
      <c r="I353" s="9" t="str">
        <f ca="1">IF($G353="","",INDEX(BASE_PRODUTOS!$L$2:$L$1006,$G353))</f>
        <v/>
      </c>
      <c r="J353" s="9" t="str">
        <f ca="1">IF($G353="","",INDEX(BASE_PRODUTOS!$A$2:$A$1006,$G353))</f>
        <v/>
      </c>
      <c r="K353" s="9" t="str">
        <f ca="1">IF($G353="","",INDEX(BASE_PRODUTOS!$C$2:$C$1006,$G353))</f>
        <v/>
      </c>
      <c r="L353" s="9" t="str">
        <f ca="1">IF($G353="","",INDEX(BASE_PRODUTOS!$E$2:$E$1006,$G353))</f>
        <v/>
      </c>
      <c r="M353" s="9" t="str">
        <f ca="1">IF($G353="","",INDEX(BASE_PRODUTOS!$F$2:$F$1006,$G353))</f>
        <v/>
      </c>
      <c r="N353" s="9" t="str">
        <f ca="1">IF($G353="","",INDEX(BASE_PRODUTOS!$G$2:$G$1006,$G353))</f>
        <v/>
      </c>
      <c r="O353" s="9" t="str">
        <f ca="1">IF($G353="","",INDEX(BASE_PRODUTOS!$H$2:$H$1006,$G353))</f>
        <v/>
      </c>
      <c r="P353" s="9" t="str">
        <f ca="1">IF($G353="","",INDEX(BASE_PRODUTOS!$I$2:$I$1006,$G353))</f>
        <v/>
      </c>
      <c r="Q353" s="9" t="str">
        <f ca="1">IF($G353="","",INDEX(BASE_PRODUTOS!$J$2:$J$1006,$G353))</f>
        <v/>
      </c>
      <c r="R353" s="9" t="str">
        <f ca="1">IF($G353="","",INDEX(BASE_PRODUTOS!$M$2:$M$1006,$G353))</f>
        <v/>
      </c>
      <c r="S353" s="9" t="str">
        <f ca="1">IF($G353="","",INDEX(BASE_PRODUTOS!$N$2:$N$1006,$G353))</f>
        <v/>
      </c>
      <c r="T353" s="9" t="str">
        <f ca="1">IF($G353="","",INDEX(BASE_PRODUTOS!$D$2:$D$1006,$G353))</f>
        <v/>
      </c>
    </row>
    <row r="354" spans="7:20" ht="18" customHeight="1" x14ac:dyDescent="0.35">
      <c r="G354" t="str">
        <f ca="1">IFERROR(_xludf.aggregate(15,6,(ROW(BASE_PRODUTOS!$L$2:$L$1006)-ROW(BASE_PRODUTOS!$L$2)+1)/(BASE_PRODUTOS!$L$2:$L$1006&gt;0),ROWS($G$10:G354)),"")</f>
        <v/>
      </c>
      <c r="H354" s="9" t="str">
        <f ca="1">IF($G354="","",INDEX(BASE_PRODUTOS!$B$2:$B$1006,$G354))</f>
        <v/>
      </c>
      <c r="I354" s="9" t="str">
        <f ca="1">IF($G354="","",INDEX(BASE_PRODUTOS!$L$2:$L$1006,$G354))</f>
        <v/>
      </c>
      <c r="J354" s="9" t="str">
        <f ca="1">IF($G354="","",INDEX(BASE_PRODUTOS!$A$2:$A$1006,$G354))</f>
        <v/>
      </c>
      <c r="K354" s="9" t="str">
        <f ca="1">IF($G354="","",INDEX(BASE_PRODUTOS!$C$2:$C$1006,$G354))</f>
        <v/>
      </c>
      <c r="L354" s="9" t="str">
        <f ca="1">IF($G354="","",INDEX(BASE_PRODUTOS!$E$2:$E$1006,$G354))</f>
        <v/>
      </c>
      <c r="M354" s="9" t="str">
        <f ca="1">IF($G354="","",INDEX(BASE_PRODUTOS!$F$2:$F$1006,$G354))</f>
        <v/>
      </c>
      <c r="N354" s="9" t="str">
        <f ca="1">IF($G354="","",INDEX(BASE_PRODUTOS!$G$2:$G$1006,$G354))</f>
        <v/>
      </c>
      <c r="O354" s="9" t="str">
        <f ca="1">IF($G354="","",INDEX(BASE_PRODUTOS!$H$2:$H$1006,$G354))</f>
        <v/>
      </c>
      <c r="P354" s="9" t="str">
        <f ca="1">IF($G354="","",INDEX(BASE_PRODUTOS!$I$2:$I$1006,$G354))</f>
        <v/>
      </c>
      <c r="Q354" s="9" t="str">
        <f ca="1">IF($G354="","",INDEX(BASE_PRODUTOS!$J$2:$J$1006,$G354))</f>
        <v/>
      </c>
      <c r="R354" s="9" t="str">
        <f ca="1">IF($G354="","",INDEX(BASE_PRODUTOS!$M$2:$M$1006,$G354))</f>
        <v/>
      </c>
      <c r="S354" s="9" t="str">
        <f ca="1">IF($G354="","",INDEX(BASE_PRODUTOS!$N$2:$N$1006,$G354))</f>
        <v/>
      </c>
      <c r="T354" s="9" t="str">
        <f ca="1">IF($G354="","",INDEX(BASE_PRODUTOS!$D$2:$D$1006,$G354))</f>
        <v/>
      </c>
    </row>
    <row r="355" spans="7:20" ht="18" customHeight="1" x14ac:dyDescent="0.35">
      <c r="G355" t="str">
        <f ca="1">IFERROR(_xludf.aggregate(15,6,(ROW(BASE_PRODUTOS!$L$2:$L$1006)-ROW(BASE_PRODUTOS!$L$2)+1)/(BASE_PRODUTOS!$L$2:$L$1006&gt;0),ROWS($G$10:G355)),"")</f>
        <v/>
      </c>
      <c r="H355" s="9" t="str">
        <f ca="1">IF($G355="","",INDEX(BASE_PRODUTOS!$B$2:$B$1006,$G355))</f>
        <v/>
      </c>
      <c r="I355" s="9" t="str">
        <f ca="1">IF($G355="","",INDEX(BASE_PRODUTOS!$L$2:$L$1006,$G355))</f>
        <v/>
      </c>
      <c r="J355" s="9" t="str">
        <f ca="1">IF($G355="","",INDEX(BASE_PRODUTOS!$A$2:$A$1006,$G355))</f>
        <v/>
      </c>
      <c r="K355" s="9" t="str">
        <f ca="1">IF($G355="","",INDEX(BASE_PRODUTOS!$C$2:$C$1006,$G355))</f>
        <v/>
      </c>
      <c r="L355" s="9" t="str">
        <f ca="1">IF($G355="","",INDEX(BASE_PRODUTOS!$E$2:$E$1006,$G355))</f>
        <v/>
      </c>
      <c r="M355" s="9" t="str">
        <f ca="1">IF($G355="","",INDEX(BASE_PRODUTOS!$F$2:$F$1006,$G355))</f>
        <v/>
      </c>
      <c r="N355" s="9" t="str">
        <f ca="1">IF($G355="","",INDEX(BASE_PRODUTOS!$G$2:$G$1006,$G355))</f>
        <v/>
      </c>
      <c r="O355" s="9" t="str">
        <f ca="1">IF($G355="","",INDEX(BASE_PRODUTOS!$H$2:$H$1006,$G355))</f>
        <v/>
      </c>
      <c r="P355" s="9" t="str">
        <f ca="1">IF($G355="","",INDEX(BASE_PRODUTOS!$I$2:$I$1006,$G355))</f>
        <v/>
      </c>
      <c r="Q355" s="9" t="str">
        <f ca="1">IF($G355="","",INDEX(BASE_PRODUTOS!$J$2:$J$1006,$G355))</f>
        <v/>
      </c>
      <c r="R355" s="9" t="str">
        <f ca="1">IF($G355="","",INDEX(BASE_PRODUTOS!$M$2:$M$1006,$G355))</f>
        <v/>
      </c>
      <c r="S355" s="9" t="str">
        <f ca="1">IF($G355="","",INDEX(BASE_PRODUTOS!$N$2:$N$1006,$G355))</f>
        <v/>
      </c>
      <c r="T355" s="9" t="str">
        <f ca="1">IF($G355="","",INDEX(BASE_PRODUTOS!$D$2:$D$1006,$G355))</f>
        <v/>
      </c>
    </row>
    <row r="356" spans="7:20" ht="18" customHeight="1" x14ac:dyDescent="0.35">
      <c r="G356" t="str">
        <f ca="1">IFERROR(_xludf.aggregate(15,6,(ROW(BASE_PRODUTOS!$L$2:$L$1006)-ROW(BASE_PRODUTOS!$L$2)+1)/(BASE_PRODUTOS!$L$2:$L$1006&gt;0),ROWS($G$10:G356)),"")</f>
        <v/>
      </c>
      <c r="H356" s="9" t="str">
        <f ca="1">IF($G356="","",INDEX(BASE_PRODUTOS!$B$2:$B$1006,$G356))</f>
        <v/>
      </c>
      <c r="I356" s="9" t="str">
        <f ca="1">IF($G356="","",INDEX(BASE_PRODUTOS!$L$2:$L$1006,$G356))</f>
        <v/>
      </c>
      <c r="J356" s="9" t="str">
        <f ca="1">IF($G356="","",INDEX(BASE_PRODUTOS!$A$2:$A$1006,$G356))</f>
        <v/>
      </c>
      <c r="K356" s="9" t="str">
        <f ca="1">IF($G356="","",INDEX(BASE_PRODUTOS!$C$2:$C$1006,$G356))</f>
        <v/>
      </c>
      <c r="L356" s="9" t="str">
        <f ca="1">IF($G356="","",INDEX(BASE_PRODUTOS!$E$2:$E$1006,$G356))</f>
        <v/>
      </c>
      <c r="M356" s="9" t="str">
        <f ca="1">IF($G356="","",INDEX(BASE_PRODUTOS!$F$2:$F$1006,$G356))</f>
        <v/>
      </c>
      <c r="N356" s="9" t="str">
        <f ca="1">IF($G356="","",INDEX(BASE_PRODUTOS!$G$2:$G$1006,$G356))</f>
        <v/>
      </c>
      <c r="O356" s="9" t="str">
        <f ca="1">IF($G356="","",INDEX(BASE_PRODUTOS!$H$2:$H$1006,$G356))</f>
        <v/>
      </c>
      <c r="P356" s="9" t="str">
        <f ca="1">IF($G356="","",INDEX(BASE_PRODUTOS!$I$2:$I$1006,$G356))</f>
        <v/>
      </c>
      <c r="Q356" s="9" t="str">
        <f ca="1">IF($G356="","",INDEX(BASE_PRODUTOS!$J$2:$J$1006,$G356))</f>
        <v/>
      </c>
      <c r="R356" s="9" t="str">
        <f ca="1">IF($G356="","",INDEX(BASE_PRODUTOS!$M$2:$M$1006,$G356))</f>
        <v/>
      </c>
      <c r="S356" s="9" t="str">
        <f ca="1">IF($G356="","",INDEX(BASE_PRODUTOS!$N$2:$N$1006,$G356))</f>
        <v/>
      </c>
      <c r="T356" s="9" t="str">
        <f ca="1">IF($G356="","",INDEX(BASE_PRODUTOS!$D$2:$D$1006,$G356))</f>
        <v/>
      </c>
    </row>
    <row r="357" spans="7:20" ht="18" customHeight="1" x14ac:dyDescent="0.35">
      <c r="G357" t="str">
        <f ca="1">IFERROR(_xludf.aggregate(15,6,(ROW(BASE_PRODUTOS!$L$2:$L$1006)-ROW(BASE_PRODUTOS!$L$2)+1)/(BASE_PRODUTOS!$L$2:$L$1006&gt;0),ROWS($G$10:G357)),"")</f>
        <v/>
      </c>
      <c r="H357" s="9" t="str">
        <f ca="1">IF($G357="","",INDEX(BASE_PRODUTOS!$B$2:$B$1006,$G357))</f>
        <v/>
      </c>
      <c r="I357" s="9" t="str">
        <f ca="1">IF($G357="","",INDEX(BASE_PRODUTOS!$L$2:$L$1006,$G357))</f>
        <v/>
      </c>
      <c r="J357" s="9" t="str">
        <f ca="1">IF($G357="","",INDEX(BASE_PRODUTOS!$A$2:$A$1006,$G357))</f>
        <v/>
      </c>
      <c r="K357" s="9" t="str">
        <f ca="1">IF($G357="","",INDEX(BASE_PRODUTOS!$C$2:$C$1006,$G357))</f>
        <v/>
      </c>
      <c r="L357" s="9" t="str">
        <f ca="1">IF($G357="","",INDEX(BASE_PRODUTOS!$E$2:$E$1006,$G357))</f>
        <v/>
      </c>
      <c r="M357" s="9" t="str">
        <f ca="1">IF($G357="","",INDEX(BASE_PRODUTOS!$F$2:$F$1006,$G357))</f>
        <v/>
      </c>
      <c r="N357" s="9" t="str">
        <f ca="1">IF($G357="","",INDEX(BASE_PRODUTOS!$G$2:$G$1006,$G357))</f>
        <v/>
      </c>
      <c r="O357" s="9" t="str">
        <f ca="1">IF($G357="","",INDEX(BASE_PRODUTOS!$H$2:$H$1006,$G357))</f>
        <v/>
      </c>
      <c r="P357" s="9" t="str">
        <f ca="1">IF($G357="","",INDEX(BASE_PRODUTOS!$I$2:$I$1006,$G357))</f>
        <v/>
      </c>
      <c r="Q357" s="9" t="str">
        <f ca="1">IF($G357="","",INDEX(BASE_PRODUTOS!$J$2:$J$1006,$G357))</f>
        <v/>
      </c>
      <c r="R357" s="9" t="str">
        <f ca="1">IF($G357="","",INDEX(BASE_PRODUTOS!$M$2:$M$1006,$G357))</f>
        <v/>
      </c>
      <c r="S357" s="9" t="str">
        <f ca="1">IF($G357="","",INDEX(BASE_PRODUTOS!$N$2:$N$1006,$G357))</f>
        <v/>
      </c>
      <c r="T357" s="9" t="str">
        <f ca="1">IF($G357="","",INDEX(BASE_PRODUTOS!$D$2:$D$1006,$G357))</f>
        <v/>
      </c>
    </row>
    <row r="358" spans="7:20" ht="18" customHeight="1" x14ac:dyDescent="0.35">
      <c r="G358" t="str">
        <f ca="1">IFERROR(_xludf.aggregate(15,6,(ROW(BASE_PRODUTOS!$L$2:$L$1006)-ROW(BASE_PRODUTOS!$L$2)+1)/(BASE_PRODUTOS!$L$2:$L$1006&gt;0),ROWS($G$10:G358)),"")</f>
        <v/>
      </c>
      <c r="H358" s="9" t="str">
        <f ca="1">IF($G358="","",INDEX(BASE_PRODUTOS!$B$2:$B$1006,$G358))</f>
        <v/>
      </c>
      <c r="I358" s="9" t="str">
        <f ca="1">IF($G358="","",INDEX(BASE_PRODUTOS!$L$2:$L$1006,$G358))</f>
        <v/>
      </c>
      <c r="J358" s="9" t="str">
        <f ca="1">IF($G358="","",INDEX(BASE_PRODUTOS!$A$2:$A$1006,$G358))</f>
        <v/>
      </c>
      <c r="K358" s="9" t="str">
        <f ca="1">IF($G358="","",INDEX(BASE_PRODUTOS!$C$2:$C$1006,$G358))</f>
        <v/>
      </c>
      <c r="L358" s="9" t="str">
        <f ca="1">IF($G358="","",INDEX(BASE_PRODUTOS!$E$2:$E$1006,$G358))</f>
        <v/>
      </c>
      <c r="M358" s="9" t="str">
        <f ca="1">IF($G358="","",INDEX(BASE_PRODUTOS!$F$2:$F$1006,$G358))</f>
        <v/>
      </c>
      <c r="N358" s="9" t="str">
        <f ca="1">IF($G358="","",INDEX(BASE_PRODUTOS!$G$2:$G$1006,$G358))</f>
        <v/>
      </c>
      <c r="O358" s="9" t="str">
        <f ca="1">IF($G358="","",INDEX(BASE_PRODUTOS!$H$2:$H$1006,$G358))</f>
        <v/>
      </c>
      <c r="P358" s="9" t="str">
        <f ca="1">IF($G358="","",INDEX(BASE_PRODUTOS!$I$2:$I$1006,$G358))</f>
        <v/>
      </c>
      <c r="Q358" s="9" t="str">
        <f ca="1">IF($G358="","",INDEX(BASE_PRODUTOS!$J$2:$J$1006,$G358))</f>
        <v/>
      </c>
      <c r="R358" s="9" t="str">
        <f ca="1">IF($G358="","",INDEX(BASE_PRODUTOS!$M$2:$M$1006,$G358))</f>
        <v/>
      </c>
      <c r="S358" s="9" t="str">
        <f ca="1">IF($G358="","",INDEX(BASE_PRODUTOS!$N$2:$N$1006,$G358))</f>
        <v/>
      </c>
      <c r="T358" s="9" t="str">
        <f ca="1">IF($G358="","",INDEX(BASE_PRODUTOS!$D$2:$D$1006,$G358))</f>
        <v/>
      </c>
    </row>
    <row r="359" spans="7:20" ht="18" customHeight="1" x14ac:dyDescent="0.35">
      <c r="G359" t="str">
        <f ca="1">IFERROR(_xludf.aggregate(15,6,(ROW(BASE_PRODUTOS!$L$2:$L$1006)-ROW(BASE_PRODUTOS!$L$2)+1)/(BASE_PRODUTOS!$L$2:$L$1006&gt;0),ROWS($G$10:G359)),"")</f>
        <v/>
      </c>
      <c r="H359" s="9" t="str">
        <f ca="1">IF($G359="","",INDEX(BASE_PRODUTOS!$B$2:$B$1006,$G359))</f>
        <v/>
      </c>
      <c r="I359" s="9" t="str">
        <f ca="1">IF($G359="","",INDEX(BASE_PRODUTOS!$L$2:$L$1006,$G359))</f>
        <v/>
      </c>
      <c r="J359" s="9" t="str">
        <f ca="1">IF($G359="","",INDEX(BASE_PRODUTOS!$A$2:$A$1006,$G359))</f>
        <v/>
      </c>
      <c r="K359" s="9" t="str">
        <f ca="1">IF($G359="","",INDEX(BASE_PRODUTOS!$C$2:$C$1006,$G359))</f>
        <v/>
      </c>
      <c r="L359" s="9" t="str">
        <f ca="1">IF($G359="","",INDEX(BASE_PRODUTOS!$E$2:$E$1006,$G359))</f>
        <v/>
      </c>
      <c r="M359" s="9" t="str">
        <f ca="1">IF($G359="","",INDEX(BASE_PRODUTOS!$F$2:$F$1006,$G359))</f>
        <v/>
      </c>
      <c r="N359" s="9" t="str">
        <f ca="1">IF($G359="","",INDEX(BASE_PRODUTOS!$G$2:$G$1006,$G359))</f>
        <v/>
      </c>
      <c r="O359" s="9" t="str">
        <f ca="1">IF($G359="","",INDEX(BASE_PRODUTOS!$H$2:$H$1006,$G359))</f>
        <v/>
      </c>
      <c r="P359" s="9" t="str">
        <f ca="1">IF($G359="","",INDEX(BASE_PRODUTOS!$I$2:$I$1006,$G359))</f>
        <v/>
      </c>
      <c r="Q359" s="9" t="str">
        <f ca="1">IF($G359="","",INDEX(BASE_PRODUTOS!$J$2:$J$1006,$G359))</f>
        <v/>
      </c>
      <c r="R359" s="9" t="str">
        <f ca="1">IF($G359="","",INDEX(BASE_PRODUTOS!$M$2:$M$1006,$G359))</f>
        <v/>
      </c>
      <c r="S359" s="9" t="str">
        <f ca="1">IF($G359="","",INDEX(BASE_PRODUTOS!$N$2:$N$1006,$G359))</f>
        <v/>
      </c>
      <c r="T359" s="9" t="str">
        <f ca="1">IF($G359="","",INDEX(BASE_PRODUTOS!$D$2:$D$1006,$G359))</f>
        <v/>
      </c>
    </row>
    <row r="360" spans="7:20" ht="18" customHeight="1" x14ac:dyDescent="0.35">
      <c r="G360" t="str">
        <f ca="1">IFERROR(_xludf.aggregate(15,6,(ROW(BASE_PRODUTOS!$L$2:$L$1006)-ROW(BASE_PRODUTOS!$L$2)+1)/(BASE_PRODUTOS!$L$2:$L$1006&gt;0),ROWS($G$10:G360)),"")</f>
        <v/>
      </c>
      <c r="H360" s="9" t="str">
        <f ca="1">IF($G360="","",INDEX(BASE_PRODUTOS!$B$2:$B$1006,$G360))</f>
        <v/>
      </c>
      <c r="I360" s="9" t="str">
        <f ca="1">IF($G360="","",INDEX(BASE_PRODUTOS!$L$2:$L$1006,$G360))</f>
        <v/>
      </c>
      <c r="J360" s="9" t="str">
        <f ca="1">IF($G360="","",INDEX(BASE_PRODUTOS!$A$2:$A$1006,$G360))</f>
        <v/>
      </c>
      <c r="K360" s="9" t="str">
        <f ca="1">IF($G360="","",INDEX(BASE_PRODUTOS!$C$2:$C$1006,$G360))</f>
        <v/>
      </c>
      <c r="L360" s="9" t="str">
        <f ca="1">IF($G360="","",INDEX(BASE_PRODUTOS!$E$2:$E$1006,$G360))</f>
        <v/>
      </c>
      <c r="M360" s="9" t="str">
        <f ca="1">IF($G360="","",INDEX(BASE_PRODUTOS!$F$2:$F$1006,$G360))</f>
        <v/>
      </c>
      <c r="N360" s="9" t="str">
        <f ca="1">IF($G360="","",INDEX(BASE_PRODUTOS!$G$2:$G$1006,$G360))</f>
        <v/>
      </c>
      <c r="O360" s="9" t="str">
        <f ca="1">IF($G360="","",INDEX(BASE_PRODUTOS!$H$2:$H$1006,$G360))</f>
        <v/>
      </c>
      <c r="P360" s="9" t="str">
        <f ca="1">IF($G360="","",INDEX(BASE_PRODUTOS!$I$2:$I$1006,$G360))</f>
        <v/>
      </c>
      <c r="Q360" s="9" t="str">
        <f ca="1">IF($G360="","",INDEX(BASE_PRODUTOS!$J$2:$J$1006,$G360))</f>
        <v/>
      </c>
      <c r="R360" s="9" t="str">
        <f ca="1">IF($G360="","",INDEX(BASE_PRODUTOS!$M$2:$M$1006,$G360))</f>
        <v/>
      </c>
      <c r="S360" s="9" t="str">
        <f ca="1">IF($G360="","",INDEX(BASE_PRODUTOS!$N$2:$N$1006,$G360))</f>
        <v/>
      </c>
      <c r="T360" s="9" t="str">
        <f ca="1">IF($G360="","",INDEX(BASE_PRODUTOS!$D$2:$D$1006,$G360))</f>
        <v/>
      </c>
    </row>
    <row r="361" spans="7:20" ht="18" customHeight="1" x14ac:dyDescent="0.35">
      <c r="G361" t="str">
        <f ca="1">IFERROR(_xludf.aggregate(15,6,(ROW(BASE_PRODUTOS!$L$2:$L$1006)-ROW(BASE_PRODUTOS!$L$2)+1)/(BASE_PRODUTOS!$L$2:$L$1006&gt;0),ROWS($G$10:G361)),"")</f>
        <v/>
      </c>
      <c r="H361" s="9" t="str">
        <f ca="1">IF($G361="","",INDEX(BASE_PRODUTOS!$B$2:$B$1006,$G361))</f>
        <v/>
      </c>
      <c r="I361" s="9" t="str">
        <f ca="1">IF($G361="","",INDEX(BASE_PRODUTOS!$L$2:$L$1006,$G361))</f>
        <v/>
      </c>
      <c r="J361" s="9" t="str">
        <f ca="1">IF($G361="","",INDEX(BASE_PRODUTOS!$A$2:$A$1006,$G361))</f>
        <v/>
      </c>
      <c r="K361" s="9" t="str">
        <f ca="1">IF($G361="","",INDEX(BASE_PRODUTOS!$C$2:$C$1006,$G361))</f>
        <v/>
      </c>
      <c r="L361" s="9" t="str">
        <f ca="1">IF($G361="","",INDEX(BASE_PRODUTOS!$E$2:$E$1006,$G361))</f>
        <v/>
      </c>
      <c r="M361" s="9" t="str">
        <f ca="1">IF($G361="","",INDEX(BASE_PRODUTOS!$F$2:$F$1006,$G361))</f>
        <v/>
      </c>
      <c r="N361" s="9" t="str">
        <f ca="1">IF($G361="","",INDEX(BASE_PRODUTOS!$G$2:$G$1006,$G361))</f>
        <v/>
      </c>
      <c r="O361" s="9" t="str">
        <f ca="1">IF($G361="","",INDEX(BASE_PRODUTOS!$H$2:$H$1006,$G361))</f>
        <v/>
      </c>
      <c r="P361" s="9" t="str">
        <f ca="1">IF($G361="","",INDEX(BASE_PRODUTOS!$I$2:$I$1006,$G361))</f>
        <v/>
      </c>
      <c r="Q361" s="9" t="str">
        <f ca="1">IF($G361="","",INDEX(BASE_PRODUTOS!$J$2:$J$1006,$G361))</f>
        <v/>
      </c>
      <c r="R361" s="9" t="str">
        <f ca="1">IF($G361="","",INDEX(BASE_PRODUTOS!$M$2:$M$1006,$G361))</f>
        <v/>
      </c>
      <c r="S361" s="9" t="str">
        <f ca="1">IF($G361="","",INDEX(BASE_PRODUTOS!$N$2:$N$1006,$G361))</f>
        <v/>
      </c>
      <c r="T361" s="9" t="str">
        <f ca="1">IF($G361="","",INDEX(BASE_PRODUTOS!$D$2:$D$1006,$G361))</f>
        <v/>
      </c>
    </row>
    <row r="362" spans="7:20" ht="18" customHeight="1" x14ac:dyDescent="0.35">
      <c r="G362" t="str">
        <f ca="1">IFERROR(_xludf.aggregate(15,6,(ROW(BASE_PRODUTOS!$L$2:$L$1006)-ROW(BASE_PRODUTOS!$L$2)+1)/(BASE_PRODUTOS!$L$2:$L$1006&gt;0),ROWS($G$10:G362)),"")</f>
        <v/>
      </c>
      <c r="H362" s="9" t="str">
        <f ca="1">IF($G362="","",INDEX(BASE_PRODUTOS!$B$2:$B$1006,$G362))</f>
        <v/>
      </c>
      <c r="I362" s="9" t="str">
        <f ca="1">IF($G362="","",INDEX(BASE_PRODUTOS!$L$2:$L$1006,$G362))</f>
        <v/>
      </c>
      <c r="J362" s="9" t="str">
        <f ca="1">IF($G362="","",INDEX(BASE_PRODUTOS!$A$2:$A$1006,$G362))</f>
        <v/>
      </c>
      <c r="K362" s="9" t="str">
        <f ca="1">IF($G362="","",INDEX(BASE_PRODUTOS!$C$2:$C$1006,$G362))</f>
        <v/>
      </c>
      <c r="L362" s="9" t="str">
        <f ca="1">IF($G362="","",INDEX(BASE_PRODUTOS!$E$2:$E$1006,$G362))</f>
        <v/>
      </c>
      <c r="M362" s="9" t="str">
        <f ca="1">IF($G362="","",INDEX(BASE_PRODUTOS!$F$2:$F$1006,$G362))</f>
        <v/>
      </c>
      <c r="N362" s="9" t="str">
        <f ca="1">IF($G362="","",INDEX(BASE_PRODUTOS!$G$2:$G$1006,$G362))</f>
        <v/>
      </c>
      <c r="O362" s="9" t="str">
        <f ca="1">IF($G362="","",INDEX(BASE_PRODUTOS!$H$2:$H$1006,$G362))</f>
        <v/>
      </c>
      <c r="P362" s="9" t="str">
        <f ca="1">IF($G362="","",INDEX(BASE_PRODUTOS!$I$2:$I$1006,$G362))</f>
        <v/>
      </c>
      <c r="Q362" s="9" t="str">
        <f ca="1">IF($G362="","",INDEX(BASE_PRODUTOS!$J$2:$J$1006,$G362))</f>
        <v/>
      </c>
      <c r="R362" s="9" t="str">
        <f ca="1">IF($G362="","",INDEX(BASE_PRODUTOS!$M$2:$M$1006,$G362))</f>
        <v/>
      </c>
      <c r="S362" s="9" t="str">
        <f ca="1">IF($G362="","",INDEX(BASE_PRODUTOS!$N$2:$N$1006,$G362))</f>
        <v/>
      </c>
      <c r="T362" s="9" t="str">
        <f ca="1">IF($G362="","",INDEX(BASE_PRODUTOS!$D$2:$D$1006,$G362))</f>
        <v/>
      </c>
    </row>
    <row r="363" spans="7:20" ht="18" customHeight="1" x14ac:dyDescent="0.35">
      <c r="G363" t="str">
        <f ca="1">IFERROR(_xludf.aggregate(15,6,(ROW(BASE_PRODUTOS!$L$2:$L$1006)-ROW(BASE_PRODUTOS!$L$2)+1)/(BASE_PRODUTOS!$L$2:$L$1006&gt;0),ROWS($G$10:G363)),"")</f>
        <v/>
      </c>
      <c r="H363" s="9" t="str">
        <f ca="1">IF($G363="","",INDEX(BASE_PRODUTOS!$B$2:$B$1006,$G363))</f>
        <v/>
      </c>
      <c r="I363" s="9" t="str">
        <f ca="1">IF($G363="","",INDEX(BASE_PRODUTOS!$L$2:$L$1006,$G363))</f>
        <v/>
      </c>
      <c r="J363" s="9" t="str">
        <f ca="1">IF($G363="","",INDEX(BASE_PRODUTOS!$A$2:$A$1006,$G363))</f>
        <v/>
      </c>
      <c r="K363" s="9" t="str">
        <f ca="1">IF($G363="","",INDEX(BASE_PRODUTOS!$C$2:$C$1006,$G363))</f>
        <v/>
      </c>
      <c r="L363" s="9" t="str">
        <f ca="1">IF($G363="","",INDEX(BASE_PRODUTOS!$E$2:$E$1006,$G363))</f>
        <v/>
      </c>
      <c r="M363" s="9" t="str">
        <f ca="1">IF($G363="","",INDEX(BASE_PRODUTOS!$F$2:$F$1006,$G363))</f>
        <v/>
      </c>
      <c r="N363" s="9" t="str">
        <f ca="1">IF($G363="","",INDEX(BASE_PRODUTOS!$G$2:$G$1006,$G363))</f>
        <v/>
      </c>
      <c r="O363" s="9" t="str">
        <f ca="1">IF($G363="","",INDEX(BASE_PRODUTOS!$H$2:$H$1006,$G363))</f>
        <v/>
      </c>
      <c r="P363" s="9" t="str">
        <f ca="1">IF($G363="","",INDEX(BASE_PRODUTOS!$I$2:$I$1006,$G363))</f>
        <v/>
      </c>
      <c r="Q363" s="9" t="str">
        <f ca="1">IF($G363="","",INDEX(BASE_PRODUTOS!$J$2:$J$1006,$G363))</f>
        <v/>
      </c>
      <c r="R363" s="9" t="str">
        <f ca="1">IF($G363="","",INDEX(BASE_PRODUTOS!$M$2:$M$1006,$G363))</f>
        <v/>
      </c>
      <c r="S363" s="9" t="str">
        <f ca="1">IF($G363="","",INDEX(BASE_PRODUTOS!$N$2:$N$1006,$G363))</f>
        <v/>
      </c>
      <c r="T363" s="9" t="str">
        <f ca="1">IF($G363="","",INDEX(BASE_PRODUTOS!$D$2:$D$1006,$G363))</f>
        <v/>
      </c>
    </row>
    <row r="364" spans="7:20" ht="18" customHeight="1" x14ac:dyDescent="0.35">
      <c r="G364" t="str">
        <f ca="1">IFERROR(_xludf.aggregate(15,6,(ROW(BASE_PRODUTOS!$L$2:$L$1006)-ROW(BASE_PRODUTOS!$L$2)+1)/(BASE_PRODUTOS!$L$2:$L$1006&gt;0),ROWS($G$10:G364)),"")</f>
        <v/>
      </c>
      <c r="H364" s="9" t="str">
        <f ca="1">IF($G364="","",INDEX(BASE_PRODUTOS!$B$2:$B$1006,$G364))</f>
        <v/>
      </c>
      <c r="I364" s="9" t="str">
        <f ca="1">IF($G364="","",INDEX(BASE_PRODUTOS!$L$2:$L$1006,$G364))</f>
        <v/>
      </c>
      <c r="J364" s="9" t="str">
        <f ca="1">IF($G364="","",INDEX(BASE_PRODUTOS!$A$2:$A$1006,$G364))</f>
        <v/>
      </c>
      <c r="K364" s="9" t="str">
        <f ca="1">IF($G364="","",INDEX(BASE_PRODUTOS!$C$2:$C$1006,$G364))</f>
        <v/>
      </c>
      <c r="L364" s="9" t="str">
        <f ca="1">IF($G364="","",INDEX(BASE_PRODUTOS!$E$2:$E$1006,$G364))</f>
        <v/>
      </c>
      <c r="M364" s="9" t="str">
        <f ca="1">IF($G364="","",INDEX(BASE_PRODUTOS!$F$2:$F$1006,$G364))</f>
        <v/>
      </c>
      <c r="N364" s="9" t="str">
        <f ca="1">IF($G364="","",INDEX(BASE_PRODUTOS!$G$2:$G$1006,$G364))</f>
        <v/>
      </c>
      <c r="O364" s="9" t="str">
        <f ca="1">IF($G364="","",INDEX(BASE_PRODUTOS!$H$2:$H$1006,$G364))</f>
        <v/>
      </c>
      <c r="P364" s="9" t="str">
        <f ca="1">IF($G364="","",INDEX(BASE_PRODUTOS!$I$2:$I$1006,$G364))</f>
        <v/>
      </c>
      <c r="Q364" s="9" t="str">
        <f ca="1">IF($G364="","",INDEX(BASE_PRODUTOS!$J$2:$J$1006,$G364))</f>
        <v/>
      </c>
      <c r="R364" s="9" t="str">
        <f ca="1">IF($G364="","",INDEX(BASE_PRODUTOS!$M$2:$M$1006,$G364))</f>
        <v/>
      </c>
      <c r="S364" s="9" t="str">
        <f ca="1">IF($G364="","",INDEX(BASE_PRODUTOS!$N$2:$N$1006,$G364))</f>
        <v/>
      </c>
      <c r="T364" s="9" t="str">
        <f ca="1">IF($G364="","",INDEX(BASE_PRODUTOS!$D$2:$D$1006,$G364))</f>
        <v/>
      </c>
    </row>
    <row r="365" spans="7:20" ht="18" customHeight="1" x14ac:dyDescent="0.35">
      <c r="G365" t="str">
        <f ca="1">IFERROR(_xludf.aggregate(15,6,(ROW(BASE_PRODUTOS!$L$2:$L$1006)-ROW(BASE_PRODUTOS!$L$2)+1)/(BASE_PRODUTOS!$L$2:$L$1006&gt;0),ROWS($G$10:G365)),"")</f>
        <v/>
      </c>
      <c r="H365" s="9" t="str">
        <f ca="1">IF($G365="","",INDEX(BASE_PRODUTOS!$B$2:$B$1006,$G365))</f>
        <v/>
      </c>
      <c r="I365" s="9" t="str">
        <f ca="1">IF($G365="","",INDEX(BASE_PRODUTOS!$L$2:$L$1006,$G365))</f>
        <v/>
      </c>
      <c r="J365" s="9" t="str">
        <f ca="1">IF($G365="","",INDEX(BASE_PRODUTOS!$A$2:$A$1006,$G365))</f>
        <v/>
      </c>
      <c r="K365" s="9" t="str">
        <f ca="1">IF($G365="","",INDEX(BASE_PRODUTOS!$C$2:$C$1006,$G365))</f>
        <v/>
      </c>
      <c r="L365" s="9" t="str">
        <f ca="1">IF($G365="","",INDEX(BASE_PRODUTOS!$E$2:$E$1006,$G365))</f>
        <v/>
      </c>
      <c r="M365" s="9" t="str">
        <f ca="1">IF($G365="","",INDEX(BASE_PRODUTOS!$F$2:$F$1006,$G365))</f>
        <v/>
      </c>
      <c r="N365" s="9" t="str">
        <f ca="1">IF($G365="","",INDEX(BASE_PRODUTOS!$G$2:$G$1006,$G365))</f>
        <v/>
      </c>
      <c r="O365" s="9" t="str">
        <f ca="1">IF($G365="","",INDEX(BASE_PRODUTOS!$H$2:$H$1006,$G365))</f>
        <v/>
      </c>
      <c r="P365" s="9" t="str">
        <f ca="1">IF($G365="","",INDEX(BASE_PRODUTOS!$I$2:$I$1006,$G365))</f>
        <v/>
      </c>
      <c r="Q365" s="9" t="str">
        <f ca="1">IF($G365="","",INDEX(BASE_PRODUTOS!$J$2:$J$1006,$G365))</f>
        <v/>
      </c>
      <c r="R365" s="9" t="str">
        <f ca="1">IF($G365="","",INDEX(BASE_PRODUTOS!$M$2:$M$1006,$G365))</f>
        <v/>
      </c>
      <c r="S365" s="9" t="str">
        <f ca="1">IF($G365="","",INDEX(BASE_PRODUTOS!$N$2:$N$1006,$G365))</f>
        <v/>
      </c>
      <c r="T365" s="9" t="str">
        <f ca="1">IF($G365="","",INDEX(BASE_PRODUTOS!$D$2:$D$1006,$G365))</f>
        <v/>
      </c>
    </row>
    <row r="366" spans="7:20" ht="18" customHeight="1" x14ac:dyDescent="0.35">
      <c r="G366" t="str">
        <f ca="1">IFERROR(_xludf.aggregate(15,6,(ROW(BASE_PRODUTOS!$L$2:$L$1006)-ROW(BASE_PRODUTOS!$L$2)+1)/(BASE_PRODUTOS!$L$2:$L$1006&gt;0),ROWS($G$10:G366)),"")</f>
        <v/>
      </c>
      <c r="H366" s="9" t="str">
        <f ca="1">IF($G366="","",INDEX(BASE_PRODUTOS!$B$2:$B$1006,$G366))</f>
        <v/>
      </c>
      <c r="I366" s="9" t="str">
        <f ca="1">IF($G366="","",INDEX(BASE_PRODUTOS!$L$2:$L$1006,$G366))</f>
        <v/>
      </c>
      <c r="J366" s="9" t="str">
        <f ca="1">IF($G366="","",INDEX(BASE_PRODUTOS!$A$2:$A$1006,$G366))</f>
        <v/>
      </c>
      <c r="K366" s="9" t="str">
        <f ca="1">IF($G366="","",INDEX(BASE_PRODUTOS!$C$2:$C$1006,$G366))</f>
        <v/>
      </c>
      <c r="L366" s="9" t="str">
        <f ca="1">IF($G366="","",INDEX(BASE_PRODUTOS!$E$2:$E$1006,$G366))</f>
        <v/>
      </c>
      <c r="M366" s="9" t="str">
        <f ca="1">IF($G366="","",INDEX(BASE_PRODUTOS!$F$2:$F$1006,$G366))</f>
        <v/>
      </c>
      <c r="N366" s="9" t="str">
        <f ca="1">IF($G366="","",INDEX(BASE_PRODUTOS!$G$2:$G$1006,$G366))</f>
        <v/>
      </c>
      <c r="O366" s="9" t="str">
        <f ca="1">IF($G366="","",INDEX(BASE_PRODUTOS!$H$2:$H$1006,$G366))</f>
        <v/>
      </c>
      <c r="P366" s="9" t="str">
        <f ca="1">IF($G366="","",INDEX(BASE_PRODUTOS!$I$2:$I$1006,$G366))</f>
        <v/>
      </c>
      <c r="Q366" s="9" t="str">
        <f ca="1">IF($G366="","",INDEX(BASE_PRODUTOS!$J$2:$J$1006,$G366))</f>
        <v/>
      </c>
      <c r="R366" s="9" t="str">
        <f ca="1">IF($G366="","",INDEX(BASE_PRODUTOS!$M$2:$M$1006,$G366))</f>
        <v/>
      </c>
      <c r="S366" s="9" t="str">
        <f ca="1">IF($G366="","",INDEX(BASE_PRODUTOS!$N$2:$N$1006,$G366))</f>
        <v/>
      </c>
      <c r="T366" s="9" t="str">
        <f ca="1">IF($G366="","",INDEX(BASE_PRODUTOS!$D$2:$D$1006,$G366))</f>
        <v/>
      </c>
    </row>
    <row r="367" spans="7:20" ht="18" customHeight="1" x14ac:dyDescent="0.35">
      <c r="G367" t="str">
        <f ca="1">IFERROR(_xludf.aggregate(15,6,(ROW(BASE_PRODUTOS!$L$2:$L$1006)-ROW(BASE_PRODUTOS!$L$2)+1)/(BASE_PRODUTOS!$L$2:$L$1006&gt;0),ROWS($G$10:G367)),"")</f>
        <v/>
      </c>
      <c r="H367" s="9" t="str">
        <f ca="1">IF($G367="","",INDEX(BASE_PRODUTOS!$B$2:$B$1006,$G367))</f>
        <v/>
      </c>
      <c r="I367" s="9" t="str">
        <f ca="1">IF($G367="","",INDEX(BASE_PRODUTOS!$L$2:$L$1006,$G367))</f>
        <v/>
      </c>
      <c r="J367" s="9" t="str">
        <f ca="1">IF($G367="","",INDEX(BASE_PRODUTOS!$A$2:$A$1006,$G367))</f>
        <v/>
      </c>
      <c r="K367" s="9" t="str">
        <f ca="1">IF($G367="","",INDEX(BASE_PRODUTOS!$C$2:$C$1006,$G367))</f>
        <v/>
      </c>
      <c r="L367" s="9" t="str">
        <f ca="1">IF($G367="","",INDEX(BASE_PRODUTOS!$E$2:$E$1006,$G367))</f>
        <v/>
      </c>
      <c r="M367" s="9" t="str">
        <f ca="1">IF($G367="","",INDEX(BASE_PRODUTOS!$F$2:$F$1006,$G367))</f>
        <v/>
      </c>
      <c r="N367" s="9" t="str">
        <f ca="1">IF($G367="","",INDEX(BASE_PRODUTOS!$G$2:$G$1006,$G367))</f>
        <v/>
      </c>
      <c r="O367" s="9" t="str">
        <f ca="1">IF($G367="","",INDEX(BASE_PRODUTOS!$H$2:$H$1006,$G367))</f>
        <v/>
      </c>
      <c r="P367" s="9" t="str">
        <f ca="1">IF($G367="","",INDEX(BASE_PRODUTOS!$I$2:$I$1006,$G367))</f>
        <v/>
      </c>
      <c r="Q367" s="9" t="str">
        <f ca="1">IF($G367="","",INDEX(BASE_PRODUTOS!$J$2:$J$1006,$G367))</f>
        <v/>
      </c>
      <c r="R367" s="9" t="str">
        <f ca="1">IF($G367="","",INDEX(BASE_PRODUTOS!$M$2:$M$1006,$G367))</f>
        <v/>
      </c>
      <c r="S367" s="9" t="str">
        <f ca="1">IF($G367="","",INDEX(BASE_PRODUTOS!$N$2:$N$1006,$G367))</f>
        <v/>
      </c>
      <c r="T367" s="9" t="str">
        <f ca="1">IF($G367="","",INDEX(BASE_PRODUTOS!$D$2:$D$1006,$G367))</f>
        <v/>
      </c>
    </row>
    <row r="368" spans="7:20" ht="18" customHeight="1" x14ac:dyDescent="0.35">
      <c r="G368" t="str">
        <f ca="1">IFERROR(_xludf.aggregate(15,6,(ROW(BASE_PRODUTOS!$L$2:$L$1006)-ROW(BASE_PRODUTOS!$L$2)+1)/(BASE_PRODUTOS!$L$2:$L$1006&gt;0),ROWS($G$10:G368)),"")</f>
        <v/>
      </c>
      <c r="H368" s="9" t="str">
        <f ca="1">IF($G368="","",INDEX(BASE_PRODUTOS!$B$2:$B$1006,$G368))</f>
        <v/>
      </c>
      <c r="I368" s="9" t="str">
        <f ca="1">IF($G368="","",INDEX(BASE_PRODUTOS!$L$2:$L$1006,$G368))</f>
        <v/>
      </c>
      <c r="J368" s="9" t="str">
        <f ca="1">IF($G368="","",INDEX(BASE_PRODUTOS!$A$2:$A$1006,$G368))</f>
        <v/>
      </c>
      <c r="K368" s="9" t="str">
        <f ca="1">IF($G368="","",INDEX(BASE_PRODUTOS!$C$2:$C$1006,$G368))</f>
        <v/>
      </c>
      <c r="L368" s="9" t="str">
        <f ca="1">IF($G368="","",INDEX(BASE_PRODUTOS!$E$2:$E$1006,$G368))</f>
        <v/>
      </c>
      <c r="M368" s="9" t="str">
        <f ca="1">IF($G368="","",INDEX(BASE_PRODUTOS!$F$2:$F$1006,$G368))</f>
        <v/>
      </c>
      <c r="N368" s="9" t="str">
        <f ca="1">IF($G368="","",INDEX(BASE_PRODUTOS!$G$2:$G$1006,$G368))</f>
        <v/>
      </c>
      <c r="O368" s="9" t="str">
        <f ca="1">IF($G368="","",INDEX(BASE_PRODUTOS!$H$2:$H$1006,$G368))</f>
        <v/>
      </c>
      <c r="P368" s="9" t="str">
        <f ca="1">IF($G368="","",INDEX(BASE_PRODUTOS!$I$2:$I$1006,$G368))</f>
        <v/>
      </c>
      <c r="Q368" s="9" t="str">
        <f ca="1">IF($G368="","",INDEX(BASE_PRODUTOS!$J$2:$J$1006,$G368))</f>
        <v/>
      </c>
      <c r="R368" s="9" t="str">
        <f ca="1">IF($G368="","",INDEX(BASE_PRODUTOS!$M$2:$M$1006,$G368))</f>
        <v/>
      </c>
      <c r="S368" s="9" t="str">
        <f ca="1">IF($G368="","",INDEX(BASE_PRODUTOS!$N$2:$N$1006,$G368))</f>
        <v/>
      </c>
      <c r="T368" s="9" t="str">
        <f ca="1">IF($G368="","",INDEX(BASE_PRODUTOS!$D$2:$D$1006,$G368))</f>
        <v/>
      </c>
    </row>
    <row r="369" spans="7:20" ht="18" customHeight="1" x14ac:dyDescent="0.35">
      <c r="G369" t="str">
        <f ca="1">IFERROR(_xludf.aggregate(15,6,(ROW(BASE_PRODUTOS!$L$2:$L$1006)-ROW(BASE_PRODUTOS!$L$2)+1)/(BASE_PRODUTOS!$L$2:$L$1006&gt;0),ROWS($G$10:G369)),"")</f>
        <v/>
      </c>
      <c r="H369" s="9" t="str">
        <f ca="1">IF($G369="","",INDEX(BASE_PRODUTOS!$B$2:$B$1006,$G369))</f>
        <v/>
      </c>
      <c r="I369" s="9" t="str">
        <f ca="1">IF($G369="","",INDEX(BASE_PRODUTOS!$L$2:$L$1006,$G369))</f>
        <v/>
      </c>
      <c r="J369" s="9" t="str">
        <f ca="1">IF($G369="","",INDEX(BASE_PRODUTOS!$A$2:$A$1006,$G369))</f>
        <v/>
      </c>
      <c r="K369" s="9" t="str">
        <f ca="1">IF($G369="","",INDEX(BASE_PRODUTOS!$C$2:$C$1006,$G369))</f>
        <v/>
      </c>
      <c r="L369" s="9" t="str">
        <f ca="1">IF($G369="","",INDEX(BASE_PRODUTOS!$E$2:$E$1006,$G369))</f>
        <v/>
      </c>
      <c r="M369" s="9" t="str">
        <f ca="1">IF($G369="","",INDEX(BASE_PRODUTOS!$F$2:$F$1006,$G369))</f>
        <v/>
      </c>
      <c r="N369" s="9" t="str">
        <f ca="1">IF($G369="","",INDEX(BASE_PRODUTOS!$G$2:$G$1006,$G369))</f>
        <v/>
      </c>
      <c r="O369" s="9" t="str">
        <f ca="1">IF($G369="","",INDEX(BASE_PRODUTOS!$H$2:$H$1006,$G369))</f>
        <v/>
      </c>
      <c r="P369" s="9" t="str">
        <f ca="1">IF($G369="","",INDEX(BASE_PRODUTOS!$I$2:$I$1006,$G369))</f>
        <v/>
      </c>
      <c r="Q369" s="9" t="str">
        <f ca="1">IF($G369="","",INDEX(BASE_PRODUTOS!$J$2:$J$1006,$G369))</f>
        <v/>
      </c>
      <c r="R369" s="9" t="str">
        <f ca="1">IF($G369="","",INDEX(BASE_PRODUTOS!$M$2:$M$1006,$G369))</f>
        <v/>
      </c>
      <c r="S369" s="9" t="str">
        <f ca="1">IF($G369="","",INDEX(BASE_PRODUTOS!$N$2:$N$1006,$G369))</f>
        <v/>
      </c>
      <c r="T369" s="9" t="str">
        <f ca="1">IF($G369="","",INDEX(BASE_PRODUTOS!$D$2:$D$1006,$G369))</f>
        <v/>
      </c>
    </row>
    <row r="370" spans="7:20" ht="18" customHeight="1" x14ac:dyDescent="0.35">
      <c r="G370" t="str">
        <f ca="1">IFERROR(_xludf.aggregate(15,6,(ROW(BASE_PRODUTOS!$L$2:$L$1006)-ROW(BASE_PRODUTOS!$L$2)+1)/(BASE_PRODUTOS!$L$2:$L$1006&gt;0),ROWS($G$10:G370)),"")</f>
        <v/>
      </c>
      <c r="H370" s="9" t="str">
        <f ca="1">IF($G370="","",INDEX(BASE_PRODUTOS!$B$2:$B$1006,$G370))</f>
        <v/>
      </c>
      <c r="I370" s="9" t="str">
        <f ca="1">IF($G370="","",INDEX(BASE_PRODUTOS!$L$2:$L$1006,$G370))</f>
        <v/>
      </c>
      <c r="J370" s="9" t="str">
        <f ca="1">IF($G370="","",INDEX(BASE_PRODUTOS!$A$2:$A$1006,$G370))</f>
        <v/>
      </c>
      <c r="K370" s="9" t="str">
        <f ca="1">IF($G370="","",INDEX(BASE_PRODUTOS!$C$2:$C$1006,$G370))</f>
        <v/>
      </c>
      <c r="L370" s="9" t="str">
        <f ca="1">IF($G370="","",INDEX(BASE_PRODUTOS!$E$2:$E$1006,$G370))</f>
        <v/>
      </c>
      <c r="M370" s="9" t="str">
        <f ca="1">IF($G370="","",INDEX(BASE_PRODUTOS!$F$2:$F$1006,$G370))</f>
        <v/>
      </c>
      <c r="N370" s="9" t="str">
        <f ca="1">IF($G370="","",INDEX(BASE_PRODUTOS!$G$2:$G$1006,$G370))</f>
        <v/>
      </c>
      <c r="O370" s="9" t="str">
        <f ca="1">IF($G370="","",INDEX(BASE_PRODUTOS!$H$2:$H$1006,$G370))</f>
        <v/>
      </c>
      <c r="P370" s="9" t="str">
        <f ca="1">IF($G370="","",INDEX(BASE_PRODUTOS!$I$2:$I$1006,$G370))</f>
        <v/>
      </c>
      <c r="Q370" s="9" t="str">
        <f ca="1">IF($G370="","",INDEX(BASE_PRODUTOS!$J$2:$J$1006,$G370))</f>
        <v/>
      </c>
      <c r="R370" s="9" t="str">
        <f ca="1">IF($G370="","",INDEX(BASE_PRODUTOS!$M$2:$M$1006,$G370))</f>
        <v/>
      </c>
      <c r="S370" s="9" t="str">
        <f ca="1">IF($G370="","",INDEX(BASE_PRODUTOS!$N$2:$N$1006,$G370))</f>
        <v/>
      </c>
      <c r="T370" s="9" t="str">
        <f ca="1">IF($G370="","",INDEX(BASE_PRODUTOS!$D$2:$D$1006,$G370))</f>
        <v/>
      </c>
    </row>
    <row r="371" spans="7:20" ht="18" customHeight="1" x14ac:dyDescent="0.35">
      <c r="G371" t="str">
        <f ca="1">IFERROR(_xludf.aggregate(15,6,(ROW(BASE_PRODUTOS!$L$2:$L$1006)-ROW(BASE_PRODUTOS!$L$2)+1)/(BASE_PRODUTOS!$L$2:$L$1006&gt;0),ROWS($G$10:G371)),"")</f>
        <v/>
      </c>
      <c r="H371" s="9" t="str">
        <f ca="1">IF($G371="","",INDEX(BASE_PRODUTOS!$B$2:$B$1006,$G371))</f>
        <v/>
      </c>
      <c r="I371" s="9" t="str">
        <f ca="1">IF($G371="","",INDEX(BASE_PRODUTOS!$L$2:$L$1006,$G371))</f>
        <v/>
      </c>
      <c r="J371" s="9" t="str">
        <f ca="1">IF($G371="","",INDEX(BASE_PRODUTOS!$A$2:$A$1006,$G371))</f>
        <v/>
      </c>
      <c r="K371" s="9" t="str">
        <f ca="1">IF($G371="","",INDEX(BASE_PRODUTOS!$C$2:$C$1006,$G371))</f>
        <v/>
      </c>
      <c r="L371" s="9" t="str">
        <f ca="1">IF($G371="","",INDEX(BASE_PRODUTOS!$E$2:$E$1006,$G371))</f>
        <v/>
      </c>
      <c r="M371" s="9" t="str">
        <f ca="1">IF($G371="","",INDEX(BASE_PRODUTOS!$F$2:$F$1006,$G371))</f>
        <v/>
      </c>
      <c r="N371" s="9" t="str">
        <f ca="1">IF($G371="","",INDEX(BASE_PRODUTOS!$G$2:$G$1006,$G371))</f>
        <v/>
      </c>
      <c r="O371" s="9" t="str">
        <f ca="1">IF($G371="","",INDEX(BASE_PRODUTOS!$H$2:$H$1006,$G371))</f>
        <v/>
      </c>
      <c r="P371" s="9" t="str">
        <f ca="1">IF($G371="","",INDEX(BASE_PRODUTOS!$I$2:$I$1006,$G371))</f>
        <v/>
      </c>
      <c r="Q371" s="9" t="str">
        <f ca="1">IF($G371="","",INDEX(BASE_PRODUTOS!$J$2:$J$1006,$G371))</f>
        <v/>
      </c>
      <c r="R371" s="9" t="str">
        <f ca="1">IF($G371="","",INDEX(BASE_PRODUTOS!$M$2:$M$1006,$G371))</f>
        <v/>
      </c>
      <c r="S371" s="9" t="str">
        <f ca="1">IF($G371="","",INDEX(BASE_PRODUTOS!$N$2:$N$1006,$G371))</f>
        <v/>
      </c>
      <c r="T371" s="9" t="str">
        <f ca="1">IF($G371="","",INDEX(BASE_PRODUTOS!$D$2:$D$1006,$G371))</f>
        <v/>
      </c>
    </row>
    <row r="372" spans="7:20" ht="18" customHeight="1" x14ac:dyDescent="0.35">
      <c r="G372" t="str">
        <f ca="1">IFERROR(_xludf.aggregate(15,6,(ROW(BASE_PRODUTOS!$L$2:$L$1006)-ROW(BASE_PRODUTOS!$L$2)+1)/(BASE_PRODUTOS!$L$2:$L$1006&gt;0),ROWS($G$10:G372)),"")</f>
        <v/>
      </c>
      <c r="H372" s="9" t="str">
        <f ca="1">IF($G372="","",INDEX(BASE_PRODUTOS!$B$2:$B$1006,$G372))</f>
        <v/>
      </c>
      <c r="I372" s="9" t="str">
        <f ca="1">IF($G372="","",INDEX(BASE_PRODUTOS!$L$2:$L$1006,$G372))</f>
        <v/>
      </c>
      <c r="J372" s="9" t="str">
        <f ca="1">IF($G372="","",INDEX(BASE_PRODUTOS!$A$2:$A$1006,$G372))</f>
        <v/>
      </c>
      <c r="K372" s="9" t="str">
        <f ca="1">IF($G372="","",INDEX(BASE_PRODUTOS!$C$2:$C$1006,$G372))</f>
        <v/>
      </c>
      <c r="L372" s="9" t="str">
        <f ca="1">IF($G372="","",INDEX(BASE_PRODUTOS!$E$2:$E$1006,$G372))</f>
        <v/>
      </c>
      <c r="M372" s="9" t="str">
        <f ca="1">IF($G372="","",INDEX(BASE_PRODUTOS!$F$2:$F$1006,$G372))</f>
        <v/>
      </c>
      <c r="N372" s="9" t="str">
        <f ca="1">IF($G372="","",INDEX(BASE_PRODUTOS!$G$2:$G$1006,$G372))</f>
        <v/>
      </c>
      <c r="O372" s="9" t="str">
        <f ca="1">IF($G372="","",INDEX(BASE_PRODUTOS!$H$2:$H$1006,$G372))</f>
        <v/>
      </c>
      <c r="P372" s="9" t="str">
        <f ca="1">IF($G372="","",INDEX(BASE_PRODUTOS!$I$2:$I$1006,$G372))</f>
        <v/>
      </c>
      <c r="Q372" s="9" t="str">
        <f ca="1">IF($G372="","",INDEX(BASE_PRODUTOS!$J$2:$J$1006,$G372))</f>
        <v/>
      </c>
      <c r="R372" s="9" t="str">
        <f ca="1">IF($G372="","",INDEX(BASE_PRODUTOS!$M$2:$M$1006,$G372))</f>
        <v/>
      </c>
      <c r="S372" s="9" t="str">
        <f ca="1">IF($G372="","",INDEX(BASE_PRODUTOS!$N$2:$N$1006,$G372))</f>
        <v/>
      </c>
      <c r="T372" s="9" t="str">
        <f ca="1">IF($G372="","",INDEX(BASE_PRODUTOS!$D$2:$D$1006,$G372))</f>
        <v/>
      </c>
    </row>
    <row r="373" spans="7:20" ht="18" customHeight="1" x14ac:dyDescent="0.35">
      <c r="G373" t="str">
        <f ca="1">IFERROR(_xludf.aggregate(15,6,(ROW(BASE_PRODUTOS!$L$2:$L$1006)-ROW(BASE_PRODUTOS!$L$2)+1)/(BASE_PRODUTOS!$L$2:$L$1006&gt;0),ROWS($G$10:G373)),"")</f>
        <v/>
      </c>
      <c r="H373" s="9" t="str">
        <f ca="1">IF($G373="","",INDEX(BASE_PRODUTOS!$B$2:$B$1006,$G373))</f>
        <v/>
      </c>
      <c r="I373" s="9" t="str">
        <f ca="1">IF($G373="","",INDEX(BASE_PRODUTOS!$L$2:$L$1006,$G373))</f>
        <v/>
      </c>
      <c r="J373" s="9" t="str">
        <f ca="1">IF($G373="","",INDEX(BASE_PRODUTOS!$A$2:$A$1006,$G373))</f>
        <v/>
      </c>
      <c r="K373" s="9" t="str">
        <f ca="1">IF($G373="","",INDEX(BASE_PRODUTOS!$C$2:$C$1006,$G373))</f>
        <v/>
      </c>
      <c r="L373" s="9" t="str">
        <f ca="1">IF($G373="","",INDEX(BASE_PRODUTOS!$E$2:$E$1006,$G373))</f>
        <v/>
      </c>
      <c r="M373" s="9" t="str">
        <f ca="1">IF($G373="","",INDEX(BASE_PRODUTOS!$F$2:$F$1006,$G373))</f>
        <v/>
      </c>
      <c r="N373" s="9" t="str">
        <f ca="1">IF($G373="","",INDEX(BASE_PRODUTOS!$G$2:$G$1006,$G373))</f>
        <v/>
      </c>
      <c r="O373" s="9" t="str">
        <f ca="1">IF($G373="","",INDEX(BASE_PRODUTOS!$H$2:$H$1006,$G373))</f>
        <v/>
      </c>
      <c r="P373" s="9" t="str">
        <f ca="1">IF($G373="","",INDEX(BASE_PRODUTOS!$I$2:$I$1006,$G373))</f>
        <v/>
      </c>
      <c r="Q373" s="9" t="str">
        <f ca="1">IF($G373="","",INDEX(BASE_PRODUTOS!$J$2:$J$1006,$G373))</f>
        <v/>
      </c>
      <c r="R373" s="9" t="str">
        <f ca="1">IF($G373="","",INDEX(BASE_PRODUTOS!$M$2:$M$1006,$G373))</f>
        <v/>
      </c>
      <c r="S373" s="9" t="str">
        <f ca="1">IF($G373="","",INDEX(BASE_PRODUTOS!$N$2:$N$1006,$G373))</f>
        <v/>
      </c>
      <c r="T373" s="9" t="str">
        <f ca="1">IF($G373="","",INDEX(BASE_PRODUTOS!$D$2:$D$1006,$G373))</f>
        <v/>
      </c>
    </row>
    <row r="374" spans="7:20" ht="18" customHeight="1" x14ac:dyDescent="0.35">
      <c r="G374" t="str">
        <f ca="1">IFERROR(_xludf.aggregate(15,6,(ROW(BASE_PRODUTOS!$L$2:$L$1006)-ROW(BASE_PRODUTOS!$L$2)+1)/(BASE_PRODUTOS!$L$2:$L$1006&gt;0),ROWS($G$10:G374)),"")</f>
        <v/>
      </c>
      <c r="H374" s="9" t="str">
        <f ca="1">IF($G374="","",INDEX(BASE_PRODUTOS!$B$2:$B$1006,$G374))</f>
        <v/>
      </c>
      <c r="I374" s="9" t="str">
        <f ca="1">IF($G374="","",INDEX(BASE_PRODUTOS!$L$2:$L$1006,$G374))</f>
        <v/>
      </c>
      <c r="J374" s="9" t="str">
        <f ca="1">IF($G374="","",INDEX(BASE_PRODUTOS!$A$2:$A$1006,$G374))</f>
        <v/>
      </c>
      <c r="K374" s="9" t="str">
        <f ca="1">IF($G374="","",INDEX(BASE_PRODUTOS!$C$2:$C$1006,$G374))</f>
        <v/>
      </c>
      <c r="L374" s="9" t="str">
        <f ca="1">IF($G374="","",INDEX(BASE_PRODUTOS!$E$2:$E$1006,$G374))</f>
        <v/>
      </c>
      <c r="M374" s="9" t="str">
        <f ca="1">IF($G374="","",INDEX(BASE_PRODUTOS!$F$2:$F$1006,$G374))</f>
        <v/>
      </c>
      <c r="N374" s="9" t="str">
        <f ca="1">IF($G374="","",INDEX(BASE_PRODUTOS!$G$2:$G$1006,$G374))</f>
        <v/>
      </c>
      <c r="O374" s="9" t="str">
        <f ca="1">IF($G374="","",INDEX(BASE_PRODUTOS!$H$2:$H$1006,$G374))</f>
        <v/>
      </c>
      <c r="P374" s="9" t="str">
        <f ca="1">IF($G374="","",INDEX(BASE_PRODUTOS!$I$2:$I$1006,$G374))</f>
        <v/>
      </c>
      <c r="Q374" s="9" t="str">
        <f ca="1">IF($G374="","",INDEX(BASE_PRODUTOS!$J$2:$J$1006,$G374))</f>
        <v/>
      </c>
      <c r="R374" s="9" t="str">
        <f ca="1">IF($G374="","",INDEX(BASE_PRODUTOS!$M$2:$M$1006,$G374))</f>
        <v/>
      </c>
      <c r="S374" s="9" t="str">
        <f ca="1">IF($G374="","",INDEX(BASE_PRODUTOS!$N$2:$N$1006,$G374))</f>
        <v/>
      </c>
      <c r="T374" s="9" t="str">
        <f ca="1">IF($G374="","",INDEX(BASE_PRODUTOS!$D$2:$D$1006,$G374))</f>
        <v/>
      </c>
    </row>
    <row r="375" spans="7:20" ht="18" customHeight="1" x14ac:dyDescent="0.35">
      <c r="G375" t="str">
        <f ca="1">IFERROR(_xludf.aggregate(15,6,(ROW(BASE_PRODUTOS!$L$2:$L$1006)-ROW(BASE_PRODUTOS!$L$2)+1)/(BASE_PRODUTOS!$L$2:$L$1006&gt;0),ROWS($G$10:G375)),"")</f>
        <v/>
      </c>
      <c r="H375" s="9" t="str">
        <f ca="1">IF($G375="","",INDEX(BASE_PRODUTOS!$B$2:$B$1006,$G375))</f>
        <v/>
      </c>
      <c r="I375" s="9" t="str">
        <f ca="1">IF($G375="","",INDEX(BASE_PRODUTOS!$L$2:$L$1006,$G375))</f>
        <v/>
      </c>
      <c r="J375" s="9" t="str">
        <f ca="1">IF($G375="","",INDEX(BASE_PRODUTOS!$A$2:$A$1006,$G375))</f>
        <v/>
      </c>
      <c r="K375" s="9" t="str">
        <f ca="1">IF($G375="","",INDEX(BASE_PRODUTOS!$C$2:$C$1006,$G375))</f>
        <v/>
      </c>
      <c r="L375" s="9" t="str">
        <f ca="1">IF($G375="","",INDEX(BASE_PRODUTOS!$E$2:$E$1006,$G375))</f>
        <v/>
      </c>
      <c r="M375" s="9" t="str">
        <f ca="1">IF($G375="","",INDEX(BASE_PRODUTOS!$F$2:$F$1006,$G375))</f>
        <v/>
      </c>
      <c r="N375" s="9" t="str">
        <f ca="1">IF($G375="","",INDEX(BASE_PRODUTOS!$G$2:$G$1006,$G375))</f>
        <v/>
      </c>
      <c r="O375" s="9" t="str">
        <f ca="1">IF($G375="","",INDEX(BASE_PRODUTOS!$H$2:$H$1006,$G375))</f>
        <v/>
      </c>
      <c r="P375" s="9" t="str">
        <f ca="1">IF($G375="","",INDEX(BASE_PRODUTOS!$I$2:$I$1006,$G375))</f>
        <v/>
      </c>
      <c r="Q375" s="9" t="str">
        <f ca="1">IF($G375="","",INDEX(BASE_PRODUTOS!$J$2:$J$1006,$G375))</f>
        <v/>
      </c>
      <c r="R375" s="9" t="str">
        <f ca="1">IF($G375="","",INDEX(BASE_PRODUTOS!$M$2:$M$1006,$G375))</f>
        <v/>
      </c>
      <c r="S375" s="9" t="str">
        <f ca="1">IF($G375="","",INDEX(BASE_PRODUTOS!$N$2:$N$1006,$G375))</f>
        <v/>
      </c>
      <c r="T375" s="9" t="str">
        <f ca="1">IF($G375="","",INDEX(BASE_PRODUTOS!$D$2:$D$1006,$G375))</f>
        <v/>
      </c>
    </row>
    <row r="376" spans="7:20" ht="18" customHeight="1" x14ac:dyDescent="0.35">
      <c r="G376" t="str">
        <f ca="1">IFERROR(_xludf.aggregate(15,6,(ROW(BASE_PRODUTOS!$L$2:$L$1006)-ROW(BASE_PRODUTOS!$L$2)+1)/(BASE_PRODUTOS!$L$2:$L$1006&gt;0),ROWS($G$10:G376)),"")</f>
        <v/>
      </c>
      <c r="H376" s="9" t="str">
        <f ca="1">IF($G376="","",INDEX(BASE_PRODUTOS!$B$2:$B$1006,$G376))</f>
        <v/>
      </c>
      <c r="I376" s="9" t="str">
        <f ca="1">IF($G376="","",INDEX(BASE_PRODUTOS!$L$2:$L$1006,$G376))</f>
        <v/>
      </c>
      <c r="J376" s="9" t="str">
        <f ca="1">IF($G376="","",INDEX(BASE_PRODUTOS!$A$2:$A$1006,$G376))</f>
        <v/>
      </c>
      <c r="K376" s="9" t="str">
        <f ca="1">IF($G376="","",INDEX(BASE_PRODUTOS!$C$2:$C$1006,$G376))</f>
        <v/>
      </c>
      <c r="L376" s="9" t="str">
        <f ca="1">IF($G376="","",INDEX(BASE_PRODUTOS!$E$2:$E$1006,$G376))</f>
        <v/>
      </c>
      <c r="M376" s="9" t="str">
        <f ca="1">IF($G376="","",INDEX(BASE_PRODUTOS!$F$2:$F$1006,$G376))</f>
        <v/>
      </c>
      <c r="N376" s="9" t="str">
        <f ca="1">IF($G376="","",INDEX(BASE_PRODUTOS!$G$2:$G$1006,$G376))</f>
        <v/>
      </c>
      <c r="O376" s="9" t="str">
        <f ca="1">IF($G376="","",INDEX(BASE_PRODUTOS!$H$2:$H$1006,$G376))</f>
        <v/>
      </c>
      <c r="P376" s="9" t="str">
        <f ca="1">IF($G376="","",INDEX(BASE_PRODUTOS!$I$2:$I$1006,$G376))</f>
        <v/>
      </c>
      <c r="Q376" s="9" t="str">
        <f ca="1">IF($G376="","",INDEX(BASE_PRODUTOS!$J$2:$J$1006,$G376))</f>
        <v/>
      </c>
      <c r="R376" s="9" t="str">
        <f ca="1">IF($G376="","",INDEX(BASE_PRODUTOS!$M$2:$M$1006,$G376))</f>
        <v/>
      </c>
      <c r="S376" s="9" t="str">
        <f ca="1">IF($G376="","",INDEX(BASE_PRODUTOS!$N$2:$N$1006,$G376))</f>
        <v/>
      </c>
      <c r="T376" s="9" t="str">
        <f ca="1">IF($G376="","",INDEX(BASE_PRODUTOS!$D$2:$D$1006,$G376))</f>
        <v/>
      </c>
    </row>
    <row r="377" spans="7:20" ht="18" customHeight="1" x14ac:dyDescent="0.35">
      <c r="G377" t="str">
        <f ca="1">IFERROR(_xludf.aggregate(15,6,(ROW(BASE_PRODUTOS!$L$2:$L$1006)-ROW(BASE_PRODUTOS!$L$2)+1)/(BASE_PRODUTOS!$L$2:$L$1006&gt;0),ROWS($G$10:G377)),"")</f>
        <v/>
      </c>
      <c r="H377" s="9" t="str">
        <f ca="1">IF($G377="","",INDEX(BASE_PRODUTOS!$B$2:$B$1006,$G377))</f>
        <v/>
      </c>
      <c r="I377" s="9" t="str">
        <f ca="1">IF($G377="","",INDEX(BASE_PRODUTOS!$L$2:$L$1006,$G377))</f>
        <v/>
      </c>
      <c r="J377" s="9" t="str">
        <f ca="1">IF($G377="","",INDEX(BASE_PRODUTOS!$A$2:$A$1006,$G377))</f>
        <v/>
      </c>
      <c r="K377" s="9" t="str">
        <f ca="1">IF($G377="","",INDEX(BASE_PRODUTOS!$C$2:$C$1006,$G377))</f>
        <v/>
      </c>
      <c r="L377" s="9" t="str">
        <f ca="1">IF($G377="","",INDEX(BASE_PRODUTOS!$E$2:$E$1006,$G377))</f>
        <v/>
      </c>
      <c r="M377" s="9" t="str">
        <f ca="1">IF($G377="","",INDEX(BASE_PRODUTOS!$F$2:$F$1006,$G377))</f>
        <v/>
      </c>
      <c r="N377" s="9" t="str">
        <f ca="1">IF($G377="","",INDEX(BASE_PRODUTOS!$G$2:$G$1006,$G377))</f>
        <v/>
      </c>
      <c r="O377" s="9" t="str">
        <f ca="1">IF($G377="","",INDEX(BASE_PRODUTOS!$H$2:$H$1006,$G377))</f>
        <v/>
      </c>
      <c r="P377" s="9" t="str">
        <f ca="1">IF($G377="","",INDEX(BASE_PRODUTOS!$I$2:$I$1006,$G377))</f>
        <v/>
      </c>
      <c r="Q377" s="9" t="str">
        <f ca="1">IF($G377="","",INDEX(BASE_PRODUTOS!$J$2:$J$1006,$G377))</f>
        <v/>
      </c>
      <c r="R377" s="9" t="str">
        <f ca="1">IF($G377="","",INDEX(BASE_PRODUTOS!$M$2:$M$1006,$G377))</f>
        <v/>
      </c>
      <c r="S377" s="9" t="str">
        <f ca="1">IF($G377="","",INDEX(BASE_PRODUTOS!$N$2:$N$1006,$G377))</f>
        <v/>
      </c>
      <c r="T377" s="9" t="str">
        <f ca="1">IF($G377="","",INDEX(BASE_PRODUTOS!$D$2:$D$1006,$G377))</f>
        <v/>
      </c>
    </row>
    <row r="378" spans="7:20" ht="18" customHeight="1" x14ac:dyDescent="0.35">
      <c r="G378" t="str">
        <f ca="1">IFERROR(_xludf.aggregate(15,6,(ROW(BASE_PRODUTOS!$L$2:$L$1006)-ROW(BASE_PRODUTOS!$L$2)+1)/(BASE_PRODUTOS!$L$2:$L$1006&gt;0),ROWS($G$10:G378)),"")</f>
        <v/>
      </c>
      <c r="H378" s="9" t="str">
        <f ca="1">IF($G378="","",INDEX(BASE_PRODUTOS!$B$2:$B$1006,$G378))</f>
        <v/>
      </c>
      <c r="I378" s="9" t="str">
        <f ca="1">IF($G378="","",INDEX(BASE_PRODUTOS!$L$2:$L$1006,$G378))</f>
        <v/>
      </c>
      <c r="J378" s="9" t="str">
        <f ca="1">IF($G378="","",INDEX(BASE_PRODUTOS!$A$2:$A$1006,$G378))</f>
        <v/>
      </c>
      <c r="K378" s="9" t="str">
        <f ca="1">IF($G378="","",INDEX(BASE_PRODUTOS!$C$2:$C$1006,$G378))</f>
        <v/>
      </c>
      <c r="L378" s="9" t="str">
        <f ca="1">IF($G378="","",INDEX(BASE_PRODUTOS!$E$2:$E$1006,$G378))</f>
        <v/>
      </c>
      <c r="M378" s="9" t="str">
        <f ca="1">IF($G378="","",INDEX(BASE_PRODUTOS!$F$2:$F$1006,$G378))</f>
        <v/>
      </c>
      <c r="N378" s="9" t="str">
        <f ca="1">IF($G378="","",INDEX(BASE_PRODUTOS!$G$2:$G$1006,$G378))</f>
        <v/>
      </c>
      <c r="O378" s="9" t="str">
        <f ca="1">IF($G378="","",INDEX(BASE_PRODUTOS!$H$2:$H$1006,$G378))</f>
        <v/>
      </c>
      <c r="P378" s="9" t="str">
        <f ca="1">IF($G378="","",INDEX(BASE_PRODUTOS!$I$2:$I$1006,$G378))</f>
        <v/>
      </c>
      <c r="Q378" s="9" t="str">
        <f ca="1">IF($G378="","",INDEX(BASE_PRODUTOS!$J$2:$J$1006,$G378))</f>
        <v/>
      </c>
      <c r="R378" s="9" t="str">
        <f ca="1">IF($G378="","",INDEX(BASE_PRODUTOS!$M$2:$M$1006,$G378))</f>
        <v/>
      </c>
      <c r="S378" s="9" t="str">
        <f ca="1">IF($G378="","",INDEX(BASE_PRODUTOS!$N$2:$N$1006,$G378))</f>
        <v/>
      </c>
      <c r="T378" s="9" t="str">
        <f ca="1">IF($G378="","",INDEX(BASE_PRODUTOS!$D$2:$D$1006,$G378))</f>
        <v/>
      </c>
    </row>
    <row r="379" spans="7:20" ht="18" customHeight="1" x14ac:dyDescent="0.35">
      <c r="G379" t="str">
        <f ca="1">IFERROR(_xludf.aggregate(15,6,(ROW(BASE_PRODUTOS!$L$2:$L$1006)-ROW(BASE_PRODUTOS!$L$2)+1)/(BASE_PRODUTOS!$L$2:$L$1006&gt;0),ROWS($G$10:G379)),"")</f>
        <v/>
      </c>
      <c r="H379" s="9" t="str">
        <f ca="1">IF($G379="","",INDEX(BASE_PRODUTOS!$B$2:$B$1006,$G379))</f>
        <v/>
      </c>
      <c r="I379" s="9" t="str">
        <f ca="1">IF($G379="","",INDEX(BASE_PRODUTOS!$L$2:$L$1006,$G379))</f>
        <v/>
      </c>
      <c r="J379" s="9" t="str">
        <f ca="1">IF($G379="","",INDEX(BASE_PRODUTOS!$A$2:$A$1006,$G379))</f>
        <v/>
      </c>
      <c r="K379" s="9" t="str">
        <f ca="1">IF($G379="","",INDEX(BASE_PRODUTOS!$C$2:$C$1006,$G379))</f>
        <v/>
      </c>
      <c r="L379" s="9" t="str">
        <f ca="1">IF($G379="","",INDEX(BASE_PRODUTOS!$E$2:$E$1006,$G379))</f>
        <v/>
      </c>
      <c r="M379" s="9" t="str">
        <f ca="1">IF($G379="","",INDEX(BASE_PRODUTOS!$F$2:$F$1006,$G379))</f>
        <v/>
      </c>
      <c r="N379" s="9" t="str">
        <f ca="1">IF($G379="","",INDEX(BASE_PRODUTOS!$G$2:$G$1006,$G379))</f>
        <v/>
      </c>
      <c r="O379" s="9" t="str">
        <f ca="1">IF($G379="","",INDEX(BASE_PRODUTOS!$H$2:$H$1006,$G379))</f>
        <v/>
      </c>
      <c r="P379" s="9" t="str">
        <f ca="1">IF($G379="","",INDEX(BASE_PRODUTOS!$I$2:$I$1006,$G379))</f>
        <v/>
      </c>
      <c r="Q379" s="9" t="str">
        <f ca="1">IF($G379="","",INDEX(BASE_PRODUTOS!$J$2:$J$1006,$G379))</f>
        <v/>
      </c>
      <c r="R379" s="9" t="str">
        <f ca="1">IF($G379="","",INDEX(BASE_PRODUTOS!$M$2:$M$1006,$G379))</f>
        <v/>
      </c>
      <c r="S379" s="9" t="str">
        <f ca="1">IF($G379="","",INDEX(BASE_PRODUTOS!$N$2:$N$1006,$G379))</f>
        <v/>
      </c>
      <c r="T379" s="9" t="str">
        <f ca="1">IF($G379="","",INDEX(BASE_PRODUTOS!$D$2:$D$1006,$G379))</f>
        <v/>
      </c>
    </row>
    <row r="380" spans="7:20" ht="18" customHeight="1" x14ac:dyDescent="0.35">
      <c r="G380" t="str">
        <f ca="1">IFERROR(_xludf.aggregate(15,6,(ROW(BASE_PRODUTOS!$L$2:$L$1006)-ROW(BASE_PRODUTOS!$L$2)+1)/(BASE_PRODUTOS!$L$2:$L$1006&gt;0),ROWS($G$10:G380)),"")</f>
        <v/>
      </c>
      <c r="H380" s="9" t="str">
        <f ca="1">IF($G380="","",INDEX(BASE_PRODUTOS!$B$2:$B$1006,$G380))</f>
        <v/>
      </c>
      <c r="I380" s="9" t="str">
        <f ca="1">IF($G380="","",INDEX(BASE_PRODUTOS!$L$2:$L$1006,$G380))</f>
        <v/>
      </c>
      <c r="J380" s="9" t="str">
        <f ca="1">IF($G380="","",INDEX(BASE_PRODUTOS!$A$2:$A$1006,$G380))</f>
        <v/>
      </c>
      <c r="K380" s="9" t="str">
        <f ca="1">IF($G380="","",INDEX(BASE_PRODUTOS!$C$2:$C$1006,$G380))</f>
        <v/>
      </c>
      <c r="L380" s="9" t="str">
        <f ca="1">IF($G380="","",INDEX(BASE_PRODUTOS!$E$2:$E$1006,$G380))</f>
        <v/>
      </c>
      <c r="M380" s="9" t="str">
        <f ca="1">IF($G380="","",INDEX(BASE_PRODUTOS!$F$2:$F$1006,$G380))</f>
        <v/>
      </c>
      <c r="N380" s="9" t="str">
        <f ca="1">IF($G380="","",INDEX(BASE_PRODUTOS!$G$2:$G$1006,$G380))</f>
        <v/>
      </c>
      <c r="O380" s="9" t="str">
        <f ca="1">IF($G380="","",INDEX(BASE_PRODUTOS!$H$2:$H$1006,$G380))</f>
        <v/>
      </c>
      <c r="P380" s="9" t="str">
        <f ca="1">IF($G380="","",INDEX(BASE_PRODUTOS!$I$2:$I$1006,$G380))</f>
        <v/>
      </c>
      <c r="Q380" s="9" t="str">
        <f ca="1">IF($G380="","",INDEX(BASE_PRODUTOS!$J$2:$J$1006,$G380))</f>
        <v/>
      </c>
      <c r="R380" s="9" t="str">
        <f ca="1">IF($G380="","",INDEX(BASE_PRODUTOS!$M$2:$M$1006,$G380))</f>
        <v/>
      </c>
      <c r="S380" s="9" t="str">
        <f ca="1">IF($G380="","",INDEX(BASE_PRODUTOS!$N$2:$N$1006,$G380))</f>
        <v/>
      </c>
      <c r="T380" s="9" t="str">
        <f ca="1">IF($G380="","",INDEX(BASE_PRODUTOS!$D$2:$D$1006,$G380))</f>
        <v/>
      </c>
    </row>
    <row r="381" spans="7:20" ht="18" customHeight="1" x14ac:dyDescent="0.35">
      <c r="G381" t="str">
        <f ca="1">IFERROR(_xludf.aggregate(15,6,(ROW(BASE_PRODUTOS!$L$2:$L$1006)-ROW(BASE_PRODUTOS!$L$2)+1)/(BASE_PRODUTOS!$L$2:$L$1006&gt;0),ROWS($G$10:G381)),"")</f>
        <v/>
      </c>
      <c r="H381" s="9" t="str">
        <f ca="1">IF($G381="","",INDEX(BASE_PRODUTOS!$B$2:$B$1006,$G381))</f>
        <v/>
      </c>
      <c r="I381" s="9" t="str">
        <f ca="1">IF($G381="","",INDEX(BASE_PRODUTOS!$L$2:$L$1006,$G381))</f>
        <v/>
      </c>
      <c r="J381" s="9" t="str">
        <f ca="1">IF($G381="","",INDEX(BASE_PRODUTOS!$A$2:$A$1006,$G381))</f>
        <v/>
      </c>
      <c r="K381" s="9" t="str">
        <f ca="1">IF($G381="","",INDEX(BASE_PRODUTOS!$C$2:$C$1006,$G381))</f>
        <v/>
      </c>
      <c r="L381" s="9" t="str">
        <f ca="1">IF($G381="","",INDEX(BASE_PRODUTOS!$E$2:$E$1006,$G381))</f>
        <v/>
      </c>
      <c r="M381" s="9" t="str">
        <f ca="1">IF($G381="","",INDEX(BASE_PRODUTOS!$F$2:$F$1006,$G381))</f>
        <v/>
      </c>
      <c r="N381" s="9" t="str">
        <f ca="1">IF($G381="","",INDEX(BASE_PRODUTOS!$G$2:$G$1006,$G381))</f>
        <v/>
      </c>
      <c r="O381" s="9" t="str">
        <f ca="1">IF($G381="","",INDEX(BASE_PRODUTOS!$H$2:$H$1006,$G381))</f>
        <v/>
      </c>
      <c r="P381" s="9" t="str">
        <f ca="1">IF($G381="","",INDEX(BASE_PRODUTOS!$I$2:$I$1006,$G381))</f>
        <v/>
      </c>
      <c r="Q381" s="9" t="str">
        <f ca="1">IF($G381="","",INDEX(BASE_PRODUTOS!$J$2:$J$1006,$G381))</f>
        <v/>
      </c>
      <c r="R381" s="9" t="str">
        <f ca="1">IF($G381="","",INDEX(BASE_PRODUTOS!$M$2:$M$1006,$G381))</f>
        <v/>
      </c>
      <c r="S381" s="9" t="str">
        <f ca="1">IF($G381="","",INDEX(BASE_PRODUTOS!$N$2:$N$1006,$G381))</f>
        <v/>
      </c>
      <c r="T381" s="9" t="str">
        <f ca="1">IF($G381="","",INDEX(BASE_PRODUTOS!$D$2:$D$1006,$G381))</f>
        <v/>
      </c>
    </row>
    <row r="382" spans="7:20" ht="18" customHeight="1" x14ac:dyDescent="0.35">
      <c r="G382" t="str">
        <f ca="1">IFERROR(_xludf.aggregate(15,6,(ROW(BASE_PRODUTOS!$L$2:$L$1006)-ROW(BASE_PRODUTOS!$L$2)+1)/(BASE_PRODUTOS!$L$2:$L$1006&gt;0),ROWS($G$10:G382)),"")</f>
        <v/>
      </c>
      <c r="H382" s="9" t="str">
        <f ca="1">IF($G382="","",INDEX(BASE_PRODUTOS!$B$2:$B$1006,$G382))</f>
        <v/>
      </c>
      <c r="I382" s="9" t="str">
        <f ca="1">IF($G382="","",INDEX(BASE_PRODUTOS!$L$2:$L$1006,$G382))</f>
        <v/>
      </c>
      <c r="J382" s="9" t="str">
        <f ca="1">IF($G382="","",INDEX(BASE_PRODUTOS!$A$2:$A$1006,$G382))</f>
        <v/>
      </c>
      <c r="K382" s="9" t="str">
        <f ca="1">IF($G382="","",INDEX(BASE_PRODUTOS!$C$2:$C$1006,$G382))</f>
        <v/>
      </c>
      <c r="L382" s="9" t="str">
        <f ca="1">IF($G382="","",INDEX(BASE_PRODUTOS!$E$2:$E$1006,$G382))</f>
        <v/>
      </c>
      <c r="M382" s="9" t="str">
        <f ca="1">IF($G382="","",INDEX(BASE_PRODUTOS!$F$2:$F$1006,$G382))</f>
        <v/>
      </c>
      <c r="N382" s="9" t="str">
        <f ca="1">IF($G382="","",INDEX(BASE_PRODUTOS!$G$2:$G$1006,$G382))</f>
        <v/>
      </c>
      <c r="O382" s="9" t="str">
        <f ca="1">IF($G382="","",INDEX(BASE_PRODUTOS!$H$2:$H$1006,$G382))</f>
        <v/>
      </c>
      <c r="P382" s="9" t="str">
        <f ca="1">IF($G382="","",INDEX(BASE_PRODUTOS!$I$2:$I$1006,$G382))</f>
        <v/>
      </c>
      <c r="Q382" s="9" t="str">
        <f ca="1">IF($G382="","",INDEX(BASE_PRODUTOS!$J$2:$J$1006,$G382))</f>
        <v/>
      </c>
      <c r="R382" s="9" t="str">
        <f ca="1">IF($G382="","",INDEX(BASE_PRODUTOS!$M$2:$M$1006,$G382))</f>
        <v/>
      </c>
      <c r="S382" s="9" t="str">
        <f ca="1">IF($G382="","",INDEX(BASE_PRODUTOS!$N$2:$N$1006,$G382))</f>
        <v/>
      </c>
      <c r="T382" s="9" t="str">
        <f ca="1">IF($G382="","",INDEX(BASE_PRODUTOS!$D$2:$D$1006,$G382))</f>
        <v/>
      </c>
    </row>
    <row r="383" spans="7:20" ht="18" customHeight="1" x14ac:dyDescent="0.35">
      <c r="G383" t="str">
        <f ca="1">IFERROR(_xludf.aggregate(15,6,(ROW(BASE_PRODUTOS!$L$2:$L$1006)-ROW(BASE_PRODUTOS!$L$2)+1)/(BASE_PRODUTOS!$L$2:$L$1006&gt;0),ROWS($G$10:G383)),"")</f>
        <v/>
      </c>
      <c r="H383" s="9" t="str">
        <f ca="1">IF($G383="","",INDEX(BASE_PRODUTOS!$B$2:$B$1006,$G383))</f>
        <v/>
      </c>
      <c r="I383" s="9" t="str">
        <f ca="1">IF($G383="","",INDEX(BASE_PRODUTOS!$L$2:$L$1006,$G383))</f>
        <v/>
      </c>
      <c r="J383" s="9" t="str">
        <f ca="1">IF($G383="","",INDEX(BASE_PRODUTOS!$A$2:$A$1006,$G383))</f>
        <v/>
      </c>
      <c r="K383" s="9" t="str">
        <f ca="1">IF($G383="","",INDEX(BASE_PRODUTOS!$C$2:$C$1006,$G383))</f>
        <v/>
      </c>
      <c r="L383" s="9" t="str">
        <f ca="1">IF($G383="","",INDEX(BASE_PRODUTOS!$E$2:$E$1006,$G383))</f>
        <v/>
      </c>
      <c r="M383" s="9" t="str">
        <f ca="1">IF($G383="","",INDEX(BASE_PRODUTOS!$F$2:$F$1006,$G383))</f>
        <v/>
      </c>
      <c r="N383" s="9" t="str">
        <f ca="1">IF($G383="","",INDEX(BASE_PRODUTOS!$G$2:$G$1006,$G383))</f>
        <v/>
      </c>
      <c r="O383" s="9" t="str">
        <f ca="1">IF($G383="","",INDEX(BASE_PRODUTOS!$H$2:$H$1006,$G383))</f>
        <v/>
      </c>
      <c r="P383" s="9" t="str">
        <f ca="1">IF($G383="","",INDEX(BASE_PRODUTOS!$I$2:$I$1006,$G383))</f>
        <v/>
      </c>
      <c r="Q383" s="9" t="str">
        <f ca="1">IF($G383="","",INDEX(BASE_PRODUTOS!$J$2:$J$1006,$G383))</f>
        <v/>
      </c>
      <c r="R383" s="9" t="str">
        <f ca="1">IF($G383="","",INDEX(BASE_PRODUTOS!$M$2:$M$1006,$G383))</f>
        <v/>
      </c>
      <c r="S383" s="9" t="str">
        <f ca="1">IF($G383="","",INDEX(BASE_PRODUTOS!$N$2:$N$1006,$G383))</f>
        <v/>
      </c>
      <c r="T383" s="9" t="str">
        <f ca="1">IF($G383="","",INDEX(BASE_PRODUTOS!$D$2:$D$1006,$G383))</f>
        <v/>
      </c>
    </row>
    <row r="384" spans="7:20" ht="18" customHeight="1" x14ac:dyDescent="0.35">
      <c r="G384" t="str">
        <f ca="1">IFERROR(_xludf.aggregate(15,6,(ROW(BASE_PRODUTOS!$L$2:$L$1006)-ROW(BASE_PRODUTOS!$L$2)+1)/(BASE_PRODUTOS!$L$2:$L$1006&gt;0),ROWS($G$10:G384)),"")</f>
        <v/>
      </c>
      <c r="H384" s="9" t="str">
        <f ca="1">IF($G384="","",INDEX(BASE_PRODUTOS!$B$2:$B$1006,$G384))</f>
        <v/>
      </c>
      <c r="I384" s="9" t="str">
        <f ca="1">IF($G384="","",INDEX(BASE_PRODUTOS!$L$2:$L$1006,$G384))</f>
        <v/>
      </c>
      <c r="J384" s="9" t="str">
        <f ca="1">IF($G384="","",INDEX(BASE_PRODUTOS!$A$2:$A$1006,$G384))</f>
        <v/>
      </c>
      <c r="K384" s="9" t="str">
        <f ca="1">IF($G384="","",INDEX(BASE_PRODUTOS!$C$2:$C$1006,$G384))</f>
        <v/>
      </c>
      <c r="L384" s="9" t="str">
        <f ca="1">IF($G384="","",INDEX(BASE_PRODUTOS!$E$2:$E$1006,$G384))</f>
        <v/>
      </c>
      <c r="M384" s="9" t="str">
        <f ca="1">IF($G384="","",INDEX(BASE_PRODUTOS!$F$2:$F$1006,$G384))</f>
        <v/>
      </c>
      <c r="N384" s="9" t="str">
        <f ca="1">IF($G384="","",INDEX(BASE_PRODUTOS!$G$2:$G$1006,$G384))</f>
        <v/>
      </c>
      <c r="O384" s="9" t="str">
        <f ca="1">IF($G384="","",INDEX(BASE_PRODUTOS!$H$2:$H$1006,$G384))</f>
        <v/>
      </c>
      <c r="P384" s="9" t="str">
        <f ca="1">IF($G384="","",INDEX(BASE_PRODUTOS!$I$2:$I$1006,$G384))</f>
        <v/>
      </c>
      <c r="Q384" s="9" t="str">
        <f ca="1">IF($G384="","",INDEX(BASE_PRODUTOS!$J$2:$J$1006,$G384))</f>
        <v/>
      </c>
      <c r="R384" s="9" t="str">
        <f ca="1">IF($G384="","",INDEX(BASE_PRODUTOS!$M$2:$M$1006,$G384))</f>
        <v/>
      </c>
      <c r="S384" s="9" t="str">
        <f ca="1">IF($G384="","",INDEX(BASE_PRODUTOS!$N$2:$N$1006,$G384))</f>
        <v/>
      </c>
      <c r="T384" s="9" t="str">
        <f ca="1">IF($G384="","",INDEX(BASE_PRODUTOS!$D$2:$D$1006,$G384))</f>
        <v/>
      </c>
    </row>
    <row r="385" spans="7:20" ht="18" customHeight="1" x14ac:dyDescent="0.35">
      <c r="G385" t="str">
        <f ca="1">IFERROR(_xludf.aggregate(15,6,(ROW(BASE_PRODUTOS!$L$2:$L$1006)-ROW(BASE_PRODUTOS!$L$2)+1)/(BASE_PRODUTOS!$L$2:$L$1006&gt;0),ROWS($G$10:G385)),"")</f>
        <v/>
      </c>
      <c r="H385" s="9" t="str">
        <f ca="1">IF($G385="","",INDEX(BASE_PRODUTOS!$B$2:$B$1006,$G385))</f>
        <v/>
      </c>
      <c r="I385" s="9" t="str">
        <f ca="1">IF($G385="","",INDEX(BASE_PRODUTOS!$L$2:$L$1006,$G385))</f>
        <v/>
      </c>
      <c r="J385" s="9" t="str">
        <f ca="1">IF($G385="","",INDEX(BASE_PRODUTOS!$A$2:$A$1006,$G385))</f>
        <v/>
      </c>
      <c r="K385" s="9" t="str">
        <f ca="1">IF($G385="","",INDEX(BASE_PRODUTOS!$C$2:$C$1006,$G385))</f>
        <v/>
      </c>
      <c r="L385" s="9" t="str">
        <f ca="1">IF($G385="","",INDEX(BASE_PRODUTOS!$E$2:$E$1006,$G385))</f>
        <v/>
      </c>
      <c r="M385" s="9" t="str">
        <f ca="1">IF($G385="","",INDEX(BASE_PRODUTOS!$F$2:$F$1006,$G385))</f>
        <v/>
      </c>
      <c r="N385" s="9" t="str">
        <f ca="1">IF($G385="","",INDEX(BASE_PRODUTOS!$G$2:$G$1006,$G385))</f>
        <v/>
      </c>
      <c r="O385" s="9" t="str">
        <f ca="1">IF($G385="","",INDEX(BASE_PRODUTOS!$H$2:$H$1006,$G385))</f>
        <v/>
      </c>
      <c r="P385" s="9" t="str">
        <f ca="1">IF($G385="","",INDEX(BASE_PRODUTOS!$I$2:$I$1006,$G385))</f>
        <v/>
      </c>
      <c r="Q385" s="9" t="str">
        <f ca="1">IF($G385="","",INDEX(BASE_PRODUTOS!$J$2:$J$1006,$G385))</f>
        <v/>
      </c>
      <c r="R385" s="9" t="str">
        <f ca="1">IF($G385="","",INDEX(BASE_PRODUTOS!$M$2:$M$1006,$G385))</f>
        <v/>
      </c>
      <c r="S385" s="9" t="str">
        <f ca="1">IF($G385="","",INDEX(BASE_PRODUTOS!$N$2:$N$1006,$G385))</f>
        <v/>
      </c>
      <c r="T385" s="9" t="str">
        <f ca="1">IF($G385="","",INDEX(BASE_PRODUTOS!$D$2:$D$1006,$G385))</f>
        <v/>
      </c>
    </row>
    <row r="386" spans="7:20" ht="18" customHeight="1" x14ac:dyDescent="0.35">
      <c r="G386" t="str">
        <f ca="1">IFERROR(_xludf.aggregate(15,6,(ROW(BASE_PRODUTOS!$L$2:$L$1006)-ROW(BASE_PRODUTOS!$L$2)+1)/(BASE_PRODUTOS!$L$2:$L$1006&gt;0),ROWS($G$10:G386)),"")</f>
        <v/>
      </c>
      <c r="H386" s="9" t="str">
        <f ca="1">IF($G386="","",INDEX(BASE_PRODUTOS!$B$2:$B$1006,$G386))</f>
        <v/>
      </c>
      <c r="I386" s="9" t="str">
        <f ca="1">IF($G386="","",INDEX(BASE_PRODUTOS!$L$2:$L$1006,$G386))</f>
        <v/>
      </c>
      <c r="J386" s="9" t="str">
        <f ca="1">IF($G386="","",INDEX(BASE_PRODUTOS!$A$2:$A$1006,$G386))</f>
        <v/>
      </c>
      <c r="K386" s="9" t="str">
        <f ca="1">IF($G386="","",INDEX(BASE_PRODUTOS!$C$2:$C$1006,$G386))</f>
        <v/>
      </c>
      <c r="L386" s="9" t="str">
        <f ca="1">IF($G386="","",INDEX(BASE_PRODUTOS!$E$2:$E$1006,$G386))</f>
        <v/>
      </c>
      <c r="M386" s="9" t="str">
        <f ca="1">IF($G386="","",INDEX(BASE_PRODUTOS!$F$2:$F$1006,$G386))</f>
        <v/>
      </c>
      <c r="N386" s="9" t="str">
        <f ca="1">IF($G386="","",INDEX(BASE_PRODUTOS!$G$2:$G$1006,$G386))</f>
        <v/>
      </c>
      <c r="O386" s="9" t="str">
        <f ca="1">IF($G386="","",INDEX(BASE_PRODUTOS!$H$2:$H$1006,$G386))</f>
        <v/>
      </c>
      <c r="P386" s="9" t="str">
        <f ca="1">IF($G386="","",INDEX(BASE_PRODUTOS!$I$2:$I$1006,$G386))</f>
        <v/>
      </c>
      <c r="Q386" s="9" t="str">
        <f ca="1">IF($G386="","",INDEX(BASE_PRODUTOS!$J$2:$J$1006,$G386))</f>
        <v/>
      </c>
      <c r="R386" s="9" t="str">
        <f ca="1">IF($G386="","",INDEX(BASE_PRODUTOS!$M$2:$M$1006,$G386))</f>
        <v/>
      </c>
      <c r="S386" s="9" t="str">
        <f ca="1">IF($G386="","",INDEX(BASE_PRODUTOS!$N$2:$N$1006,$G386))</f>
        <v/>
      </c>
      <c r="T386" s="9" t="str">
        <f ca="1">IF($G386="","",INDEX(BASE_PRODUTOS!$D$2:$D$1006,$G386))</f>
        <v/>
      </c>
    </row>
    <row r="387" spans="7:20" ht="18" customHeight="1" x14ac:dyDescent="0.35">
      <c r="G387" t="str">
        <f ca="1">IFERROR(_xludf.aggregate(15,6,(ROW(BASE_PRODUTOS!$L$2:$L$1006)-ROW(BASE_PRODUTOS!$L$2)+1)/(BASE_PRODUTOS!$L$2:$L$1006&gt;0),ROWS($G$10:G387)),"")</f>
        <v/>
      </c>
      <c r="H387" s="9" t="str">
        <f ca="1">IF($G387="","",INDEX(BASE_PRODUTOS!$B$2:$B$1006,$G387))</f>
        <v/>
      </c>
      <c r="I387" s="9" t="str">
        <f ca="1">IF($G387="","",INDEX(BASE_PRODUTOS!$L$2:$L$1006,$G387))</f>
        <v/>
      </c>
      <c r="J387" s="9" t="str">
        <f ca="1">IF($G387="","",INDEX(BASE_PRODUTOS!$A$2:$A$1006,$G387))</f>
        <v/>
      </c>
      <c r="K387" s="9" t="str">
        <f ca="1">IF($G387="","",INDEX(BASE_PRODUTOS!$C$2:$C$1006,$G387))</f>
        <v/>
      </c>
      <c r="L387" s="9" t="str">
        <f ca="1">IF($G387="","",INDEX(BASE_PRODUTOS!$E$2:$E$1006,$G387))</f>
        <v/>
      </c>
      <c r="M387" s="9" t="str">
        <f ca="1">IF($G387="","",INDEX(BASE_PRODUTOS!$F$2:$F$1006,$G387))</f>
        <v/>
      </c>
      <c r="N387" s="9" t="str">
        <f ca="1">IF($G387="","",INDEX(BASE_PRODUTOS!$G$2:$G$1006,$G387))</f>
        <v/>
      </c>
      <c r="O387" s="9" t="str">
        <f ca="1">IF($G387="","",INDEX(BASE_PRODUTOS!$H$2:$H$1006,$G387))</f>
        <v/>
      </c>
      <c r="P387" s="9" t="str">
        <f ca="1">IF($G387="","",INDEX(BASE_PRODUTOS!$I$2:$I$1006,$G387))</f>
        <v/>
      </c>
      <c r="Q387" s="9" t="str">
        <f ca="1">IF($G387="","",INDEX(BASE_PRODUTOS!$J$2:$J$1006,$G387))</f>
        <v/>
      </c>
      <c r="R387" s="9" t="str">
        <f ca="1">IF($G387="","",INDEX(BASE_PRODUTOS!$M$2:$M$1006,$G387))</f>
        <v/>
      </c>
      <c r="S387" s="9" t="str">
        <f ca="1">IF($G387="","",INDEX(BASE_PRODUTOS!$N$2:$N$1006,$G387))</f>
        <v/>
      </c>
      <c r="T387" s="9" t="str">
        <f ca="1">IF($G387="","",INDEX(BASE_PRODUTOS!$D$2:$D$1006,$G387))</f>
        <v/>
      </c>
    </row>
    <row r="388" spans="7:20" ht="18" customHeight="1" x14ac:dyDescent="0.35">
      <c r="G388" t="str">
        <f ca="1">IFERROR(_xludf.aggregate(15,6,(ROW(BASE_PRODUTOS!$L$2:$L$1006)-ROW(BASE_PRODUTOS!$L$2)+1)/(BASE_PRODUTOS!$L$2:$L$1006&gt;0),ROWS($G$10:G388)),"")</f>
        <v/>
      </c>
      <c r="H388" s="9" t="str">
        <f ca="1">IF($G388="","",INDEX(BASE_PRODUTOS!$B$2:$B$1006,$G388))</f>
        <v/>
      </c>
      <c r="I388" s="9" t="str">
        <f ca="1">IF($G388="","",INDEX(BASE_PRODUTOS!$L$2:$L$1006,$G388))</f>
        <v/>
      </c>
      <c r="J388" s="9" t="str">
        <f ca="1">IF($G388="","",INDEX(BASE_PRODUTOS!$A$2:$A$1006,$G388))</f>
        <v/>
      </c>
      <c r="K388" s="9" t="str">
        <f ca="1">IF($G388="","",INDEX(BASE_PRODUTOS!$C$2:$C$1006,$G388))</f>
        <v/>
      </c>
      <c r="L388" s="9" t="str">
        <f ca="1">IF($G388="","",INDEX(BASE_PRODUTOS!$E$2:$E$1006,$G388))</f>
        <v/>
      </c>
      <c r="M388" s="9" t="str">
        <f ca="1">IF($G388="","",INDEX(BASE_PRODUTOS!$F$2:$F$1006,$G388))</f>
        <v/>
      </c>
      <c r="N388" s="9" t="str">
        <f ca="1">IF($G388="","",INDEX(BASE_PRODUTOS!$G$2:$G$1006,$G388))</f>
        <v/>
      </c>
      <c r="O388" s="9" t="str">
        <f ca="1">IF($G388="","",INDEX(BASE_PRODUTOS!$H$2:$H$1006,$G388))</f>
        <v/>
      </c>
      <c r="P388" s="9" t="str">
        <f ca="1">IF($G388="","",INDEX(BASE_PRODUTOS!$I$2:$I$1006,$G388))</f>
        <v/>
      </c>
      <c r="Q388" s="9" t="str">
        <f ca="1">IF($G388="","",INDEX(BASE_PRODUTOS!$J$2:$J$1006,$G388))</f>
        <v/>
      </c>
      <c r="R388" s="9" t="str">
        <f ca="1">IF($G388="","",INDEX(BASE_PRODUTOS!$M$2:$M$1006,$G388))</f>
        <v/>
      </c>
      <c r="S388" s="9" t="str">
        <f ca="1">IF($G388="","",INDEX(BASE_PRODUTOS!$N$2:$N$1006,$G388))</f>
        <v/>
      </c>
      <c r="T388" s="9" t="str">
        <f ca="1">IF($G388="","",INDEX(BASE_PRODUTOS!$D$2:$D$1006,$G388))</f>
        <v/>
      </c>
    </row>
    <row r="389" spans="7:20" ht="18" customHeight="1" x14ac:dyDescent="0.35">
      <c r="G389" t="str">
        <f ca="1">IFERROR(_xludf.aggregate(15,6,(ROW(BASE_PRODUTOS!$L$2:$L$1006)-ROW(BASE_PRODUTOS!$L$2)+1)/(BASE_PRODUTOS!$L$2:$L$1006&gt;0),ROWS($G$10:G389)),"")</f>
        <v/>
      </c>
      <c r="H389" s="9" t="str">
        <f ca="1">IF($G389="","",INDEX(BASE_PRODUTOS!$B$2:$B$1006,$G389))</f>
        <v/>
      </c>
      <c r="I389" s="9" t="str">
        <f ca="1">IF($G389="","",INDEX(BASE_PRODUTOS!$L$2:$L$1006,$G389))</f>
        <v/>
      </c>
      <c r="J389" s="9" t="str">
        <f ca="1">IF($G389="","",INDEX(BASE_PRODUTOS!$A$2:$A$1006,$G389))</f>
        <v/>
      </c>
      <c r="K389" s="9" t="str">
        <f ca="1">IF($G389="","",INDEX(BASE_PRODUTOS!$C$2:$C$1006,$G389))</f>
        <v/>
      </c>
      <c r="L389" s="9" t="str">
        <f ca="1">IF($G389="","",INDEX(BASE_PRODUTOS!$E$2:$E$1006,$G389))</f>
        <v/>
      </c>
      <c r="M389" s="9" t="str">
        <f ca="1">IF($G389="","",INDEX(BASE_PRODUTOS!$F$2:$F$1006,$G389))</f>
        <v/>
      </c>
      <c r="N389" s="9" t="str">
        <f ca="1">IF($G389="","",INDEX(BASE_PRODUTOS!$G$2:$G$1006,$G389))</f>
        <v/>
      </c>
      <c r="O389" s="9" t="str">
        <f ca="1">IF($G389="","",INDEX(BASE_PRODUTOS!$H$2:$H$1006,$G389))</f>
        <v/>
      </c>
      <c r="P389" s="9" t="str">
        <f ca="1">IF($G389="","",INDEX(BASE_PRODUTOS!$I$2:$I$1006,$G389))</f>
        <v/>
      </c>
      <c r="Q389" s="9" t="str">
        <f ca="1">IF($G389="","",INDEX(BASE_PRODUTOS!$J$2:$J$1006,$G389))</f>
        <v/>
      </c>
      <c r="R389" s="9" t="str">
        <f ca="1">IF($G389="","",INDEX(BASE_PRODUTOS!$M$2:$M$1006,$G389))</f>
        <v/>
      </c>
      <c r="S389" s="9" t="str">
        <f ca="1">IF($G389="","",INDEX(BASE_PRODUTOS!$N$2:$N$1006,$G389))</f>
        <v/>
      </c>
      <c r="T389" s="9" t="str">
        <f ca="1">IF($G389="","",INDEX(BASE_PRODUTOS!$D$2:$D$1006,$G389))</f>
        <v/>
      </c>
    </row>
    <row r="390" spans="7:20" ht="18" customHeight="1" x14ac:dyDescent="0.35">
      <c r="G390" t="str">
        <f ca="1">IFERROR(_xludf.aggregate(15,6,(ROW(BASE_PRODUTOS!$L$2:$L$1006)-ROW(BASE_PRODUTOS!$L$2)+1)/(BASE_PRODUTOS!$L$2:$L$1006&gt;0),ROWS($G$10:G390)),"")</f>
        <v/>
      </c>
      <c r="H390" s="9" t="str">
        <f ca="1">IF($G390="","",INDEX(BASE_PRODUTOS!$B$2:$B$1006,$G390))</f>
        <v/>
      </c>
      <c r="I390" s="9" t="str">
        <f ca="1">IF($G390="","",INDEX(BASE_PRODUTOS!$L$2:$L$1006,$G390))</f>
        <v/>
      </c>
      <c r="J390" s="9" t="str">
        <f ca="1">IF($G390="","",INDEX(BASE_PRODUTOS!$A$2:$A$1006,$G390))</f>
        <v/>
      </c>
      <c r="K390" s="9" t="str">
        <f ca="1">IF($G390="","",INDEX(BASE_PRODUTOS!$C$2:$C$1006,$G390))</f>
        <v/>
      </c>
      <c r="L390" s="9" t="str">
        <f ca="1">IF($G390="","",INDEX(BASE_PRODUTOS!$E$2:$E$1006,$G390))</f>
        <v/>
      </c>
      <c r="M390" s="9" t="str">
        <f ca="1">IF($G390="","",INDEX(BASE_PRODUTOS!$F$2:$F$1006,$G390))</f>
        <v/>
      </c>
      <c r="N390" s="9" t="str">
        <f ca="1">IF($G390="","",INDEX(BASE_PRODUTOS!$G$2:$G$1006,$G390))</f>
        <v/>
      </c>
      <c r="O390" s="9" t="str">
        <f ca="1">IF($G390="","",INDEX(BASE_PRODUTOS!$H$2:$H$1006,$G390))</f>
        <v/>
      </c>
      <c r="P390" s="9" t="str">
        <f ca="1">IF($G390="","",INDEX(BASE_PRODUTOS!$I$2:$I$1006,$G390))</f>
        <v/>
      </c>
      <c r="Q390" s="9" t="str">
        <f ca="1">IF($G390="","",INDEX(BASE_PRODUTOS!$J$2:$J$1006,$G390))</f>
        <v/>
      </c>
      <c r="R390" s="9" t="str">
        <f ca="1">IF($G390="","",INDEX(BASE_PRODUTOS!$M$2:$M$1006,$G390))</f>
        <v/>
      </c>
      <c r="S390" s="9" t="str">
        <f ca="1">IF($G390="","",INDEX(BASE_PRODUTOS!$N$2:$N$1006,$G390))</f>
        <v/>
      </c>
      <c r="T390" s="9" t="str">
        <f ca="1">IF($G390="","",INDEX(BASE_PRODUTOS!$D$2:$D$1006,$G390))</f>
        <v/>
      </c>
    </row>
    <row r="391" spans="7:20" ht="18" customHeight="1" x14ac:dyDescent="0.35">
      <c r="G391" t="str">
        <f ca="1">IFERROR(_xludf.aggregate(15,6,(ROW(BASE_PRODUTOS!$L$2:$L$1006)-ROW(BASE_PRODUTOS!$L$2)+1)/(BASE_PRODUTOS!$L$2:$L$1006&gt;0),ROWS($G$10:G391)),"")</f>
        <v/>
      </c>
      <c r="H391" s="9" t="str">
        <f ca="1">IF($G391="","",INDEX(BASE_PRODUTOS!$B$2:$B$1006,$G391))</f>
        <v/>
      </c>
      <c r="I391" s="9" t="str">
        <f ca="1">IF($G391="","",INDEX(BASE_PRODUTOS!$L$2:$L$1006,$G391))</f>
        <v/>
      </c>
      <c r="J391" s="9" t="str">
        <f ca="1">IF($G391="","",INDEX(BASE_PRODUTOS!$A$2:$A$1006,$G391))</f>
        <v/>
      </c>
      <c r="K391" s="9" t="str">
        <f ca="1">IF($G391="","",INDEX(BASE_PRODUTOS!$C$2:$C$1006,$G391))</f>
        <v/>
      </c>
      <c r="L391" s="9" t="str">
        <f ca="1">IF($G391="","",INDEX(BASE_PRODUTOS!$E$2:$E$1006,$G391))</f>
        <v/>
      </c>
      <c r="M391" s="9" t="str">
        <f ca="1">IF($G391="","",INDEX(BASE_PRODUTOS!$F$2:$F$1006,$G391))</f>
        <v/>
      </c>
      <c r="N391" s="9" t="str">
        <f ca="1">IF($G391="","",INDEX(BASE_PRODUTOS!$G$2:$G$1006,$G391))</f>
        <v/>
      </c>
      <c r="O391" s="9" t="str">
        <f ca="1">IF($G391="","",INDEX(BASE_PRODUTOS!$H$2:$H$1006,$G391))</f>
        <v/>
      </c>
      <c r="P391" s="9" t="str">
        <f ca="1">IF($G391="","",INDEX(BASE_PRODUTOS!$I$2:$I$1006,$G391))</f>
        <v/>
      </c>
      <c r="Q391" s="9" t="str">
        <f ca="1">IF($G391="","",INDEX(BASE_PRODUTOS!$J$2:$J$1006,$G391))</f>
        <v/>
      </c>
      <c r="R391" s="9" t="str">
        <f ca="1">IF($G391="","",INDEX(BASE_PRODUTOS!$M$2:$M$1006,$G391))</f>
        <v/>
      </c>
      <c r="S391" s="9" t="str">
        <f ca="1">IF($G391="","",INDEX(BASE_PRODUTOS!$N$2:$N$1006,$G391))</f>
        <v/>
      </c>
      <c r="T391" s="9" t="str">
        <f ca="1">IF($G391="","",INDEX(BASE_PRODUTOS!$D$2:$D$1006,$G391))</f>
        <v/>
      </c>
    </row>
    <row r="392" spans="7:20" ht="18" customHeight="1" x14ac:dyDescent="0.35">
      <c r="G392" t="str">
        <f ca="1">IFERROR(_xludf.aggregate(15,6,(ROW(BASE_PRODUTOS!$L$2:$L$1006)-ROW(BASE_PRODUTOS!$L$2)+1)/(BASE_PRODUTOS!$L$2:$L$1006&gt;0),ROWS($G$10:G392)),"")</f>
        <v/>
      </c>
      <c r="H392" s="9" t="str">
        <f ca="1">IF($G392="","",INDEX(BASE_PRODUTOS!$B$2:$B$1006,$G392))</f>
        <v/>
      </c>
      <c r="I392" s="9" t="str">
        <f ca="1">IF($G392="","",INDEX(BASE_PRODUTOS!$L$2:$L$1006,$G392))</f>
        <v/>
      </c>
      <c r="J392" s="9" t="str">
        <f ca="1">IF($G392="","",INDEX(BASE_PRODUTOS!$A$2:$A$1006,$G392))</f>
        <v/>
      </c>
      <c r="K392" s="9" t="str">
        <f ca="1">IF($G392="","",INDEX(BASE_PRODUTOS!$C$2:$C$1006,$G392))</f>
        <v/>
      </c>
      <c r="L392" s="9" t="str">
        <f ca="1">IF($G392="","",INDEX(BASE_PRODUTOS!$E$2:$E$1006,$G392))</f>
        <v/>
      </c>
      <c r="M392" s="9" t="str">
        <f ca="1">IF($G392="","",INDEX(BASE_PRODUTOS!$F$2:$F$1006,$G392))</f>
        <v/>
      </c>
      <c r="N392" s="9" t="str">
        <f ca="1">IF($G392="","",INDEX(BASE_PRODUTOS!$G$2:$G$1006,$G392))</f>
        <v/>
      </c>
      <c r="O392" s="9" t="str">
        <f ca="1">IF($G392="","",INDEX(BASE_PRODUTOS!$H$2:$H$1006,$G392))</f>
        <v/>
      </c>
      <c r="P392" s="9" t="str">
        <f ca="1">IF($G392="","",INDEX(BASE_PRODUTOS!$I$2:$I$1006,$G392))</f>
        <v/>
      </c>
      <c r="Q392" s="9" t="str">
        <f ca="1">IF($G392="","",INDEX(BASE_PRODUTOS!$J$2:$J$1006,$G392))</f>
        <v/>
      </c>
      <c r="R392" s="9" t="str">
        <f ca="1">IF($G392="","",INDEX(BASE_PRODUTOS!$M$2:$M$1006,$G392))</f>
        <v/>
      </c>
      <c r="S392" s="9" t="str">
        <f ca="1">IF($G392="","",INDEX(BASE_PRODUTOS!$N$2:$N$1006,$G392))</f>
        <v/>
      </c>
      <c r="T392" s="9" t="str">
        <f ca="1">IF($G392="","",INDEX(BASE_PRODUTOS!$D$2:$D$1006,$G392))</f>
        <v/>
      </c>
    </row>
    <row r="393" spans="7:20" ht="18" customHeight="1" x14ac:dyDescent="0.35">
      <c r="G393" t="str">
        <f ca="1">IFERROR(_xludf.aggregate(15,6,(ROW(BASE_PRODUTOS!$L$2:$L$1006)-ROW(BASE_PRODUTOS!$L$2)+1)/(BASE_PRODUTOS!$L$2:$L$1006&gt;0),ROWS($G$10:G393)),"")</f>
        <v/>
      </c>
      <c r="H393" s="9" t="str">
        <f ca="1">IF($G393="","",INDEX(BASE_PRODUTOS!$B$2:$B$1006,$G393))</f>
        <v/>
      </c>
      <c r="I393" s="9" t="str">
        <f ca="1">IF($G393="","",INDEX(BASE_PRODUTOS!$L$2:$L$1006,$G393))</f>
        <v/>
      </c>
      <c r="J393" s="9" t="str">
        <f ca="1">IF($G393="","",INDEX(BASE_PRODUTOS!$A$2:$A$1006,$G393))</f>
        <v/>
      </c>
      <c r="K393" s="9" t="str">
        <f ca="1">IF($G393="","",INDEX(BASE_PRODUTOS!$C$2:$C$1006,$G393))</f>
        <v/>
      </c>
      <c r="L393" s="9" t="str">
        <f ca="1">IF($G393="","",INDEX(BASE_PRODUTOS!$E$2:$E$1006,$G393))</f>
        <v/>
      </c>
      <c r="M393" s="9" t="str">
        <f ca="1">IF($G393="","",INDEX(BASE_PRODUTOS!$F$2:$F$1006,$G393))</f>
        <v/>
      </c>
      <c r="N393" s="9" t="str">
        <f ca="1">IF($G393="","",INDEX(BASE_PRODUTOS!$G$2:$G$1006,$G393))</f>
        <v/>
      </c>
      <c r="O393" s="9" t="str">
        <f ca="1">IF($G393="","",INDEX(BASE_PRODUTOS!$H$2:$H$1006,$G393))</f>
        <v/>
      </c>
      <c r="P393" s="9" t="str">
        <f ca="1">IF($G393="","",INDEX(BASE_PRODUTOS!$I$2:$I$1006,$G393))</f>
        <v/>
      </c>
      <c r="Q393" s="9" t="str">
        <f ca="1">IF($G393="","",INDEX(BASE_PRODUTOS!$J$2:$J$1006,$G393))</f>
        <v/>
      </c>
      <c r="R393" s="9" t="str">
        <f ca="1">IF($G393="","",INDEX(BASE_PRODUTOS!$M$2:$M$1006,$G393))</f>
        <v/>
      </c>
      <c r="S393" s="9" t="str">
        <f ca="1">IF($G393="","",INDEX(BASE_PRODUTOS!$N$2:$N$1006,$G393))</f>
        <v/>
      </c>
      <c r="T393" s="9" t="str">
        <f ca="1">IF($G393="","",INDEX(BASE_PRODUTOS!$D$2:$D$1006,$G393))</f>
        <v/>
      </c>
    </row>
    <row r="394" spans="7:20" ht="18" customHeight="1" x14ac:dyDescent="0.35">
      <c r="G394" t="str">
        <f ca="1">IFERROR(_xludf.aggregate(15,6,(ROW(BASE_PRODUTOS!$L$2:$L$1006)-ROW(BASE_PRODUTOS!$L$2)+1)/(BASE_PRODUTOS!$L$2:$L$1006&gt;0),ROWS($G$10:G394)),"")</f>
        <v/>
      </c>
      <c r="H394" s="9" t="str">
        <f ca="1">IF($G394="","",INDEX(BASE_PRODUTOS!$B$2:$B$1006,$G394))</f>
        <v/>
      </c>
      <c r="I394" s="9" t="str">
        <f ca="1">IF($G394="","",INDEX(BASE_PRODUTOS!$L$2:$L$1006,$G394))</f>
        <v/>
      </c>
      <c r="J394" s="9" t="str">
        <f ca="1">IF($G394="","",INDEX(BASE_PRODUTOS!$A$2:$A$1006,$G394))</f>
        <v/>
      </c>
      <c r="K394" s="9" t="str">
        <f ca="1">IF($G394="","",INDEX(BASE_PRODUTOS!$C$2:$C$1006,$G394))</f>
        <v/>
      </c>
      <c r="L394" s="9" t="str">
        <f ca="1">IF($G394="","",INDEX(BASE_PRODUTOS!$E$2:$E$1006,$G394))</f>
        <v/>
      </c>
      <c r="M394" s="9" t="str">
        <f ca="1">IF($G394="","",INDEX(BASE_PRODUTOS!$F$2:$F$1006,$G394))</f>
        <v/>
      </c>
      <c r="N394" s="9" t="str">
        <f ca="1">IF($G394="","",INDEX(BASE_PRODUTOS!$G$2:$G$1006,$G394))</f>
        <v/>
      </c>
      <c r="O394" s="9" t="str">
        <f ca="1">IF($G394="","",INDEX(BASE_PRODUTOS!$H$2:$H$1006,$G394))</f>
        <v/>
      </c>
      <c r="P394" s="9" t="str">
        <f ca="1">IF($G394="","",INDEX(BASE_PRODUTOS!$I$2:$I$1006,$G394))</f>
        <v/>
      </c>
      <c r="Q394" s="9" t="str">
        <f ca="1">IF($G394="","",INDEX(BASE_PRODUTOS!$J$2:$J$1006,$G394))</f>
        <v/>
      </c>
      <c r="R394" s="9" t="str">
        <f ca="1">IF($G394="","",INDEX(BASE_PRODUTOS!$M$2:$M$1006,$G394))</f>
        <v/>
      </c>
      <c r="S394" s="9" t="str">
        <f ca="1">IF($G394="","",INDEX(BASE_PRODUTOS!$N$2:$N$1006,$G394))</f>
        <v/>
      </c>
      <c r="T394" s="9" t="str">
        <f ca="1">IF($G394="","",INDEX(BASE_PRODUTOS!$D$2:$D$1006,$G394))</f>
        <v/>
      </c>
    </row>
    <row r="395" spans="7:20" ht="18" customHeight="1" x14ac:dyDescent="0.35">
      <c r="G395" t="str">
        <f ca="1">IFERROR(_xludf.aggregate(15,6,(ROW(BASE_PRODUTOS!$L$2:$L$1006)-ROW(BASE_PRODUTOS!$L$2)+1)/(BASE_PRODUTOS!$L$2:$L$1006&gt;0),ROWS($G$10:G395)),"")</f>
        <v/>
      </c>
      <c r="H395" s="9" t="str">
        <f ca="1">IF($G395="","",INDEX(BASE_PRODUTOS!$B$2:$B$1006,$G395))</f>
        <v/>
      </c>
      <c r="I395" s="9" t="str">
        <f ca="1">IF($G395="","",INDEX(BASE_PRODUTOS!$L$2:$L$1006,$G395))</f>
        <v/>
      </c>
      <c r="J395" s="9" t="str">
        <f ca="1">IF($G395="","",INDEX(BASE_PRODUTOS!$A$2:$A$1006,$G395))</f>
        <v/>
      </c>
      <c r="K395" s="9" t="str">
        <f ca="1">IF($G395="","",INDEX(BASE_PRODUTOS!$C$2:$C$1006,$G395))</f>
        <v/>
      </c>
      <c r="L395" s="9" t="str">
        <f ca="1">IF($G395="","",INDEX(BASE_PRODUTOS!$E$2:$E$1006,$G395))</f>
        <v/>
      </c>
      <c r="M395" s="9" t="str">
        <f ca="1">IF($G395="","",INDEX(BASE_PRODUTOS!$F$2:$F$1006,$G395))</f>
        <v/>
      </c>
      <c r="N395" s="9" t="str">
        <f ca="1">IF($G395="","",INDEX(BASE_PRODUTOS!$G$2:$G$1006,$G395))</f>
        <v/>
      </c>
      <c r="O395" s="9" t="str">
        <f ca="1">IF($G395="","",INDEX(BASE_PRODUTOS!$H$2:$H$1006,$G395))</f>
        <v/>
      </c>
      <c r="P395" s="9" t="str">
        <f ca="1">IF($G395="","",INDEX(BASE_PRODUTOS!$I$2:$I$1006,$G395))</f>
        <v/>
      </c>
      <c r="Q395" s="9" t="str">
        <f ca="1">IF($G395="","",INDEX(BASE_PRODUTOS!$J$2:$J$1006,$G395))</f>
        <v/>
      </c>
      <c r="R395" s="9" t="str">
        <f ca="1">IF($G395="","",INDEX(BASE_PRODUTOS!$M$2:$M$1006,$G395))</f>
        <v/>
      </c>
      <c r="S395" s="9" t="str">
        <f ca="1">IF($G395="","",INDEX(BASE_PRODUTOS!$N$2:$N$1006,$G395))</f>
        <v/>
      </c>
      <c r="T395" s="9" t="str">
        <f ca="1">IF($G395="","",INDEX(BASE_PRODUTOS!$D$2:$D$1006,$G395))</f>
        <v/>
      </c>
    </row>
    <row r="396" spans="7:20" ht="18" customHeight="1" x14ac:dyDescent="0.35">
      <c r="G396" t="str">
        <f ca="1">IFERROR(_xludf.aggregate(15,6,(ROW(BASE_PRODUTOS!$L$2:$L$1006)-ROW(BASE_PRODUTOS!$L$2)+1)/(BASE_PRODUTOS!$L$2:$L$1006&gt;0),ROWS($G$10:G396)),"")</f>
        <v/>
      </c>
      <c r="H396" s="9" t="str">
        <f ca="1">IF($G396="","",INDEX(BASE_PRODUTOS!$B$2:$B$1006,$G396))</f>
        <v/>
      </c>
      <c r="I396" s="9" t="str">
        <f ca="1">IF($G396="","",INDEX(BASE_PRODUTOS!$L$2:$L$1006,$G396))</f>
        <v/>
      </c>
      <c r="J396" s="9" t="str">
        <f ca="1">IF($G396="","",INDEX(BASE_PRODUTOS!$A$2:$A$1006,$G396))</f>
        <v/>
      </c>
      <c r="K396" s="9" t="str">
        <f ca="1">IF($G396="","",INDEX(BASE_PRODUTOS!$C$2:$C$1006,$G396))</f>
        <v/>
      </c>
      <c r="L396" s="9" t="str">
        <f ca="1">IF($G396="","",INDEX(BASE_PRODUTOS!$E$2:$E$1006,$G396))</f>
        <v/>
      </c>
      <c r="M396" s="9" t="str">
        <f ca="1">IF($G396="","",INDEX(BASE_PRODUTOS!$F$2:$F$1006,$G396))</f>
        <v/>
      </c>
      <c r="N396" s="9" t="str">
        <f ca="1">IF($G396="","",INDEX(BASE_PRODUTOS!$G$2:$G$1006,$G396))</f>
        <v/>
      </c>
      <c r="O396" s="9" t="str">
        <f ca="1">IF($G396="","",INDEX(BASE_PRODUTOS!$H$2:$H$1006,$G396))</f>
        <v/>
      </c>
      <c r="P396" s="9" t="str">
        <f ca="1">IF($G396="","",INDEX(BASE_PRODUTOS!$I$2:$I$1006,$G396))</f>
        <v/>
      </c>
      <c r="Q396" s="9" t="str">
        <f ca="1">IF($G396="","",INDEX(BASE_PRODUTOS!$J$2:$J$1006,$G396))</f>
        <v/>
      </c>
      <c r="R396" s="9" t="str">
        <f ca="1">IF($G396="","",INDEX(BASE_PRODUTOS!$M$2:$M$1006,$G396))</f>
        <v/>
      </c>
      <c r="S396" s="9" t="str">
        <f ca="1">IF($G396="","",INDEX(BASE_PRODUTOS!$N$2:$N$1006,$G396))</f>
        <v/>
      </c>
      <c r="T396" s="9" t="str">
        <f ca="1">IF($G396="","",INDEX(BASE_PRODUTOS!$D$2:$D$1006,$G396))</f>
        <v/>
      </c>
    </row>
    <row r="397" spans="7:20" ht="18" customHeight="1" x14ac:dyDescent="0.35">
      <c r="G397" t="str">
        <f ca="1">IFERROR(_xludf.aggregate(15,6,(ROW(BASE_PRODUTOS!$L$2:$L$1006)-ROW(BASE_PRODUTOS!$L$2)+1)/(BASE_PRODUTOS!$L$2:$L$1006&gt;0),ROWS($G$10:G397)),"")</f>
        <v/>
      </c>
      <c r="H397" s="9" t="str">
        <f ca="1">IF($G397="","",INDEX(BASE_PRODUTOS!$B$2:$B$1006,$G397))</f>
        <v/>
      </c>
      <c r="I397" s="9" t="str">
        <f ca="1">IF($G397="","",INDEX(BASE_PRODUTOS!$L$2:$L$1006,$G397))</f>
        <v/>
      </c>
      <c r="J397" s="9" t="str">
        <f ca="1">IF($G397="","",INDEX(BASE_PRODUTOS!$A$2:$A$1006,$G397))</f>
        <v/>
      </c>
      <c r="K397" s="9" t="str">
        <f ca="1">IF($G397="","",INDEX(BASE_PRODUTOS!$C$2:$C$1006,$G397))</f>
        <v/>
      </c>
      <c r="L397" s="9" t="str">
        <f ca="1">IF($G397="","",INDEX(BASE_PRODUTOS!$E$2:$E$1006,$G397))</f>
        <v/>
      </c>
      <c r="M397" s="9" t="str">
        <f ca="1">IF($G397="","",INDEX(BASE_PRODUTOS!$F$2:$F$1006,$G397))</f>
        <v/>
      </c>
      <c r="N397" s="9" t="str">
        <f ca="1">IF($G397="","",INDEX(BASE_PRODUTOS!$G$2:$G$1006,$G397))</f>
        <v/>
      </c>
      <c r="O397" s="9" t="str">
        <f ca="1">IF($G397="","",INDEX(BASE_PRODUTOS!$H$2:$H$1006,$G397))</f>
        <v/>
      </c>
      <c r="P397" s="9" t="str">
        <f ca="1">IF($G397="","",INDEX(BASE_PRODUTOS!$I$2:$I$1006,$G397))</f>
        <v/>
      </c>
      <c r="Q397" s="9" t="str">
        <f ca="1">IF($G397="","",INDEX(BASE_PRODUTOS!$J$2:$J$1006,$G397))</f>
        <v/>
      </c>
      <c r="R397" s="9" t="str">
        <f ca="1">IF($G397="","",INDEX(BASE_PRODUTOS!$M$2:$M$1006,$G397))</f>
        <v/>
      </c>
      <c r="S397" s="9" t="str">
        <f ca="1">IF($G397="","",INDEX(BASE_PRODUTOS!$N$2:$N$1006,$G397))</f>
        <v/>
      </c>
      <c r="T397" s="9" t="str">
        <f ca="1">IF($G397="","",INDEX(BASE_PRODUTOS!$D$2:$D$1006,$G397))</f>
        <v/>
      </c>
    </row>
    <row r="398" spans="7:20" ht="18" customHeight="1" x14ac:dyDescent="0.35">
      <c r="G398" t="str">
        <f ca="1">IFERROR(_xludf.aggregate(15,6,(ROW(BASE_PRODUTOS!$L$2:$L$1006)-ROW(BASE_PRODUTOS!$L$2)+1)/(BASE_PRODUTOS!$L$2:$L$1006&gt;0),ROWS($G$10:G398)),"")</f>
        <v/>
      </c>
      <c r="H398" s="9" t="str">
        <f ca="1">IF($G398="","",INDEX(BASE_PRODUTOS!$B$2:$B$1006,$G398))</f>
        <v/>
      </c>
      <c r="I398" s="9" t="str">
        <f ca="1">IF($G398="","",INDEX(BASE_PRODUTOS!$L$2:$L$1006,$G398))</f>
        <v/>
      </c>
      <c r="J398" s="9" t="str">
        <f ca="1">IF($G398="","",INDEX(BASE_PRODUTOS!$A$2:$A$1006,$G398))</f>
        <v/>
      </c>
      <c r="K398" s="9" t="str">
        <f ca="1">IF($G398="","",INDEX(BASE_PRODUTOS!$C$2:$C$1006,$G398))</f>
        <v/>
      </c>
      <c r="L398" s="9" t="str">
        <f ca="1">IF($G398="","",INDEX(BASE_PRODUTOS!$E$2:$E$1006,$G398))</f>
        <v/>
      </c>
      <c r="M398" s="9" t="str">
        <f ca="1">IF($G398="","",INDEX(BASE_PRODUTOS!$F$2:$F$1006,$G398))</f>
        <v/>
      </c>
      <c r="N398" s="9" t="str">
        <f ca="1">IF($G398="","",INDEX(BASE_PRODUTOS!$G$2:$G$1006,$G398))</f>
        <v/>
      </c>
      <c r="O398" s="9" t="str">
        <f ca="1">IF($G398="","",INDEX(BASE_PRODUTOS!$H$2:$H$1006,$G398))</f>
        <v/>
      </c>
      <c r="P398" s="9" t="str">
        <f ca="1">IF($G398="","",INDEX(BASE_PRODUTOS!$I$2:$I$1006,$G398))</f>
        <v/>
      </c>
      <c r="Q398" s="9" t="str">
        <f ca="1">IF($G398="","",INDEX(BASE_PRODUTOS!$J$2:$J$1006,$G398))</f>
        <v/>
      </c>
      <c r="R398" s="9" t="str">
        <f ca="1">IF($G398="","",INDEX(BASE_PRODUTOS!$M$2:$M$1006,$G398))</f>
        <v/>
      </c>
      <c r="S398" s="9" t="str">
        <f ca="1">IF($G398="","",INDEX(BASE_PRODUTOS!$N$2:$N$1006,$G398))</f>
        <v/>
      </c>
      <c r="T398" s="9" t="str">
        <f ca="1">IF($G398="","",INDEX(BASE_PRODUTOS!$D$2:$D$1006,$G398))</f>
        <v/>
      </c>
    </row>
    <row r="399" spans="7:20" ht="18" customHeight="1" x14ac:dyDescent="0.35">
      <c r="G399" t="str">
        <f ca="1">IFERROR(_xludf.aggregate(15,6,(ROW(BASE_PRODUTOS!$L$2:$L$1006)-ROW(BASE_PRODUTOS!$L$2)+1)/(BASE_PRODUTOS!$L$2:$L$1006&gt;0),ROWS($G$10:G399)),"")</f>
        <v/>
      </c>
      <c r="H399" s="9" t="str">
        <f ca="1">IF($G399="","",INDEX(BASE_PRODUTOS!$B$2:$B$1006,$G399))</f>
        <v/>
      </c>
      <c r="I399" s="9" t="str">
        <f ca="1">IF($G399="","",INDEX(BASE_PRODUTOS!$L$2:$L$1006,$G399))</f>
        <v/>
      </c>
      <c r="J399" s="9" t="str">
        <f ca="1">IF($G399="","",INDEX(BASE_PRODUTOS!$A$2:$A$1006,$G399))</f>
        <v/>
      </c>
      <c r="K399" s="9" t="str">
        <f ca="1">IF($G399="","",INDEX(BASE_PRODUTOS!$C$2:$C$1006,$G399))</f>
        <v/>
      </c>
      <c r="L399" s="9" t="str">
        <f ca="1">IF($G399="","",INDEX(BASE_PRODUTOS!$E$2:$E$1006,$G399))</f>
        <v/>
      </c>
      <c r="M399" s="9" t="str">
        <f ca="1">IF($G399="","",INDEX(BASE_PRODUTOS!$F$2:$F$1006,$G399))</f>
        <v/>
      </c>
      <c r="N399" s="9" t="str">
        <f ca="1">IF($G399="","",INDEX(BASE_PRODUTOS!$G$2:$G$1006,$G399))</f>
        <v/>
      </c>
      <c r="O399" s="9" t="str">
        <f ca="1">IF($G399="","",INDEX(BASE_PRODUTOS!$H$2:$H$1006,$G399))</f>
        <v/>
      </c>
      <c r="P399" s="9" t="str">
        <f ca="1">IF($G399="","",INDEX(BASE_PRODUTOS!$I$2:$I$1006,$G399))</f>
        <v/>
      </c>
      <c r="Q399" s="9" t="str">
        <f ca="1">IF($G399="","",INDEX(BASE_PRODUTOS!$J$2:$J$1006,$G399))</f>
        <v/>
      </c>
      <c r="R399" s="9" t="str">
        <f ca="1">IF($G399="","",INDEX(BASE_PRODUTOS!$M$2:$M$1006,$G399))</f>
        <v/>
      </c>
      <c r="S399" s="9" t="str">
        <f ca="1">IF($G399="","",INDEX(BASE_PRODUTOS!$N$2:$N$1006,$G399))</f>
        <v/>
      </c>
      <c r="T399" s="9" t="str">
        <f ca="1">IF($G399="","",INDEX(BASE_PRODUTOS!$D$2:$D$1006,$G399))</f>
        <v/>
      </c>
    </row>
    <row r="400" spans="7:20" ht="18" customHeight="1" x14ac:dyDescent="0.35">
      <c r="G400" t="str">
        <f ca="1">IFERROR(_xludf.aggregate(15,6,(ROW(BASE_PRODUTOS!$L$2:$L$1006)-ROW(BASE_PRODUTOS!$L$2)+1)/(BASE_PRODUTOS!$L$2:$L$1006&gt;0),ROWS($G$10:G400)),"")</f>
        <v/>
      </c>
      <c r="H400" s="9" t="str">
        <f ca="1">IF($G400="","",INDEX(BASE_PRODUTOS!$B$2:$B$1006,$G400))</f>
        <v/>
      </c>
      <c r="I400" s="9" t="str">
        <f ca="1">IF($G400="","",INDEX(BASE_PRODUTOS!$L$2:$L$1006,$G400))</f>
        <v/>
      </c>
      <c r="J400" s="9" t="str">
        <f ca="1">IF($G400="","",INDEX(BASE_PRODUTOS!$A$2:$A$1006,$G400))</f>
        <v/>
      </c>
      <c r="K400" s="9" t="str">
        <f ca="1">IF($G400="","",INDEX(BASE_PRODUTOS!$C$2:$C$1006,$G400))</f>
        <v/>
      </c>
      <c r="L400" s="9" t="str">
        <f ca="1">IF($G400="","",INDEX(BASE_PRODUTOS!$E$2:$E$1006,$G400))</f>
        <v/>
      </c>
      <c r="M400" s="9" t="str">
        <f ca="1">IF($G400="","",INDEX(BASE_PRODUTOS!$F$2:$F$1006,$G400))</f>
        <v/>
      </c>
      <c r="N400" s="9" t="str">
        <f ca="1">IF($G400="","",INDEX(BASE_PRODUTOS!$G$2:$G$1006,$G400))</f>
        <v/>
      </c>
      <c r="O400" s="9" t="str">
        <f ca="1">IF($G400="","",INDEX(BASE_PRODUTOS!$H$2:$H$1006,$G400))</f>
        <v/>
      </c>
      <c r="P400" s="9" t="str">
        <f ca="1">IF($G400="","",INDEX(BASE_PRODUTOS!$I$2:$I$1006,$G400))</f>
        <v/>
      </c>
      <c r="Q400" s="9" t="str">
        <f ca="1">IF($G400="","",INDEX(BASE_PRODUTOS!$J$2:$J$1006,$G400))</f>
        <v/>
      </c>
      <c r="R400" s="9" t="str">
        <f ca="1">IF($G400="","",INDEX(BASE_PRODUTOS!$M$2:$M$1006,$G400))</f>
        <v/>
      </c>
      <c r="S400" s="9" t="str">
        <f ca="1">IF($G400="","",INDEX(BASE_PRODUTOS!$N$2:$N$1006,$G400))</f>
        <v/>
      </c>
      <c r="T400" s="9" t="str">
        <f ca="1">IF($G400="","",INDEX(BASE_PRODUTOS!$D$2:$D$1006,$G400))</f>
        <v/>
      </c>
    </row>
    <row r="401" spans="7:20" ht="18" customHeight="1" x14ac:dyDescent="0.35">
      <c r="G401" t="str">
        <f ca="1">IFERROR(_xludf.aggregate(15,6,(ROW(BASE_PRODUTOS!$L$2:$L$1006)-ROW(BASE_PRODUTOS!$L$2)+1)/(BASE_PRODUTOS!$L$2:$L$1006&gt;0),ROWS($G$10:G401)),"")</f>
        <v/>
      </c>
      <c r="H401" s="9" t="str">
        <f ca="1">IF($G401="","",INDEX(BASE_PRODUTOS!$B$2:$B$1006,$G401))</f>
        <v/>
      </c>
      <c r="I401" s="9" t="str">
        <f ca="1">IF($G401="","",INDEX(BASE_PRODUTOS!$L$2:$L$1006,$G401))</f>
        <v/>
      </c>
      <c r="J401" s="9" t="str">
        <f ca="1">IF($G401="","",INDEX(BASE_PRODUTOS!$A$2:$A$1006,$G401))</f>
        <v/>
      </c>
      <c r="K401" s="9" t="str">
        <f ca="1">IF($G401="","",INDEX(BASE_PRODUTOS!$C$2:$C$1006,$G401))</f>
        <v/>
      </c>
      <c r="L401" s="9" t="str">
        <f ca="1">IF($G401="","",INDEX(BASE_PRODUTOS!$E$2:$E$1006,$G401))</f>
        <v/>
      </c>
      <c r="M401" s="9" t="str">
        <f ca="1">IF($G401="","",INDEX(BASE_PRODUTOS!$F$2:$F$1006,$G401))</f>
        <v/>
      </c>
      <c r="N401" s="9" t="str">
        <f ca="1">IF($G401="","",INDEX(BASE_PRODUTOS!$G$2:$G$1006,$G401))</f>
        <v/>
      </c>
      <c r="O401" s="9" t="str">
        <f ca="1">IF($G401="","",INDEX(BASE_PRODUTOS!$H$2:$H$1006,$G401))</f>
        <v/>
      </c>
      <c r="P401" s="9" t="str">
        <f ca="1">IF($G401="","",INDEX(BASE_PRODUTOS!$I$2:$I$1006,$G401))</f>
        <v/>
      </c>
      <c r="Q401" s="9" t="str">
        <f ca="1">IF($G401="","",INDEX(BASE_PRODUTOS!$J$2:$J$1006,$G401))</f>
        <v/>
      </c>
      <c r="R401" s="9" t="str">
        <f ca="1">IF($G401="","",INDEX(BASE_PRODUTOS!$M$2:$M$1006,$G401))</f>
        <v/>
      </c>
      <c r="S401" s="9" t="str">
        <f ca="1">IF($G401="","",INDEX(BASE_PRODUTOS!$N$2:$N$1006,$G401))</f>
        <v/>
      </c>
      <c r="T401" s="9" t="str">
        <f ca="1">IF($G401="","",INDEX(BASE_PRODUTOS!$D$2:$D$1006,$G401))</f>
        <v/>
      </c>
    </row>
    <row r="402" spans="7:20" ht="18" customHeight="1" x14ac:dyDescent="0.35">
      <c r="G402" t="str">
        <f ca="1">IFERROR(_xludf.aggregate(15,6,(ROW(BASE_PRODUTOS!$L$2:$L$1006)-ROW(BASE_PRODUTOS!$L$2)+1)/(BASE_PRODUTOS!$L$2:$L$1006&gt;0),ROWS($G$10:G402)),"")</f>
        <v/>
      </c>
      <c r="H402" s="9" t="str">
        <f ca="1">IF($G402="","",INDEX(BASE_PRODUTOS!$B$2:$B$1006,$G402))</f>
        <v/>
      </c>
      <c r="I402" s="9" t="str">
        <f ca="1">IF($G402="","",INDEX(BASE_PRODUTOS!$L$2:$L$1006,$G402))</f>
        <v/>
      </c>
      <c r="J402" s="9" t="str">
        <f ca="1">IF($G402="","",INDEX(BASE_PRODUTOS!$A$2:$A$1006,$G402))</f>
        <v/>
      </c>
      <c r="K402" s="9" t="str">
        <f ca="1">IF($G402="","",INDEX(BASE_PRODUTOS!$C$2:$C$1006,$G402))</f>
        <v/>
      </c>
      <c r="L402" s="9" t="str">
        <f ca="1">IF($G402="","",INDEX(BASE_PRODUTOS!$E$2:$E$1006,$G402))</f>
        <v/>
      </c>
      <c r="M402" s="9" t="str">
        <f ca="1">IF($G402="","",INDEX(BASE_PRODUTOS!$F$2:$F$1006,$G402))</f>
        <v/>
      </c>
      <c r="N402" s="9" t="str">
        <f ca="1">IF($G402="","",INDEX(BASE_PRODUTOS!$G$2:$G$1006,$G402))</f>
        <v/>
      </c>
      <c r="O402" s="9" t="str">
        <f ca="1">IF($G402="","",INDEX(BASE_PRODUTOS!$H$2:$H$1006,$G402))</f>
        <v/>
      </c>
      <c r="P402" s="9" t="str">
        <f ca="1">IF($G402="","",INDEX(BASE_PRODUTOS!$I$2:$I$1006,$G402))</f>
        <v/>
      </c>
      <c r="Q402" s="9" t="str">
        <f ca="1">IF($G402="","",INDEX(BASE_PRODUTOS!$J$2:$J$1006,$G402))</f>
        <v/>
      </c>
      <c r="R402" s="9" t="str">
        <f ca="1">IF($G402="","",INDEX(BASE_PRODUTOS!$M$2:$M$1006,$G402))</f>
        <v/>
      </c>
      <c r="S402" s="9" t="str">
        <f ca="1">IF($G402="","",INDEX(BASE_PRODUTOS!$N$2:$N$1006,$G402))</f>
        <v/>
      </c>
      <c r="T402" s="9" t="str">
        <f ca="1">IF($G402="","",INDEX(BASE_PRODUTOS!$D$2:$D$1006,$G402))</f>
        <v/>
      </c>
    </row>
    <row r="403" spans="7:20" ht="18" customHeight="1" x14ac:dyDescent="0.35">
      <c r="G403" t="str">
        <f ca="1">IFERROR(_xludf.aggregate(15,6,(ROW(BASE_PRODUTOS!$L$2:$L$1006)-ROW(BASE_PRODUTOS!$L$2)+1)/(BASE_PRODUTOS!$L$2:$L$1006&gt;0),ROWS($G$10:G403)),"")</f>
        <v/>
      </c>
      <c r="H403" s="9" t="str">
        <f ca="1">IF($G403="","",INDEX(BASE_PRODUTOS!$B$2:$B$1006,$G403))</f>
        <v/>
      </c>
      <c r="I403" s="9" t="str">
        <f ca="1">IF($G403="","",INDEX(BASE_PRODUTOS!$L$2:$L$1006,$G403))</f>
        <v/>
      </c>
      <c r="J403" s="9" t="str">
        <f ca="1">IF($G403="","",INDEX(BASE_PRODUTOS!$A$2:$A$1006,$G403))</f>
        <v/>
      </c>
      <c r="K403" s="9" t="str">
        <f ca="1">IF($G403="","",INDEX(BASE_PRODUTOS!$C$2:$C$1006,$G403))</f>
        <v/>
      </c>
      <c r="L403" s="9" t="str">
        <f ca="1">IF($G403="","",INDEX(BASE_PRODUTOS!$E$2:$E$1006,$G403))</f>
        <v/>
      </c>
      <c r="M403" s="9" t="str">
        <f ca="1">IF($G403="","",INDEX(BASE_PRODUTOS!$F$2:$F$1006,$G403))</f>
        <v/>
      </c>
      <c r="N403" s="9" t="str">
        <f ca="1">IF($G403="","",INDEX(BASE_PRODUTOS!$G$2:$G$1006,$G403))</f>
        <v/>
      </c>
      <c r="O403" s="9" t="str">
        <f ca="1">IF($G403="","",INDEX(BASE_PRODUTOS!$H$2:$H$1006,$G403))</f>
        <v/>
      </c>
      <c r="P403" s="9" t="str">
        <f ca="1">IF($G403="","",INDEX(BASE_PRODUTOS!$I$2:$I$1006,$G403))</f>
        <v/>
      </c>
      <c r="Q403" s="9" t="str">
        <f ca="1">IF($G403="","",INDEX(BASE_PRODUTOS!$J$2:$J$1006,$G403))</f>
        <v/>
      </c>
      <c r="R403" s="9" t="str">
        <f ca="1">IF($G403="","",INDEX(BASE_PRODUTOS!$M$2:$M$1006,$G403))</f>
        <v/>
      </c>
      <c r="S403" s="9" t="str">
        <f ca="1">IF($G403="","",INDEX(BASE_PRODUTOS!$N$2:$N$1006,$G403))</f>
        <v/>
      </c>
      <c r="T403" s="9" t="str">
        <f ca="1">IF($G403="","",INDEX(BASE_PRODUTOS!$D$2:$D$1006,$G403))</f>
        <v/>
      </c>
    </row>
    <row r="404" spans="7:20" ht="18" customHeight="1" x14ac:dyDescent="0.35">
      <c r="G404" t="str">
        <f ca="1">IFERROR(_xludf.aggregate(15,6,(ROW(BASE_PRODUTOS!$L$2:$L$1006)-ROW(BASE_PRODUTOS!$L$2)+1)/(BASE_PRODUTOS!$L$2:$L$1006&gt;0),ROWS($G$10:G404)),"")</f>
        <v/>
      </c>
      <c r="H404" s="9" t="str">
        <f ca="1">IF($G404="","",INDEX(BASE_PRODUTOS!$B$2:$B$1006,$G404))</f>
        <v/>
      </c>
      <c r="I404" s="9" t="str">
        <f ca="1">IF($G404="","",INDEX(BASE_PRODUTOS!$L$2:$L$1006,$G404))</f>
        <v/>
      </c>
      <c r="J404" s="9" t="str">
        <f ca="1">IF($G404="","",INDEX(BASE_PRODUTOS!$A$2:$A$1006,$G404))</f>
        <v/>
      </c>
      <c r="K404" s="9" t="str">
        <f ca="1">IF($G404="","",INDEX(BASE_PRODUTOS!$C$2:$C$1006,$G404))</f>
        <v/>
      </c>
      <c r="L404" s="9" t="str">
        <f ca="1">IF($G404="","",INDEX(BASE_PRODUTOS!$E$2:$E$1006,$G404))</f>
        <v/>
      </c>
      <c r="M404" s="9" t="str">
        <f ca="1">IF($G404="","",INDEX(BASE_PRODUTOS!$F$2:$F$1006,$G404))</f>
        <v/>
      </c>
      <c r="N404" s="9" t="str">
        <f ca="1">IF($G404="","",INDEX(BASE_PRODUTOS!$G$2:$G$1006,$G404))</f>
        <v/>
      </c>
      <c r="O404" s="9" t="str">
        <f ca="1">IF($G404="","",INDEX(BASE_PRODUTOS!$H$2:$H$1006,$G404))</f>
        <v/>
      </c>
      <c r="P404" s="9" t="str">
        <f ca="1">IF($G404="","",INDEX(BASE_PRODUTOS!$I$2:$I$1006,$G404))</f>
        <v/>
      </c>
      <c r="Q404" s="9" t="str">
        <f ca="1">IF($G404="","",INDEX(BASE_PRODUTOS!$J$2:$J$1006,$G404))</f>
        <v/>
      </c>
      <c r="R404" s="9" t="str">
        <f ca="1">IF($G404="","",INDEX(BASE_PRODUTOS!$M$2:$M$1006,$G404))</f>
        <v/>
      </c>
      <c r="S404" s="9" t="str">
        <f ca="1">IF($G404="","",INDEX(BASE_PRODUTOS!$N$2:$N$1006,$G404))</f>
        <v/>
      </c>
      <c r="T404" s="9" t="str">
        <f ca="1">IF($G404="","",INDEX(BASE_PRODUTOS!$D$2:$D$1006,$G404))</f>
        <v/>
      </c>
    </row>
    <row r="405" spans="7:20" ht="18" customHeight="1" x14ac:dyDescent="0.35">
      <c r="G405" t="str">
        <f ca="1">IFERROR(_xludf.aggregate(15,6,(ROW(BASE_PRODUTOS!$L$2:$L$1006)-ROW(BASE_PRODUTOS!$L$2)+1)/(BASE_PRODUTOS!$L$2:$L$1006&gt;0),ROWS($G$10:G405)),"")</f>
        <v/>
      </c>
      <c r="H405" s="9" t="str">
        <f ca="1">IF($G405="","",INDEX(BASE_PRODUTOS!$B$2:$B$1006,$G405))</f>
        <v/>
      </c>
      <c r="I405" s="9" t="str">
        <f ca="1">IF($G405="","",INDEX(BASE_PRODUTOS!$L$2:$L$1006,$G405))</f>
        <v/>
      </c>
      <c r="J405" s="9" t="str">
        <f ca="1">IF($G405="","",INDEX(BASE_PRODUTOS!$A$2:$A$1006,$G405))</f>
        <v/>
      </c>
      <c r="K405" s="9" t="str">
        <f ca="1">IF($G405="","",INDEX(BASE_PRODUTOS!$C$2:$C$1006,$G405))</f>
        <v/>
      </c>
      <c r="L405" s="9" t="str">
        <f ca="1">IF($G405="","",INDEX(BASE_PRODUTOS!$E$2:$E$1006,$G405))</f>
        <v/>
      </c>
      <c r="M405" s="9" t="str">
        <f ca="1">IF($G405="","",INDEX(BASE_PRODUTOS!$F$2:$F$1006,$G405))</f>
        <v/>
      </c>
      <c r="N405" s="9" t="str">
        <f ca="1">IF($G405="","",INDEX(BASE_PRODUTOS!$G$2:$G$1006,$G405))</f>
        <v/>
      </c>
      <c r="O405" s="9" t="str">
        <f ca="1">IF($G405="","",INDEX(BASE_PRODUTOS!$H$2:$H$1006,$G405))</f>
        <v/>
      </c>
      <c r="P405" s="9" t="str">
        <f ca="1">IF($G405="","",INDEX(BASE_PRODUTOS!$I$2:$I$1006,$G405))</f>
        <v/>
      </c>
      <c r="Q405" s="9" t="str">
        <f ca="1">IF($G405="","",INDEX(BASE_PRODUTOS!$J$2:$J$1006,$G405))</f>
        <v/>
      </c>
      <c r="R405" s="9" t="str">
        <f ca="1">IF($G405="","",INDEX(BASE_PRODUTOS!$M$2:$M$1006,$G405))</f>
        <v/>
      </c>
      <c r="S405" s="9" t="str">
        <f ca="1">IF($G405="","",INDEX(BASE_PRODUTOS!$N$2:$N$1006,$G405))</f>
        <v/>
      </c>
      <c r="T405" s="9" t="str">
        <f ca="1">IF($G405="","",INDEX(BASE_PRODUTOS!$D$2:$D$1006,$G405))</f>
        <v/>
      </c>
    </row>
    <row r="406" spans="7:20" ht="18" customHeight="1" x14ac:dyDescent="0.35">
      <c r="G406" t="str">
        <f ca="1">IFERROR(_xludf.aggregate(15,6,(ROW(BASE_PRODUTOS!$L$2:$L$1006)-ROW(BASE_PRODUTOS!$L$2)+1)/(BASE_PRODUTOS!$L$2:$L$1006&gt;0),ROWS($G$10:G406)),"")</f>
        <v/>
      </c>
      <c r="H406" s="9" t="str">
        <f ca="1">IF($G406="","",INDEX(BASE_PRODUTOS!$B$2:$B$1006,$G406))</f>
        <v/>
      </c>
      <c r="I406" s="9" t="str">
        <f ca="1">IF($G406="","",INDEX(BASE_PRODUTOS!$L$2:$L$1006,$G406))</f>
        <v/>
      </c>
      <c r="J406" s="9" t="str">
        <f ca="1">IF($G406="","",INDEX(BASE_PRODUTOS!$A$2:$A$1006,$G406))</f>
        <v/>
      </c>
      <c r="K406" s="9" t="str">
        <f ca="1">IF($G406="","",INDEX(BASE_PRODUTOS!$C$2:$C$1006,$G406))</f>
        <v/>
      </c>
      <c r="L406" s="9" t="str">
        <f ca="1">IF($G406="","",INDEX(BASE_PRODUTOS!$E$2:$E$1006,$G406))</f>
        <v/>
      </c>
      <c r="M406" s="9" t="str">
        <f ca="1">IF($G406="","",INDEX(BASE_PRODUTOS!$F$2:$F$1006,$G406))</f>
        <v/>
      </c>
      <c r="N406" s="9" t="str">
        <f ca="1">IF($G406="","",INDEX(BASE_PRODUTOS!$G$2:$G$1006,$G406))</f>
        <v/>
      </c>
      <c r="O406" s="9" t="str">
        <f ca="1">IF($G406="","",INDEX(BASE_PRODUTOS!$H$2:$H$1006,$G406))</f>
        <v/>
      </c>
      <c r="P406" s="9" t="str">
        <f ca="1">IF($G406="","",INDEX(BASE_PRODUTOS!$I$2:$I$1006,$G406))</f>
        <v/>
      </c>
      <c r="Q406" s="9" t="str">
        <f ca="1">IF($G406="","",INDEX(BASE_PRODUTOS!$J$2:$J$1006,$G406))</f>
        <v/>
      </c>
      <c r="R406" s="9" t="str">
        <f ca="1">IF($G406="","",INDEX(BASE_PRODUTOS!$M$2:$M$1006,$G406))</f>
        <v/>
      </c>
      <c r="S406" s="9" t="str">
        <f ca="1">IF($G406="","",INDEX(BASE_PRODUTOS!$N$2:$N$1006,$G406))</f>
        <v/>
      </c>
      <c r="T406" s="9" t="str">
        <f ca="1">IF($G406="","",INDEX(BASE_PRODUTOS!$D$2:$D$1006,$G406))</f>
        <v/>
      </c>
    </row>
    <row r="407" spans="7:20" ht="18" customHeight="1" x14ac:dyDescent="0.35">
      <c r="G407" t="str">
        <f ca="1">IFERROR(_xludf.aggregate(15,6,(ROW(BASE_PRODUTOS!$L$2:$L$1006)-ROW(BASE_PRODUTOS!$L$2)+1)/(BASE_PRODUTOS!$L$2:$L$1006&gt;0),ROWS($G$10:G407)),"")</f>
        <v/>
      </c>
      <c r="H407" s="9" t="str">
        <f ca="1">IF($G407="","",INDEX(BASE_PRODUTOS!$B$2:$B$1006,$G407))</f>
        <v/>
      </c>
      <c r="I407" s="9" t="str">
        <f ca="1">IF($G407="","",INDEX(BASE_PRODUTOS!$L$2:$L$1006,$G407))</f>
        <v/>
      </c>
      <c r="J407" s="9" t="str">
        <f ca="1">IF($G407="","",INDEX(BASE_PRODUTOS!$A$2:$A$1006,$G407))</f>
        <v/>
      </c>
      <c r="K407" s="9" t="str">
        <f ca="1">IF($G407="","",INDEX(BASE_PRODUTOS!$C$2:$C$1006,$G407))</f>
        <v/>
      </c>
      <c r="L407" s="9" t="str">
        <f ca="1">IF($G407="","",INDEX(BASE_PRODUTOS!$E$2:$E$1006,$G407))</f>
        <v/>
      </c>
      <c r="M407" s="9" t="str">
        <f ca="1">IF($G407="","",INDEX(BASE_PRODUTOS!$F$2:$F$1006,$G407))</f>
        <v/>
      </c>
      <c r="N407" s="9" t="str">
        <f ca="1">IF($G407="","",INDEX(BASE_PRODUTOS!$G$2:$G$1006,$G407))</f>
        <v/>
      </c>
      <c r="O407" s="9" t="str">
        <f ca="1">IF($G407="","",INDEX(BASE_PRODUTOS!$H$2:$H$1006,$G407))</f>
        <v/>
      </c>
      <c r="P407" s="9" t="str">
        <f ca="1">IF($G407="","",INDEX(BASE_PRODUTOS!$I$2:$I$1006,$G407))</f>
        <v/>
      </c>
      <c r="Q407" s="9" t="str">
        <f ca="1">IF($G407="","",INDEX(BASE_PRODUTOS!$J$2:$J$1006,$G407))</f>
        <v/>
      </c>
      <c r="R407" s="9" t="str">
        <f ca="1">IF($G407="","",INDEX(BASE_PRODUTOS!$M$2:$M$1006,$G407))</f>
        <v/>
      </c>
      <c r="S407" s="9" t="str">
        <f ca="1">IF($G407="","",INDEX(BASE_PRODUTOS!$N$2:$N$1006,$G407))</f>
        <v/>
      </c>
      <c r="T407" s="9" t="str">
        <f ca="1">IF($G407="","",INDEX(BASE_PRODUTOS!$D$2:$D$1006,$G407))</f>
        <v/>
      </c>
    </row>
    <row r="408" spans="7:20" ht="18" customHeight="1" x14ac:dyDescent="0.35">
      <c r="G408" t="str">
        <f ca="1">IFERROR(_xludf.aggregate(15,6,(ROW(BASE_PRODUTOS!$L$2:$L$1006)-ROW(BASE_PRODUTOS!$L$2)+1)/(BASE_PRODUTOS!$L$2:$L$1006&gt;0),ROWS($G$10:G408)),"")</f>
        <v/>
      </c>
      <c r="H408" s="9" t="str">
        <f ca="1">IF($G408="","",INDEX(BASE_PRODUTOS!$B$2:$B$1006,$G408))</f>
        <v/>
      </c>
      <c r="I408" s="9" t="str">
        <f ca="1">IF($G408="","",INDEX(BASE_PRODUTOS!$L$2:$L$1006,$G408))</f>
        <v/>
      </c>
      <c r="J408" s="9" t="str">
        <f ca="1">IF($G408="","",INDEX(BASE_PRODUTOS!$A$2:$A$1006,$G408))</f>
        <v/>
      </c>
      <c r="K408" s="9" t="str">
        <f ca="1">IF($G408="","",INDEX(BASE_PRODUTOS!$C$2:$C$1006,$G408))</f>
        <v/>
      </c>
      <c r="L408" s="9" t="str">
        <f ca="1">IF($G408="","",INDEX(BASE_PRODUTOS!$E$2:$E$1006,$G408))</f>
        <v/>
      </c>
      <c r="M408" s="9" t="str">
        <f ca="1">IF($G408="","",INDEX(BASE_PRODUTOS!$F$2:$F$1006,$G408))</f>
        <v/>
      </c>
      <c r="N408" s="9" t="str">
        <f ca="1">IF($G408="","",INDEX(BASE_PRODUTOS!$G$2:$G$1006,$G408))</f>
        <v/>
      </c>
      <c r="O408" s="9" t="str">
        <f ca="1">IF($G408="","",INDEX(BASE_PRODUTOS!$H$2:$H$1006,$G408))</f>
        <v/>
      </c>
      <c r="P408" s="9" t="str">
        <f ca="1">IF($G408="","",INDEX(BASE_PRODUTOS!$I$2:$I$1006,$G408))</f>
        <v/>
      </c>
      <c r="Q408" s="9" t="str">
        <f ca="1">IF($G408="","",INDEX(BASE_PRODUTOS!$J$2:$J$1006,$G408))</f>
        <v/>
      </c>
      <c r="R408" s="9" t="str">
        <f ca="1">IF($G408="","",INDEX(BASE_PRODUTOS!$M$2:$M$1006,$G408))</f>
        <v/>
      </c>
      <c r="S408" s="9" t="str">
        <f ca="1">IF($G408="","",INDEX(BASE_PRODUTOS!$N$2:$N$1006,$G408))</f>
        <v/>
      </c>
      <c r="T408" s="9" t="str">
        <f ca="1">IF($G408="","",INDEX(BASE_PRODUTOS!$D$2:$D$1006,$G408))</f>
        <v/>
      </c>
    </row>
    <row r="409" spans="7:20" ht="18" customHeight="1" x14ac:dyDescent="0.35">
      <c r="G409" t="str">
        <f ca="1">IFERROR(_xludf.aggregate(15,6,(ROW(BASE_PRODUTOS!$L$2:$L$1006)-ROW(BASE_PRODUTOS!$L$2)+1)/(BASE_PRODUTOS!$L$2:$L$1006&gt;0),ROWS($G$10:G409)),"")</f>
        <v/>
      </c>
      <c r="H409" s="9" t="str">
        <f ca="1">IF($G409="","",INDEX(BASE_PRODUTOS!$B$2:$B$1006,$G409))</f>
        <v/>
      </c>
      <c r="I409" s="9" t="str">
        <f ca="1">IF($G409="","",INDEX(BASE_PRODUTOS!$L$2:$L$1006,$G409))</f>
        <v/>
      </c>
      <c r="J409" s="9" t="str">
        <f ca="1">IF($G409="","",INDEX(BASE_PRODUTOS!$A$2:$A$1006,$G409))</f>
        <v/>
      </c>
      <c r="K409" s="9" t="str">
        <f ca="1">IF($G409="","",INDEX(BASE_PRODUTOS!$C$2:$C$1006,$G409))</f>
        <v/>
      </c>
      <c r="L409" s="9" t="str">
        <f ca="1">IF($G409="","",INDEX(BASE_PRODUTOS!$E$2:$E$1006,$G409))</f>
        <v/>
      </c>
      <c r="M409" s="9" t="str">
        <f ca="1">IF($G409="","",INDEX(BASE_PRODUTOS!$F$2:$F$1006,$G409))</f>
        <v/>
      </c>
      <c r="N409" s="9" t="str">
        <f ca="1">IF($G409="","",INDEX(BASE_PRODUTOS!$G$2:$G$1006,$G409))</f>
        <v/>
      </c>
      <c r="O409" s="9" t="str">
        <f ca="1">IF($G409="","",INDEX(BASE_PRODUTOS!$H$2:$H$1006,$G409))</f>
        <v/>
      </c>
      <c r="P409" s="9" t="str">
        <f ca="1">IF($G409="","",INDEX(BASE_PRODUTOS!$I$2:$I$1006,$G409))</f>
        <v/>
      </c>
      <c r="Q409" s="9" t="str">
        <f ca="1">IF($G409="","",INDEX(BASE_PRODUTOS!$J$2:$J$1006,$G409))</f>
        <v/>
      </c>
      <c r="R409" s="9" t="str">
        <f ca="1">IF($G409="","",INDEX(BASE_PRODUTOS!$M$2:$M$1006,$G409))</f>
        <v/>
      </c>
      <c r="S409" s="9" t="str">
        <f ca="1">IF($G409="","",INDEX(BASE_PRODUTOS!$N$2:$N$1006,$G409))</f>
        <v/>
      </c>
      <c r="T409" s="9" t="str">
        <f ca="1">IF($G409="","",INDEX(BASE_PRODUTOS!$D$2:$D$1006,$G409))</f>
        <v/>
      </c>
    </row>
    <row r="410" spans="7:20" ht="18" customHeight="1" x14ac:dyDescent="0.35">
      <c r="G410" t="str">
        <f ca="1">IFERROR(_xludf.aggregate(15,6,(ROW(BASE_PRODUTOS!$L$2:$L$1006)-ROW(BASE_PRODUTOS!$L$2)+1)/(BASE_PRODUTOS!$L$2:$L$1006&gt;0),ROWS($G$10:G410)),"")</f>
        <v/>
      </c>
      <c r="H410" s="9" t="str">
        <f ca="1">IF($G410="","",INDEX(BASE_PRODUTOS!$B$2:$B$1006,$G410))</f>
        <v/>
      </c>
      <c r="I410" s="9" t="str">
        <f ca="1">IF($G410="","",INDEX(BASE_PRODUTOS!$L$2:$L$1006,$G410))</f>
        <v/>
      </c>
      <c r="J410" s="9" t="str">
        <f ca="1">IF($G410="","",INDEX(BASE_PRODUTOS!$A$2:$A$1006,$G410))</f>
        <v/>
      </c>
      <c r="K410" s="9" t="str">
        <f ca="1">IF($G410="","",INDEX(BASE_PRODUTOS!$C$2:$C$1006,$G410))</f>
        <v/>
      </c>
      <c r="L410" s="9" t="str">
        <f ca="1">IF($G410="","",INDEX(BASE_PRODUTOS!$E$2:$E$1006,$G410))</f>
        <v/>
      </c>
      <c r="M410" s="9" t="str">
        <f ca="1">IF($G410="","",INDEX(BASE_PRODUTOS!$F$2:$F$1006,$G410))</f>
        <v/>
      </c>
      <c r="N410" s="9" t="str">
        <f ca="1">IF($G410="","",INDEX(BASE_PRODUTOS!$G$2:$G$1006,$G410))</f>
        <v/>
      </c>
      <c r="O410" s="9" t="str">
        <f ca="1">IF($G410="","",INDEX(BASE_PRODUTOS!$H$2:$H$1006,$G410))</f>
        <v/>
      </c>
      <c r="P410" s="9" t="str">
        <f ca="1">IF($G410="","",INDEX(BASE_PRODUTOS!$I$2:$I$1006,$G410))</f>
        <v/>
      </c>
      <c r="Q410" s="9" t="str">
        <f ca="1">IF($G410="","",INDEX(BASE_PRODUTOS!$J$2:$J$1006,$G410))</f>
        <v/>
      </c>
      <c r="R410" s="9" t="str">
        <f ca="1">IF($G410="","",INDEX(BASE_PRODUTOS!$M$2:$M$1006,$G410))</f>
        <v/>
      </c>
      <c r="S410" s="9" t="str">
        <f ca="1">IF($G410="","",INDEX(BASE_PRODUTOS!$N$2:$N$1006,$G410))</f>
        <v/>
      </c>
      <c r="T410" s="9" t="str">
        <f ca="1">IF($G410="","",INDEX(BASE_PRODUTOS!$D$2:$D$1006,$G410))</f>
        <v/>
      </c>
    </row>
    <row r="411" spans="7:20" ht="18" customHeight="1" x14ac:dyDescent="0.35">
      <c r="G411" t="str">
        <f ca="1">IFERROR(_xludf.aggregate(15,6,(ROW(BASE_PRODUTOS!$L$2:$L$1006)-ROW(BASE_PRODUTOS!$L$2)+1)/(BASE_PRODUTOS!$L$2:$L$1006&gt;0),ROWS($G$10:G411)),"")</f>
        <v/>
      </c>
      <c r="H411" s="9" t="str">
        <f ca="1">IF($G411="","",INDEX(BASE_PRODUTOS!$B$2:$B$1006,$G411))</f>
        <v/>
      </c>
      <c r="I411" s="9" t="str">
        <f ca="1">IF($G411="","",INDEX(BASE_PRODUTOS!$L$2:$L$1006,$G411))</f>
        <v/>
      </c>
      <c r="J411" s="9" t="str">
        <f ca="1">IF($G411="","",INDEX(BASE_PRODUTOS!$A$2:$A$1006,$G411))</f>
        <v/>
      </c>
      <c r="K411" s="9" t="str">
        <f ca="1">IF($G411="","",INDEX(BASE_PRODUTOS!$C$2:$C$1006,$G411))</f>
        <v/>
      </c>
      <c r="L411" s="9" t="str">
        <f ca="1">IF($G411="","",INDEX(BASE_PRODUTOS!$E$2:$E$1006,$G411))</f>
        <v/>
      </c>
      <c r="M411" s="9" t="str">
        <f ca="1">IF($G411="","",INDEX(BASE_PRODUTOS!$F$2:$F$1006,$G411))</f>
        <v/>
      </c>
      <c r="N411" s="9" t="str">
        <f ca="1">IF($G411="","",INDEX(BASE_PRODUTOS!$G$2:$G$1006,$G411))</f>
        <v/>
      </c>
      <c r="O411" s="9" t="str">
        <f ca="1">IF($G411="","",INDEX(BASE_PRODUTOS!$H$2:$H$1006,$G411))</f>
        <v/>
      </c>
      <c r="P411" s="9" t="str">
        <f ca="1">IF($G411="","",INDEX(BASE_PRODUTOS!$I$2:$I$1006,$G411))</f>
        <v/>
      </c>
      <c r="Q411" s="9" t="str">
        <f ca="1">IF($G411="","",INDEX(BASE_PRODUTOS!$J$2:$J$1006,$G411))</f>
        <v/>
      </c>
      <c r="R411" s="9" t="str">
        <f ca="1">IF($G411="","",INDEX(BASE_PRODUTOS!$M$2:$M$1006,$G411))</f>
        <v/>
      </c>
      <c r="S411" s="9" t="str">
        <f ca="1">IF($G411="","",INDEX(BASE_PRODUTOS!$N$2:$N$1006,$G411))</f>
        <v/>
      </c>
      <c r="T411" s="9" t="str">
        <f ca="1">IF($G411="","",INDEX(BASE_PRODUTOS!$D$2:$D$1006,$G411))</f>
        <v/>
      </c>
    </row>
    <row r="412" spans="7:20" ht="18" customHeight="1" x14ac:dyDescent="0.35">
      <c r="G412" t="str">
        <f ca="1">IFERROR(_xludf.aggregate(15,6,(ROW(BASE_PRODUTOS!$L$2:$L$1006)-ROW(BASE_PRODUTOS!$L$2)+1)/(BASE_PRODUTOS!$L$2:$L$1006&gt;0),ROWS($G$10:G412)),"")</f>
        <v/>
      </c>
      <c r="H412" s="9" t="str">
        <f ca="1">IF($G412="","",INDEX(BASE_PRODUTOS!$B$2:$B$1006,$G412))</f>
        <v/>
      </c>
      <c r="I412" s="9" t="str">
        <f ca="1">IF($G412="","",INDEX(BASE_PRODUTOS!$L$2:$L$1006,$G412))</f>
        <v/>
      </c>
      <c r="J412" s="9" t="str">
        <f ca="1">IF($G412="","",INDEX(BASE_PRODUTOS!$A$2:$A$1006,$G412))</f>
        <v/>
      </c>
      <c r="K412" s="9" t="str">
        <f ca="1">IF($G412="","",INDEX(BASE_PRODUTOS!$C$2:$C$1006,$G412))</f>
        <v/>
      </c>
      <c r="L412" s="9" t="str">
        <f ca="1">IF($G412="","",INDEX(BASE_PRODUTOS!$E$2:$E$1006,$G412))</f>
        <v/>
      </c>
      <c r="M412" s="9" t="str">
        <f ca="1">IF($G412="","",INDEX(BASE_PRODUTOS!$F$2:$F$1006,$G412))</f>
        <v/>
      </c>
      <c r="N412" s="9" t="str">
        <f ca="1">IF($G412="","",INDEX(BASE_PRODUTOS!$G$2:$G$1006,$G412))</f>
        <v/>
      </c>
      <c r="O412" s="9" t="str">
        <f ca="1">IF($G412="","",INDEX(BASE_PRODUTOS!$H$2:$H$1006,$G412))</f>
        <v/>
      </c>
      <c r="P412" s="9" t="str">
        <f ca="1">IF($G412="","",INDEX(BASE_PRODUTOS!$I$2:$I$1006,$G412))</f>
        <v/>
      </c>
      <c r="Q412" s="9" t="str">
        <f ca="1">IF($G412="","",INDEX(BASE_PRODUTOS!$J$2:$J$1006,$G412))</f>
        <v/>
      </c>
      <c r="R412" s="9" t="str">
        <f ca="1">IF($G412="","",INDEX(BASE_PRODUTOS!$M$2:$M$1006,$G412))</f>
        <v/>
      </c>
      <c r="S412" s="9" t="str">
        <f ca="1">IF($G412="","",INDEX(BASE_PRODUTOS!$N$2:$N$1006,$G412))</f>
        <v/>
      </c>
      <c r="T412" s="9" t="str">
        <f ca="1">IF($G412="","",INDEX(BASE_PRODUTOS!$D$2:$D$1006,$G412))</f>
        <v/>
      </c>
    </row>
    <row r="413" spans="7:20" ht="18" customHeight="1" x14ac:dyDescent="0.35">
      <c r="G413" t="str">
        <f ca="1">IFERROR(_xludf.aggregate(15,6,(ROW(BASE_PRODUTOS!$L$2:$L$1006)-ROW(BASE_PRODUTOS!$L$2)+1)/(BASE_PRODUTOS!$L$2:$L$1006&gt;0),ROWS($G$10:G413)),"")</f>
        <v/>
      </c>
      <c r="H413" s="9" t="str">
        <f ca="1">IF($G413="","",INDEX(BASE_PRODUTOS!$B$2:$B$1006,$G413))</f>
        <v/>
      </c>
      <c r="I413" s="9" t="str">
        <f ca="1">IF($G413="","",INDEX(BASE_PRODUTOS!$L$2:$L$1006,$G413))</f>
        <v/>
      </c>
      <c r="J413" s="9" t="str">
        <f ca="1">IF($G413="","",INDEX(BASE_PRODUTOS!$A$2:$A$1006,$G413))</f>
        <v/>
      </c>
      <c r="K413" s="9" t="str">
        <f ca="1">IF($G413="","",INDEX(BASE_PRODUTOS!$C$2:$C$1006,$G413))</f>
        <v/>
      </c>
      <c r="L413" s="9" t="str">
        <f ca="1">IF($G413="","",INDEX(BASE_PRODUTOS!$E$2:$E$1006,$G413))</f>
        <v/>
      </c>
      <c r="M413" s="9" t="str">
        <f ca="1">IF($G413="","",INDEX(BASE_PRODUTOS!$F$2:$F$1006,$G413))</f>
        <v/>
      </c>
      <c r="N413" s="9" t="str">
        <f ca="1">IF($G413="","",INDEX(BASE_PRODUTOS!$G$2:$G$1006,$G413))</f>
        <v/>
      </c>
      <c r="O413" s="9" t="str">
        <f ca="1">IF($G413="","",INDEX(BASE_PRODUTOS!$H$2:$H$1006,$G413))</f>
        <v/>
      </c>
      <c r="P413" s="9" t="str">
        <f ca="1">IF($G413="","",INDEX(BASE_PRODUTOS!$I$2:$I$1006,$G413))</f>
        <v/>
      </c>
      <c r="Q413" s="9" t="str">
        <f ca="1">IF($G413="","",INDEX(BASE_PRODUTOS!$J$2:$J$1006,$G413))</f>
        <v/>
      </c>
      <c r="R413" s="9" t="str">
        <f ca="1">IF($G413="","",INDEX(BASE_PRODUTOS!$M$2:$M$1006,$G413))</f>
        <v/>
      </c>
      <c r="S413" s="9" t="str">
        <f ca="1">IF($G413="","",INDEX(BASE_PRODUTOS!$N$2:$N$1006,$G413))</f>
        <v/>
      </c>
      <c r="T413" s="9" t="str">
        <f ca="1">IF($G413="","",INDEX(BASE_PRODUTOS!$D$2:$D$1006,$G413))</f>
        <v/>
      </c>
    </row>
    <row r="414" spans="7:20" ht="18" customHeight="1" x14ac:dyDescent="0.35">
      <c r="G414" t="str">
        <f ca="1">IFERROR(_xludf.aggregate(15,6,(ROW(BASE_PRODUTOS!$L$2:$L$1006)-ROW(BASE_PRODUTOS!$L$2)+1)/(BASE_PRODUTOS!$L$2:$L$1006&gt;0),ROWS($G$10:G414)),"")</f>
        <v/>
      </c>
      <c r="H414" s="9" t="str">
        <f ca="1">IF($G414="","",INDEX(BASE_PRODUTOS!$B$2:$B$1006,$G414))</f>
        <v/>
      </c>
      <c r="I414" s="9" t="str">
        <f ca="1">IF($G414="","",INDEX(BASE_PRODUTOS!$L$2:$L$1006,$G414))</f>
        <v/>
      </c>
      <c r="J414" s="9" t="str">
        <f ca="1">IF($G414="","",INDEX(BASE_PRODUTOS!$A$2:$A$1006,$G414))</f>
        <v/>
      </c>
      <c r="K414" s="9" t="str">
        <f ca="1">IF($G414="","",INDEX(BASE_PRODUTOS!$C$2:$C$1006,$G414))</f>
        <v/>
      </c>
      <c r="L414" s="9" t="str">
        <f ca="1">IF($G414="","",INDEX(BASE_PRODUTOS!$E$2:$E$1006,$G414))</f>
        <v/>
      </c>
      <c r="M414" s="9" t="str">
        <f ca="1">IF($G414="","",INDEX(BASE_PRODUTOS!$F$2:$F$1006,$G414))</f>
        <v/>
      </c>
      <c r="N414" s="9" t="str">
        <f ca="1">IF($G414="","",INDEX(BASE_PRODUTOS!$G$2:$G$1006,$G414))</f>
        <v/>
      </c>
      <c r="O414" s="9" t="str">
        <f ca="1">IF($G414="","",INDEX(BASE_PRODUTOS!$H$2:$H$1006,$G414))</f>
        <v/>
      </c>
      <c r="P414" s="9" t="str">
        <f ca="1">IF($G414="","",INDEX(BASE_PRODUTOS!$I$2:$I$1006,$G414))</f>
        <v/>
      </c>
      <c r="Q414" s="9" t="str">
        <f ca="1">IF($G414="","",INDEX(BASE_PRODUTOS!$J$2:$J$1006,$G414))</f>
        <v/>
      </c>
      <c r="R414" s="9" t="str">
        <f ca="1">IF($G414="","",INDEX(BASE_PRODUTOS!$M$2:$M$1006,$G414))</f>
        <v/>
      </c>
      <c r="S414" s="9" t="str">
        <f ca="1">IF($G414="","",INDEX(BASE_PRODUTOS!$N$2:$N$1006,$G414))</f>
        <v/>
      </c>
      <c r="T414" s="9" t="str">
        <f ca="1">IF($G414="","",INDEX(BASE_PRODUTOS!$D$2:$D$1006,$G414))</f>
        <v/>
      </c>
    </row>
    <row r="415" spans="7:20" ht="18" customHeight="1" x14ac:dyDescent="0.35">
      <c r="G415" t="str">
        <f ca="1">IFERROR(_xludf.aggregate(15,6,(ROW(BASE_PRODUTOS!$L$2:$L$1006)-ROW(BASE_PRODUTOS!$L$2)+1)/(BASE_PRODUTOS!$L$2:$L$1006&gt;0),ROWS($G$10:G415)),"")</f>
        <v/>
      </c>
      <c r="H415" s="9" t="str">
        <f ca="1">IF($G415="","",INDEX(BASE_PRODUTOS!$B$2:$B$1006,$G415))</f>
        <v/>
      </c>
      <c r="I415" s="9" t="str">
        <f ca="1">IF($G415="","",INDEX(BASE_PRODUTOS!$L$2:$L$1006,$G415))</f>
        <v/>
      </c>
      <c r="J415" s="9" t="str">
        <f ca="1">IF($G415="","",INDEX(BASE_PRODUTOS!$A$2:$A$1006,$G415))</f>
        <v/>
      </c>
      <c r="K415" s="9" t="str">
        <f ca="1">IF($G415="","",INDEX(BASE_PRODUTOS!$C$2:$C$1006,$G415))</f>
        <v/>
      </c>
      <c r="L415" s="9" t="str">
        <f ca="1">IF($G415="","",INDEX(BASE_PRODUTOS!$E$2:$E$1006,$G415))</f>
        <v/>
      </c>
      <c r="M415" s="9" t="str">
        <f ca="1">IF($G415="","",INDEX(BASE_PRODUTOS!$F$2:$F$1006,$G415))</f>
        <v/>
      </c>
      <c r="N415" s="9" t="str">
        <f ca="1">IF($G415="","",INDEX(BASE_PRODUTOS!$G$2:$G$1006,$G415))</f>
        <v/>
      </c>
      <c r="O415" s="9" t="str">
        <f ca="1">IF($G415="","",INDEX(BASE_PRODUTOS!$H$2:$H$1006,$G415))</f>
        <v/>
      </c>
      <c r="P415" s="9" t="str">
        <f ca="1">IF($G415="","",INDEX(BASE_PRODUTOS!$I$2:$I$1006,$G415))</f>
        <v/>
      </c>
      <c r="Q415" s="9" t="str">
        <f ca="1">IF($G415="","",INDEX(BASE_PRODUTOS!$J$2:$J$1006,$G415))</f>
        <v/>
      </c>
      <c r="R415" s="9" t="str">
        <f ca="1">IF($G415="","",INDEX(BASE_PRODUTOS!$M$2:$M$1006,$G415))</f>
        <v/>
      </c>
      <c r="S415" s="9" t="str">
        <f ca="1">IF($G415="","",INDEX(BASE_PRODUTOS!$N$2:$N$1006,$G415))</f>
        <v/>
      </c>
      <c r="T415" s="9" t="str">
        <f ca="1">IF($G415="","",INDEX(BASE_PRODUTOS!$D$2:$D$1006,$G415))</f>
        <v/>
      </c>
    </row>
    <row r="416" spans="7:20" ht="18" customHeight="1" x14ac:dyDescent="0.35">
      <c r="G416" t="str">
        <f ca="1">IFERROR(_xludf.aggregate(15,6,(ROW(BASE_PRODUTOS!$L$2:$L$1006)-ROW(BASE_PRODUTOS!$L$2)+1)/(BASE_PRODUTOS!$L$2:$L$1006&gt;0),ROWS($G$10:G416)),"")</f>
        <v/>
      </c>
      <c r="H416" s="9" t="str">
        <f ca="1">IF($G416="","",INDEX(BASE_PRODUTOS!$B$2:$B$1006,$G416))</f>
        <v/>
      </c>
      <c r="I416" s="9" t="str">
        <f ca="1">IF($G416="","",INDEX(BASE_PRODUTOS!$L$2:$L$1006,$G416))</f>
        <v/>
      </c>
      <c r="J416" s="9" t="str">
        <f ca="1">IF($G416="","",INDEX(BASE_PRODUTOS!$A$2:$A$1006,$G416))</f>
        <v/>
      </c>
      <c r="K416" s="9" t="str">
        <f ca="1">IF($G416="","",INDEX(BASE_PRODUTOS!$C$2:$C$1006,$G416))</f>
        <v/>
      </c>
      <c r="L416" s="9" t="str">
        <f ca="1">IF($G416="","",INDEX(BASE_PRODUTOS!$E$2:$E$1006,$G416))</f>
        <v/>
      </c>
      <c r="M416" s="9" t="str">
        <f ca="1">IF($G416="","",INDEX(BASE_PRODUTOS!$F$2:$F$1006,$G416))</f>
        <v/>
      </c>
      <c r="N416" s="9" t="str">
        <f ca="1">IF($G416="","",INDEX(BASE_PRODUTOS!$G$2:$G$1006,$G416))</f>
        <v/>
      </c>
      <c r="O416" s="9" t="str">
        <f ca="1">IF($G416="","",INDEX(BASE_PRODUTOS!$H$2:$H$1006,$G416))</f>
        <v/>
      </c>
      <c r="P416" s="9" t="str">
        <f ca="1">IF($G416="","",INDEX(BASE_PRODUTOS!$I$2:$I$1006,$G416))</f>
        <v/>
      </c>
      <c r="Q416" s="9" t="str">
        <f ca="1">IF($G416="","",INDEX(BASE_PRODUTOS!$J$2:$J$1006,$G416))</f>
        <v/>
      </c>
      <c r="R416" s="9" t="str">
        <f ca="1">IF($G416="","",INDEX(BASE_PRODUTOS!$M$2:$M$1006,$G416))</f>
        <v/>
      </c>
      <c r="S416" s="9" t="str">
        <f ca="1">IF($G416="","",INDEX(BASE_PRODUTOS!$N$2:$N$1006,$G416))</f>
        <v/>
      </c>
      <c r="T416" s="9" t="str">
        <f ca="1">IF($G416="","",INDEX(BASE_PRODUTOS!$D$2:$D$1006,$G416))</f>
        <v/>
      </c>
    </row>
    <row r="417" spans="7:20" ht="18" customHeight="1" x14ac:dyDescent="0.35">
      <c r="G417" t="str">
        <f ca="1">IFERROR(_xludf.aggregate(15,6,(ROW(BASE_PRODUTOS!$L$2:$L$1006)-ROW(BASE_PRODUTOS!$L$2)+1)/(BASE_PRODUTOS!$L$2:$L$1006&gt;0),ROWS($G$10:G417)),"")</f>
        <v/>
      </c>
      <c r="H417" s="9" t="str">
        <f ca="1">IF($G417="","",INDEX(BASE_PRODUTOS!$B$2:$B$1006,$G417))</f>
        <v/>
      </c>
      <c r="I417" s="9" t="str">
        <f ca="1">IF($G417="","",INDEX(BASE_PRODUTOS!$L$2:$L$1006,$G417))</f>
        <v/>
      </c>
      <c r="J417" s="9" t="str">
        <f ca="1">IF($G417="","",INDEX(BASE_PRODUTOS!$A$2:$A$1006,$G417))</f>
        <v/>
      </c>
      <c r="K417" s="9" t="str">
        <f ca="1">IF($G417="","",INDEX(BASE_PRODUTOS!$C$2:$C$1006,$G417))</f>
        <v/>
      </c>
      <c r="L417" s="9" t="str">
        <f ca="1">IF($G417="","",INDEX(BASE_PRODUTOS!$E$2:$E$1006,$G417))</f>
        <v/>
      </c>
      <c r="M417" s="9" t="str">
        <f ca="1">IF($G417="","",INDEX(BASE_PRODUTOS!$F$2:$F$1006,$G417))</f>
        <v/>
      </c>
      <c r="N417" s="9" t="str">
        <f ca="1">IF($G417="","",INDEX(BASE_PRODUTOS!$G$2:$G$1006,$G417))</f>
        <v/>
      </c>
      <c r="O417" s="9" t="str">
        <f ca="1">IF($G417="","",INDEX(BASE_PRODUTOS!$H$2:$H$1006,$G417))</f>
        <v/>
      </c>
      <c r="P417" s="9" t="str">
        <f ca="1">IF($G417="","",INDEX(BASE_PRODUTOS!$I$2:$I$1006,$G417))</f>
        <v/>
      </c>
      <c r="Q417" s="9" t="str">
        <f ca="1">IF($G417="","",INDEX(BASE_PRODUTOS!$J$2:$J$1006,$G417))</f>
        <v/>
      </c>
      <c r="R417" s="9" t="str">
        <f ca="1">IF($G417="","",INDEX(BASE_PRODUTOS!$M$2:$M$1006,$G417))</f>
        <v/>
      </c>
      <c r="S417" s="9" t="str">
        <f ca="1">IF($G417="","",INDEX(BASE_PRODUTOS!$N$2:$N$1006,$G417))</f>
        <v/>
      </c>
      <c r="T417" s="9" t="str">
        <f ca="1">IF($G417="","",INDEX(BASE_PRODUTOS!$D$2:$D$1006,$G417))</f>
        <v/>
      </c>
    </row>
    <row r="418" spans="7:20" ht="18" customHeight="1" x14ac:dyDescent="0.35">
      <c r="G418" t="str">
        <f ca="1">IFERROR(_xludf.aggregate(15,6,(ROW(BASE_PRODUTOS!$L$2:$L$1006)-ROW(BASE_PRODUTOS!$L$2)+1)/(BASE_PRODUTOS!$L$2:$L$1006&gt;0),ROWS($G$10:G418)),"")</f>
        <v/>
      </c>
      <c r="H418" s="9" t="str">
        <f ca="1">IF($G418="","",INDEX(BASE_PRODUTOS!$B$2:$B$1006,$G418))</f>
        <v/>
      </c>
      <c r="I418" s="9" t="str">
        <f ca="1">IF($G418="","",INDEX(BASE_PRODUTOS!$L$2:$L$1006,$G418))</f>
        <v/>
      </c>
      <c r="J418" s="9" t="str">
        <f ca="1">IF($G418="","",INDEX(BASE_PRODUTOS!$A$2:$A$1006,$G418))</f>
        <v/>
      </c>
      <c r="K418" s="9" t="str">
        <f ca="1">IF($G418="","",INDEX(BASE_PRODUTOS!$C$2:$C$1006,$G418))</f>
        <v/>
      </c>
      <c r="L418" s="9" t="str">
        <f ca="1">IF($G418="","",INDEX(BASE_PRODUTOS!$E$2:$E$1006,$G418))</f>
        <v/>
      </c>
      <c r="M418" s="9" t="str">
        <f ca="1">IF($G418="","",INDEX(BASE_PRODUTOS!$F$2:$F$1006,$G418))</f>
        <v/>
      </c>
      <c r="N418" s="9" t="str">
        <f ca="1">IF($G418="","",INDEX(BASE_PRODUTOS!$G$2:$G$1006,$G418))</f>
        <v/>
      </c>
      <c r="O418" s="9" t="str">
        <f ca="1">IF($G418="","",INDEX(BASE_PRODUTOS!$H$2:$H$1006,$G418))</f>
        <v/>
      </c>
      <c r="P418" s="9" t="str">
        <f ca="1">IF($G418="","",INDEX(BASE_PRODUTOS!$I$2:$I$1006,$G418))</f>
        <v/>
      </c>
      <c r="Q418" s="9" t="str">
        <f ca="1">IF($G418="","",INDEX(BASE_PRODUTOS!$J$2:$J$1006,$G418))</f>
        <v/>
      </c>
      <c r="R418" s="9" t="str">
        <f ca="1">IF($G418="","",INDEX(BASE_PRODUTOS!$M$2:$M$1006,$G418))</f>
        <v/>
      </c>
      <c r="S418" s="9" t="str">
        <f ca="1">IF($G418="","",INDEX(BASE_PRODUTOS!$N$2:$N$1006,$G418))</f>
        <v/>
      </c>
      <c r="T418" s="9" t="str">
        <f ca="1">IF($G418="","",INDEX(BASE_PRODUTOS!$D$2:$D$1006,$G418))</f>
        <v/>
      </c>
    </row>
    <row r="419" spans="7:20" ht="18" customHeight="1" x14ac:dyDescent="0.35">
      <c r="G419" t="str">
        <f ca="1">IFERROR(_xludf.aggregate(15,6,(ROW(BASE_PRODUTOS!$L$2:$L$1006)-ROW(BASE_PRODUTOS!$L$2)+1)/(BASE_PRODUTOS!$L$2:$L$1006&gt;0),ROWS($G$10:G419)),"")</f>
        <v/>
      </c>
      <c r="H419" s="9" t="str">
        <f ca="1">IF($G419="","",INDEX(BASE_PRODUTOS!$B$2:$B$1006,$G419))</f>
        <v/>
      </c>
      <c r="I419" s="9" t="str">
        <f ca="1">IF($G419="","",INDEX(BASE_PRODUTOS!$L$2:$L$1006,$G419))</f>
        <v/>
      </c>
      <c r="J419" s="9" t="str">
        <f ca="1">IF($G419="","",INDEX(BASE_PRODUTOS!$A$2:$A$1006,$G419))</f>
        <v/>
      </c>
      <c r="K419" s="9" t="str">
        <f ca="1">IF($G419="","",INDEX(BASE_PRODUTOS!$C$2:$C$1006,$G419))</f>
        <v/>
      </c>
      <c r="L419" s="9" t="str">
        <f ca="1">IF($G419="","",INDEX(BASE_PRODUTOS!$E$2:$E$1006,$G419))</f>
        <v/>
      </c>
      <c r="M419" s="9" t="str">
        <f ca="1">IF($G419="","",INDEX(BASE_PRODUTOS!$F$2:$F$1006,$G419))</f>
        <v/>
      </c>
      <c r="N419" s="9" t="str">
        <f ca="1">IF($G419="","",INDEX(BASE_PRODUTOS!$G$2:$G$1006,$G419))</f>
        <v/>
      </c>
      <c r="O419" s="9" t="str">
        <f ca="1">IF($G419="","",INDEX(BASE_PRODUTOS!$H$2:$H$1006,$G419))</f>
        <v/>
      </c>
      <c r="P419" s="9" t="str">
        <f ca="1">IF($G419="","",INDEX(BASE_PRODUTOS!$I$2:$I$1006,$G419))</f>
        <v/>
      </c>
      <c r="Q419" s="9" t="str">
        <f ca="1">IF($G419="","",INDEX(BASE_PRODUTOS!$J$2:$J$1006,$G419))</f>
        <v/>
      </c>
      <c r="R419" s="9" t="str">
        <f ca="1">IF($G419="","",INDEX(BASE_PRODUTOS!$M$2:$M$1006,$G419))</f>
        <v/>
      </c>
      <c r="S419" s="9" t="str">
        <f ca="1">IF($G419="","",INDEX(BASE_PRODUTOS!$N$2:$N$1006,$G419))</f>
        <v/>
      </c>
      <c r="T419" s="9" t="str">
        <f ca="1">IF($G419="","",INDEX(BASE_PRODUTOS!$D$2:$D$1006,$G419))</f>
        <v/>
      </c>
    </row>
    <row r="420" spans="7:20" ht="18" customHeight="1" x14ac:dyDescent="0.35">
      <c r="G420" t="str">
        <f ca="1">IFERROR(_xludf.aggregate(15,6,(ROW(BASE_PRODUTOS!$L$2:$L$1006)-ROW(BASE_PRODUTOS!$L$2)+1)/(BASE_PRODUTOS!$L$2:$L$1006&gt;0),ROWS($G$10:G420)),"")</f>
        <v/>
      </c>
      <c r="H420" s="9" t="str">
        <f ca="1">IF($G420="","",INDEX(BASE_PRODUTOS!$B$2:$B$1006,$G420))</f>
        <v/>
      </c>
      <c r="I420" s="9" t="str">
        <f ca="1">IF($G420="","",INDEX(BASE_PRODUTOS!$L$2:$L$1006,$G420))</f>
        <v/>
      </c>
      <c r="J420" s="9" t="str">
        <f ca="1">IF($G420="","",INDEX(BASE_PRODUTOS!$A$2:$A$1006,$G420))</f>
        <v/>
      </c>
      <c r="K420" s="9" t="str">
        <f ca="1">IF($G420="","",INDEX(BASE_PRODUTOS!$C$2:$C$1006,$G420))</f>
        <v/>
      </c>
      <c r="L420" s="9" t="str">
        <f ca="1">IF($G420="","",INDEX(BASE_PRODUTOS!$E$2:$E$1006,$G420))</f>
        <v/>
      </c>
      <c r="M420" s="9" t="str">
        <f ca="1">IF($G420="","",INDEX(BASE_PRODUTOS!$F$2:$F$1006,$G420))</f>
        <v/>
      </c>
      <c r="N420" s="9" t="str">
        <f ca="1">IF($G420="","",INDEX(BASE_PRODUTOS!$G$2:$G$1006,$G420))</f>
        <v/>
      </c>
      <c r="O420" s="9" t="str">
        <f ca="1">IF($G420="","",INDEX(BASE_PRODUTOS!$H$2:$H$1006,$G420))</f>
        <v/>
      </c>
      <c r="P420" s="9" t="str">
        <f ca="1">IF($G420="","",INDEX(BASE_PRODUTOS!$I$2:$I$1006,$G420))</f>
        <v/>
      </c>
      <c r="Q420" s="9" t="str">
        <f ca="1">IF($G420="","",INDEX(BASE_PRODUTOS!$J$2:$J$1006,$G420))</f>
        <v/>
      </c>
      <c r="R420" s="9" t="str">
        <f ca="1">IF($G420="","",INDEX(BASE_PRODUTOS!$M$2:$M$1006,$G420))</f>
        <v/>
      </c>
      <c r="S420" s="9" t="str">
        <f ca="1">IF($G420="","",INDEX(BASE_PRODUTOS!$N$2:$N$1006,$G420))</f>
        <v/>
      </c>
      <c r="T420" s="9" t="str">
        <f ca="1">IF($G420="","",INDEX(BASE_PRODUTOS!$D$2:$D$1006,$G420))</f>
        <v/>
      </c>
    </row>
    <row r="421" spans="7:20" ht="18" customHeight="1" x14ac:dyDescent="0.35">
      <c r="G421" t="str">
        <f ca="1">IFERROR(_xludf.aggregate(15,6,(ROW(BASE_PRODUTOS!$L$2:$L$1006)-ROW(BASE_PRODUTOS!$L$2)+1)/(BASE_PRODUTOS!$L$2:$L$1006&gt;0),ROWS($G$10:G421)),"")</f>
        <v/>
      </c>
      <c r="H421" s="9" t="str">
        <f ca="1">IF($G421="","",INDEX(BASE_PRODUTOS!$B$2:$B$1006,$G421))</f>
        <v/>
      </c>
      <c r="I421" s="9" t="str">
        <f ca="1">IF($G421="","",INDEX(BASE_PRODUTOS!$L$2:$L$1006,$G421))</f>
        <v/>
      </c>
      <c r="J421" s="9" t="str">
        <f ca="1">IF($G421="","",INDEX(BASE_PRODUTOS!$A$2:$A$1006,$G421))</f>
        <v/>
      </c>
      <c r="K421" s="9" t="str">
        <f ca="1">IF($G421="","",INDEX(BASE_PRODUTOS!$C$2:$C$1006,$G421))</f>
        <v/>
      </c>
      <c r="L421" s="9" t="str">
        <f ca="1">IF($G421="","",INDEX(BASE_PRODUTOS!$E$2:$E$1006,$G421))</f>
        <v/>
      </c>
      <c r="M421" s="9" t="str">
        <f ca="1">IF($G421="","",INDEX(BASE_PRODUTOS!$F$2:$F$1006,$G421))</f>
        <v/>
      </c>
      <c r="N421" s="9" t="str">
        <f ca="1">IF($G421="","",INDEX(BASE_PRODUTOS!$G$2:$G$1006,$G421))</f>
        <v/>
      </c>
      <c r="O421" s="9" t="str">
        <f ca="1">IF($G421="","",INDEX(BASE_PRODUTOS!$H$2:$H$1006,$G421))</f>
        <v/>
      </c>
      <c r="P421" s="9" t="str">
        <f ca="1">IF($G421="","",INDEX(BASE_PRODUTOS!$I$2:$I$1006,$G421))</f>
        <v/>
      </c>
      <c r="Q421" s="9" t="str">
        <f ca="1">IF($G421="","",INDEX(BASE_PRODUTOS!$J$2:$J$1006,$G421))</f>
        <v/>
      </c>
      <c r="R421" s="9" t="str">
        <f ca="1">IF($G421="","",INDEX(BASE_PRODUTOS!$M$2:$M$1006,$G421))</f>
        <v/>
      </c>
      <c r="S421" s="9" t="str">
        <f ca="1">IF($G421="","",INDEX(BASE_PRODUTOS!$N$2:$N$1006,$G421))</f>
        <v/>
      </c>
      <c r="T421" s="9" t="str">
        <f ca="1">IF($G421="","",INDEX(BASE_PRODUTOS!$D$2:$D$1006,$G421))</f>
        <v/>
      </c>
    </row>
    <row r="422" spans="7:20" ht="18" customHeight="1" x14ac:dyDescent="0.35">
      <c r="G422" t="str">
        <f ca="1">IFERROR(_xludf.aggregate(15,6,(ROW(BASE_PRODUTOS!$L$2:$L$1006)-ROW(BASE_PRODUTOS!$L$2)+1)/(BASE_PRODUTOS!$L$2:$L$1006&gt;0),ROWS($G$10:G422)),"")</f>
        <v/>
      </c>
      <c r="H422" s="9" t="str">
        <f ca="1">IF($G422="","",INDEX(BASE_PRODUTOS!$B$2:$B$1006,$G422))</f>
        <v/>
      </c>
      <c r="I422" s="9" t="str">
        <f ca="1">IF($G422="","",INDEX(BASE_PRODUTOS!$L$2:$L$1006,$G422))</f>
        <v/>
      </c>
      <c r="J422" s="9" t="str">
        <f ca="1">IF($G422="","",INDEX(BASE_PRODUTOS!$A$2:$A$1006,$G422))</f>
        <v/>
      </c>
      <c r="K422" s="9" t="str">
        <f ca="1">IF($G422="","",INDEX(BASE_PRODUTOS!$C$2:$C$1006,$G422))</f>
        <v/>
      </c>
      <c r="L422" s="9" t="str">
        <f ca="1">IF($G422="","",INDEX(BASE_PRODUTOS!$E$2:$E$1006,$G422))</f>
        <v/>
      </c>
      <c r="M422" s="9" t="str">
        <f ca="1">IF($G422="","",INDEX(BASE_PRODUTOS!$F$2:$F$1006,$G422))</f>
        <v/>
      </c>
      <c r="N422" s="9" t="str">
        <f ca="1">IF($G422="","",INDEX(BASE_PRODUTOS!$G$2:$G$1006,$G422))</f>
        <v/>
      </c>
      <c r="O422" s="9" t="str">
        <f ca="1">IF($G422="","",INDEX(BASE_PRODUTOS!$H$2:$H$1006,$G422))</f>
        <v/>
      </c>
      <c r="P422" s="9" t="str">
        <f ca="1">IF($G422="","",INDEX(BASE_PRODUTOS!$I$2:$I$1006,$G422))</f>
        <v/>
      </c>
      <c r="Q422" s="9" t="str">
        <f ca="1">IF($G422="","",INDEX(BASE_PRODUTOS!$J$2:$J$1006,$G422))</f>
        <v/>
      </c>
      <c r="R422" s="9" t="str">
        <f ca="1">IF($G422="","",INDEX(BASE_PRODUTOS!$M$2:$M$1006,$G422))</f>
        <v/>
      </c>
      <c r="S422" s="9" t="str">
        <f ca="1">IF($G422="","",INDEX(BASE_PRODUTOS!$N$2:$N$1006,$G422))</f>
        <v/>
      </c>
      <c r="T422" s="9" t="str">
        <f ca="1">IF($G422="","",INDEX(BASE_PRODUTOS!$D$2:$D$1006,$G422))</f>
        <v/>
      </c>
    </row>
    <row r="423" spans="7:20" ht="18" customHeight="1" x14ac:dyDescent="0.35">
      <c r="G423" t="str">
        <f ca="1">IFERROR(_xludf.aggregate(15,6,(ROW(BASE_PRODUTOS!$L$2:$L$1006)-ROW(BASE_PRODUTOS!$L$2)+1)/(BASE_PRODUTOS!$L$2:$L$1006&gt;0),ROWS($G$10:G423)),"")</f>
        <v/>
      </c>
      <c r="H423" s="9" t="str">
        <f ca="1">IF($G423="","",INDEX(BASE_PRODUTOS!$B$2:$B$1006,$G423))</f>
        <v/>
      </c>
      <c r="I423" s="9" t="str">
        <f ca="1">IF($G423="","",INDEX(BASE_PRODUTOS!$L$2:$L$1006,$G423))</f>
        <v/>
      </c>
      <c r="J423" s="9" t="str">
        <f ca="1">IF($G423="","",INDEX(BASE_PRODUTOS!$A$2:$A$1006,$G423))</f>
        <v/>
      </c>
      <c r="K423" s="9" t="str">
        <f ca="1">IF($G423="","",INDEX(BASE_PRODUTOS!$C$2:$C$1006,$G423))</f>
        <v/>
      </c>
      <c r="L423" s="9" t="str">
        <f ca="1">IF($G423="","",INDEX(BASE_PRODUTOS!$E$2:$E$1006,$G423))</f>
        <v/>
      </c>
      <c r="M423" s="9" t="str">
        <f ca="1">IF($G423="","",INDEX(BASE_PRODUTOS!$F$2:$F$1006,$G423))</f>
        <v/>
      </c>
      <c r="N423" s="9" t="str">
        <f ca="1">IF($G423="","",INDEX(BASE_PRODUTOS!$G$2:$G$1006,$G423))</f>
        <v/>
      </c>
      <c r="O423" s="9" t="str">
        <f ca="1">IF($G423="","",INDEX(BASE_PRODUTOS!$H$2:$H$1006,$G423))</f>
        <v/>
      </c>
      <c r="P423" s="9" t="str">
        <f ca="1">IF($G423="","",INDEX(BASE_PRODUTOS!$I$2:$I$1006,$G423))</f>
        <v/>
      </c>
      <c r="Q423" s="9" t="str">
        <f ca="1">IF($G423="","",INDEX(BASE_PRODUTOS!$J$2:$J$1006,$G423))</f>
        <v/>
      </c>
      <c r="R423" s="9" t="str">
        <f ca="1">IF($G423="","",INDEX(BASE_PRODUTOS!$M$2:$M$1006,$G423))</f>
        <v/>
      </c>
      <c r="S423" s="9" t="str">
        <f ca="1">IF($G423="","",INDEX(BASE_PRODUTOS!$N$2:$N$1006,$G423))</f>
        <v/>
      </c>
      <c r="T423" s="9" t="str">
        <f ca="1">IF($G423="","",INDEX(BASE_PRODUTOS!$D$2:$D$1006,$G423))</f>
        <v/>
      </c>
    </row>
    <row r="424" spans="7:20" ht="18" customHeight="1" x14ac:dyDescent="0.35">
      <c r="G424" t="str">
        <f ca="1">IFERROR(_xludf.aggregate(15,6,(ROW(BASE_PRODUTOS!$L$2:$L$1006)-ROW(BASE_PRODUTOS!$L$2)+1)/(BASE_PRODUTOS!$L$2:$L$1006&gt;0),ROWS($G$10:G424)),"")</f>
        <v/>
      </c>
      <c r="H424" s="9" t="str">
        <f ca="1">IF($G424="","",INDEX(BASE_PRODUTOS!$B$2:$B$1006,$G424))</f>
        <v/>
      </c>
      <c r="I424" s="9" t="str">
        <f ca="1">IF($G424="","",INDEX(BASE_PRODUTOS!$L$2:$L$1006,$G424))</f>
        <v/>
      </c>
      <c r="J424" s="9" t="str">
        <f ca="1">IF($G424="","",INDEX(BASE_PRODUTOS!$A$2:$A$1006,$G424))</f>
        <v/>
      </c>
      <c r="K424" s="9" t="str">
        <f ca="1">IF($G424="","",INDEX(BASE_PRODUTOS!$C$2:$C$1006,$G424))</f>
        <v/>
      </c>
      <c r="L424" s="9" t="str">
        <f ca="1">IF($G424="","",INDEX(BASE_PRODUTOS!$E$2:$E$1006,$G424))</f>
        <v/>
      </c>
      <c r="M424" s="9" t="str">
        <f ca="1">IF($G424="","",INDEX(BASE_PRODUTOS!$F$2:$F$1006,$G424))</f>
        <v/>
      </c>
      <c r="N424" s="9" t="str">
        <f ca="1">IF($G424="","",INDEX(BASE_PRODUTOS!$G$2:$G$1006,$G424))</f>
        <v/>
      </c>
      <c r="O424" s="9" t="str">
        <f ca="1">IF($G424="","",INDEX(BASE_PRODUTOS!$H$2:$H$1006,$G424))</f>
        <v/>
      </c>
      <c r="P424" s="9" t="str">
        <f ca="1">IF($G424="","",INDEX(BASE_PRODUTOS!$I$2:$I$1006,$G424))</f>
        <v/>
      </c>
      <c r="Q424" s="9" t="str">
        <f ca="1">IF($G424="","",INDEX(BASE_PRODUTOS!$J$2:$J$1006,$G424))</f>
        <v/>
      </c>
      <c r="R424" s="9" t="str">
        <f ca="1">IF($G424="","",INDEX(BASE_PRODUTOS!$M$2:$M$1006,$G424))</f>
        <v/>
      </c>
      <c r="S424" s="9" t="str">
        <f ca="1">IF($G424="","",INDEX(BASE_PRODUTOS!$N$2:$N$1006,$G424))</f>
        <v/>
      </c>
      <c r="T424" s="9" t="str">
        <f ca="1">IF($G424="","",INDEX(BASE_PRODUTOS!$D$2:$D$1006,$G424))</f>
        <v/>
      </c>
    </row>
    <row r="425" spans="7:20" ht="18" customHeight="1" x14ac:dyDescent="0.35">
      <c r="G425" t="str">
        <f ca="1">IFERROR(_xludf.aggregate(15,6,(ROW(BASE_PRODUTOS!$L$2:$L$1006)-ROW(BASE_PRODUTOS!$L$2)+1)/(BASE_PRODUTOS!$L$2:$L$1006&gt;0),ROWS($G$10:G425)),"")</f>
        <v/>
      </c>
      <c r="H425" s="9" t="str">
        <f ca="1">IF($G425="","",INDEX(BASE_PRODUTOS!$B$2:$B$1006,$G425))</f>
        <v/>
      </c>
      <c r="I425" s="9" t="str">
        <f ca="1">IF($G425="","",INDEX(BASE_PRODUTOS!$L$2:$L$1006,$G425))</f>
        <v/>
      </c>
      <c r="J425" s="9" t="str">
        <f ca="1">IF($G425="","",INDEX(BASE_PRODUTOS!$A$2:$A$1006,$G425))</f>
        <v/>
      </c>
      <c r="K425" s="9" t="str">
        <f ca="1">IF($G425="","",INDEX(BASE_PRODUTOS!$C$2:$C$1006,$G425))</f>
        <v/>
      </c>
      <c r="L425" s="9" t="str">
        <f ca="1">IF($G425="","",INDEX(BASE_PRODUTOS!$E$2:$E$1006,$G425))</f>
        <v/>
      </c>
      <c r="M425" s="9" t="str">
        <f ca="1">IF($G425="","",INDEX(BASE_PRODUTOS!$F$2:$F$1006,$G425))</f>
        <v/>
      </c>
      <c r="N425" s="9" t="str">
        <f ca="1">IF($G425="","",INDEX(BASE_PRODUTOS!$G$2:$G$1006,$G425))</f>
        <v/>
      </c>
      <c r="O425" s="9" t="str">
        <f ca="1">IF($G425="","",INDEX(BASE_PRODUTOS!$H$2:$H$1006,$G425))</f>
        <v/>
      </c>
      <c r="P425" s="9" t="str">
        <f ca="1">IF($G425="","",INDEX(BASE_PRODUTOS!$I$2:$I$1006,$G425))</f>
        <v/>
      </c>
      <c r="Q425" s="9" t="str">
        <f ca="1">IF($G425="","",INDEX(BASE_PRODUTOS!$J$2:$J$1006,$G425))</f>
        <v/>
      </c>
      <c r="R425" s="9" t="str">
        <f ca="1">IF($G425="","",INDEX(BASE_PRODUTOS!$M$2:$M$1006,$G425))</f>
        <v/>
      </c>
      <c r="S425" s="9" t="str">
        <f ca="1">IF($G425="","",INDEX(BASE_PRODUTOS!$N$2:$N$1006,$G425))</f>
        <v/>
      </c>
      <c r="T425" s="9" t="str">
        <f ca="1">IF($G425="","",INDEX(BASE_PRODUTOS!$D$2:$D$1006,$G425))</f>
        <v/>
      </c>
    </row>
    <row r="426" spans="7:20" ht="18" customHeight="1" x14ac:dyDescent="0.35">
      <c r="G426" t="str">
        <f ca="1">IFERROR(_xludf.aggregate(15,6,(ROW(BASE_PRODUTOS!$L$2:$L$1006)-ROW(BASE_PRODUTOS!$L$2)+1)/(BASE_PRODUTOS!$L$2:$L$1006&gt;0),ROWS($G$10:G426)),"")</f>
        <v/>
      </c>
      <c r="H426" s="9" t="str">
        <f ca="1">IF($G426="","",INDEX(BASE_PRODUTOS!$B$2:$B$1006,$G426))</f>
        <v/>
      </c>
      <c r="I426" s="9" t="str">
        <f ca="1">IF($G426="","",INDEX(BASE_PRODUTOS!$L$2:$L$1006,$G426))</f>
        <v/>
      </c>
      <c r="J426" s="9" t="str">
        <f ca="1">IF($G426="","",INDEX(BASE_PRODUTOS!$A$2:$A$1006,$G426))</f>
        <v/>
      </c>
      <c r="K426" s="9" t="str">
        <f ca="1">IF($G426="","",INDEX(BASE_PRODUTOS!$C$2:$C$1006,$G426))</f>
        <v/>
      </c>
      <c r="L426" s="9" t="str">
        <f ca="1">IF($G426="","",INDEX(BASE_PRODUTOS!$E$2:$E$1006,$G426))</f>
        <v/>
      </c>
      <c r="M426" s="9" t="str">
        <f ca="1">IF($G426="","",INDEX(BASE_PRODUTOS!$F$2:$F$1006,$G426))</f>
        <v/>
      </c>
      <c r="N426" s="9" t="str">
        <f ca="1">IF($G426="","",INDEX(BASE_PRODUTOS!$G$2:$G$1006,$G426))</f>
        <v/>
      </c>
      <c r="O426" s="9" t="str">
        <f ca="1">IF($G426="","",INDEX(BASE_PRODUTOS!$H$2:$H$1006,$G426))</f>
        <v/>
      </c>
      <c r="P426" s="9" t="str">
        <f ca="1">IF($G426="","",INDEX(BASE_PRODUTOS!$I$2:$I$1006,$G426))</f>
        <v/>
      </c>
      <c r="Q426" s="9" t="str">
        <f ca="1">IF($G426="","",INDEX(BASE_PRODUTOS!$J$2:$J$1006,$G426))</f>
        <v/>
      </c>
      <c r="R426" s="9" t="str">
        <f ca="1">IF($G426="","",INDEX(BASE_PRODUTOS!$M$2:$M$1006,$G426))</f>
        <v/>
      </c>
      <c r="S426" s="9" t="str">
        <f ca="1">IF($G426="","",INDEX(BASE_PRODUTOS!$N$2:$N$1006,$G426))</f>
        <v/>
      </c>
      <c r="T426" s="9" t="str">
        <f ca="1">IF($G426="","",INDEX(BASE_PRODUTOS!$D$2:$D$1006,$G426))</f>
        <v/>
      </c>
    </row>
    <row r="427" spans="7:20" ht="18" customHeight="1" x14ac:dyDescent="0.35">
      <c r="G427" t="str">
        <f ca="1">IFERROR(_xludf.aggregate(15,6,(ROW(BASE_PRODUTOS!$L$2:$L$1006)-ROW(BASE_PRODUTOS!$L$2)+1)/(BASE_PRODUTOS!$L$2:$L$1006&gt;0),ROWS($G$10:G427)),"")</f>
        <v/>
      </c>
      <c r="H427" s="9" t="str">
        <f ca="1">IF($G427="","",INDEX(BASE_PRODUTOS!$B$2:$B$1006,$G427))</f>
        <v/>
      </c>
      <c r="I427" s="9" t="str">
        <f ca="1">IF($G427="","",INDEX(BASE_PRODUTOS!$L$2:$L$1006,$G427))</f>
        <v/>
      </c>
      <c r="J427" s="9" t="str">
        <f ca="1">IF($G427="","",INDEX(BASE_PRODUTOS!$A$2:$A$1006,$G427))</f>
        <v/>
      </c>
      <c r="K427" s="9" t="str">
        <f ca="1">IF($G427="","",INDEX(BASE_PRODUTOS!$C$2:$C$1006,$G427))</f>
        <v/>
      </c>
      <c r="L427" s="9" t="str">
        <f ca="1">IF($G427="","",INDEX(BASE_PRODUTOS!$E$2:$E$1006,$G427))</f>
        <v/>
      </c>
      <c r="M427" s="9" t="str">
        <f ca="1">IF($G427="","",INDEX(BASE_PRODUTOS!$F$2:$F$1006,$G427))</f>
        <v/>
      </c>
      <c r="N427" s="9" t="str">
        <f ca="1">IF($G427="","",INDEX(BASE_PRODUTOS!$G$2:$G$1006,$G427))</f>
        <v/>
      </c>
      <c r="O427" s="9" t="str">
        <f ca="1">IF($G427="","",INDEX(BASE_PRODUTOS!$H$2:$H$1006,$G427))</f>
        <v/>
      </c>
      <c r="P427" s="9" t="str">
        <f ca="1">IF($G427="","",INDEX(BASE_PRODUTOS!$I$2:$I$1006,$G427))</f>
        <v/>
      </c>
      <c r="Q427" s="9" t="str">
        <f ca="1">IF($G427="","",INDEX(BASE_PRODUTOS!$J$2:$J$1006,$G427))</f>
        <v/>
      </c>
      <c r="R427" s="9" t="str">
        <f ca="1">IF($G427="","",INDEX(BASE_PRODUTOS!$M$2:$M$1006,$G427))</f>
        <v/>
      </c>
      <c r="S427" s="9" t="str">
        <f ca="1">IF($G427="","",INDEX(BASE_PRODUTOS!$N$2:$N$1006,$G427))</f>
        <v/>
      </c>
      <c r="T427" s="9" t="str">
        <f ca="1">IF($G427="","",INDEX(BASE_PRODUTOS!$D$2:$D$1006,$G427))</f>
        <v/>
      </c>
    </row>
    <row r="428" spans="7:20" ht="18" customHeight="1" x14ac:dyDescent="0.35">
      <c r="G428" t="str">
        <f ca="1">IFERROR(_xludf.aggregate(15,6,(ROW(BASE_PRODUTOS!$L$2:$L$1006)-ROW(BASE_PRODUTOS!$L$2)+1)/(BASE_PRODUTOS!$L$2:$L$1006&gt;0),ROWS($G$10:G428)),"")</f>
        <v/>
      </c>
      <c r="H428" s="9" t="str">
        <f ca="1">IF($G428="","",INDEX(BASE_PRODUTOS!$B$2:$B$1006,$G428))</f>
        <v/>
      </c>
      <c r="I428" s="9" t="str">
        <f ca="1">IF($G428="","",INDEX(BASE_PRODUTOS!$L$2:$L$1006,$G428))</f>
        <v/>
      </c>
      <c r="J428" s="9" t="str">
        <f ca="1">IF($G428="","",INDEX(BASE_PRODUTOS!$A$2:$A$1006,$G428))</f>
        <v/>
      </c>
      <c r="K428" s="9" t="str">
        <f ca="1">IF($G428="","",INDEX(BASE_PRODUTOS!$C$2:$C$1006,$G428))</f>
        <v/>
      </c>
      <c r="L428" s="9" t="str">
        <f ca="1">IF($G428="","",INDEX(BASE_PRODUTOS!$E$2:$E$1006,$G428))</f>
        <v/>
      </c>
      <c r="M428" s="9" t="str">
        <f ca="1">IF($G428="","",INDEX(BASE_PRODUTOS!$F$2:$F$1006,$G428))</f>
        <v/>
      </c>
      <c r="N428" s="9" t="str">
        <f ca="1">IF($G428="","",INDEX(BASE_PRODUTOS!$G$2:$G$1006,$G428))</f>
        <v/>
      </c>
      <c r="O428" s="9" t="str">
        <f ca="1">IF($G428="","",INDEX(BASE_PRODUTOS!$H$2:$H$1006,$G428))</f>
        <v/>
      </c>
      <c r="P428" s="9" t="str">
        <f ca="1">IF($G428="","",INDEX(BASE_PRODUTOS!$I$2:$I$1006,$G428))</f>
        <v/>
      </c>
      <c r="Q428" s="9" t="str">
        <f ca="1">IF($G428="","",INDEX(BASE_PRODUTOS!$J$2:$J$1006,$G428))</f>
        <v/>
      </c>
      <c r="R428" s="9" t="str">
        <f ca="1">IF($G428="","",INDEX(BASE_PRODUTOS!$M$2:$M$1006,$G428))</f>
        <v/>
      </c>
      <c r="S428" s="9" t="str">
        <f ca="1">IF($G428="","",INDEX(BASE_PRODUTOS!$N$2:$N$1006,$G428))</f>
        <v/>
      </c>
      <c r="T428" s="9" t="str">
        <f ca="1">IF($G428="","",INDEX(BASE_PRODUTOS!$D$2:$D$1006,$G428))</f>
        <v/>
      </c>
    </row>
    <row r="429" spans="7:20" ht="18" customHeight="1" x14ac:dyDescent="0.35">
      <c r="G429" t="str">
        <f ca="1">IFERROR(_xludf.aggregate(15,6,(ROW(BASE_PRODUTOS!$L$2:$L$1006)-ROW(BASE_PRODUTOS!$L$2)+1)/(BASE_PRODUTOS!$L$2:$L$1006&gt;0),ROWS($G$10:G429)),"")</f>
        <v/>
      </c>
      <c r="H429" s="9" t="str">
        <f ca="1">IF($G429="","",INDEX(BASE_PRODUTOS!$B$2:$B$1006,$G429))</f>
        <v/>
      </c>
      <c r="I429" s="9" t="str">
        <f ca="1">IF($G429="","",INDEX(BASE_PRODUTOS!$L$2:$L$1006,$G429))</f>
        <v/>
      </c>
      <c r="J429" s="9" t="str">
        <f ca="1">IF($G429="","",INDEX(BASE_PRODUTOS!$A$2:$A$1006,$G429))</f>
        <v/>
      </c>
      <c r="K429" s="9" t="str">
        <f ca="1">IF($G429="","",INDEX(BASE_PRODUTOS!$C$2:$C$1006,$G429))</f>
        <v/>
      </c>
      <c r="L429" s="9" t="str">
        <f ca="1">IF($G429="","",INDEX(BASE_PRODUTOS!$E$2:$E$1006,$G429))</f>
        <v/>
      </c>
      <c r="M429" s="9" t="str">
        <f ca="1">IF($G429="","",INDEX(BASE_PRODUTOS!$F$2:$F$1006,$G429))</f>
        <v/>
      </c>
      <c r="N429" s="9" t="str">
        <f ca="1">IF($G429="","",INDEX(BASE_PRODUTOS!$G$2:$G$1006,$G429))</f>
        <v/>
      </c>
      <c r="O429" s="9" t="str">
        <f ca="1">IF($G429="","",INDEX(BASE_PRODUTOS!$H$2:$H$1006,$G429))</f>
        <v/>
      </c>
      <c r="P429" s="9" t="str">
        <f ca="1">IF($G429="","",INDEX(BASE_PRODUTOS!$I$2:$I$1006,$G429))</f>
        <v/>
      </c>
      <c r="Q429" s="9" t="str">
        <f ca="1">IF($G429="","",INDEX(BASE_PRODUTOS!$J$2:$J$1006,$G429))</f>
        <v/>
      </c>
      <c r="R429" s="9" t="str">
        <f ca="1">IF($G429="","",INDEX(BASE_PRODUTOS!$M$2:$M$1006,$G429))</f>
        <v/>
      </c>
      <c r="S429" s="9" t="str">
        <f ca="1">IF($G429="","",INDEX(BASE_PRODUTOS!$N$2:$N$1006,$G429))</f>
        <v/>
      </c>
      <c r="T429" s="9" t="str">
        <f ca="1">IF($G429="","",INDEX(BASE_PRODUTOS!$D$2:$D$1006,$G429))</f>
        <v/>
      </c>
    </row>
    <row r="430" spans="7:20" ht="18" customHeight="1" x14ac:dyDescent="0.35">
      <c r="G430" t="str">
        <f ca="1">IFERROR(_xludf.aggregate(15,6,(ROW(BASE_PRODUTOS!$L$2:$L$1006)-ROW(BASE_PRODUTOS!$L$2)+1)/(BASE_PRODUTOS!$L$2:$L$1006&gt;0),ROWS($G$10:G430)),"")</f>
        <v/>
      </c>
      <c r="H430" s="9" t="str">
        <f ca="1">IF($G430="","",INDEX(BASE_PRODUTOS!$B$2:$B$1006,$G430))</f>
        <v/>
      </c>
      <c r="I430" s="9" t="str">
        <f ca="1">IF($G430="","",INDEX(BASE_PRODUTOS!$L$2:$L$1006,$G430))</f>
        <v/>
      </c>
      <c r="J430" s="9" t="str">
        <f ca="1">IF($G430="","",INDEX(BASE_PRODUTOS!$A$2:$A$1006,$G430))</f>
        <v/>
      </c>
      <c r="K430" s="9" t="str">
        <f ca="1">IF($G430="","",INDEX(BASE_PRODUTOS!$C$2:$C$1006,$G430))</f>
        <v/>
      </c>
      <c r="L430" s="9" t="str">
        <f ca="1">IF($G430="","",INDEX(BASE_PRODUTOS!$E$2:$E$1006,$G430))</f>
        <v/>
      </c>
      <c r="M430" s="9" t="str">
        <f ca="1">IF($G430="","",INDEX(BASE_PRODUTOS!$F$2:$F$1006,$G430))</f>
        <v/>
      </c>
      <c r="N430" s="9" t="str">
        <f ca="1">IF($G430="","",INDEX(BASE_PRODUTOS!$G$2:$G$1006,$G430))</f>
        <v/>
      </c>
      <c r="O430" s="9" t="str">
        <f ca="1">IF($G430="","",INDEX(BASE_PRODUTOS!$H$2:$H$1006,$G430))</f>
        <v/>
      </c>
      <c r="P430" s="9" t="str">
        <f ca="1">IF($G430="","",INDEX(BASE_PRODUTOS!$I$2:$I$1006,$G430))</f>
        <v/>
      </c>
      <c r="Q430" s="9" t="str">
        <f ca="1">IF($G430="","",INDEX(BASE_PRODUTOS!$J$2:$J$1006,$G430))</f>
        <v/>
      </c>
      <c r="R430" s="9" t="str">
        <f ca="1">IF($G430="","",INDEX(BASE_PRODUTOS!$M$2:$M$1006,$G430))</f>
        <v/>
      </c>
      <c r="S430" s="9" t="str">
        <f ca="1">IF($G430="","",INDEX(BASE_PRODUTOS!$N$2:$N$1006,$G430))</f>
        <v/>
      </c>
      <c r="T430" s="9" t="str">
        <f ca="1">IF($G430="","",INDEX(BASE_PRODUTOS!$D$2:$D$1006,$G430))</f>
        <v/>
      </c>
    </row>
    <row r="431" spans="7:20" ht="18" customHeight="1" x14ac:dyDescent="0.35">
      <c r="G431" t="str">
        <f ca="1">IFERROR(_xludf.aggregate(15,6,(ROW(BASE_PRODUTOS!$L$2:$L$1006)-ROW(BASE_PRODUTOS!$L$2)+1)/(BASE_PRODUTOS!$L$2:$L$1006&gt;0),ROWS($G$10:G431)),"")</f>
        <v/>
      </c>
      <c r="H431" s="9" t="str">
        <f ca="1">IF($G431="","",INDEX(BASE_PRODUTOS!$B$2:$B$1006,$G431))</f>
        <v/>
      </c>
      <c r="I431" s="9" t="str">
        <f ca="1">IF($G431="","",INDEX(BASE_PRODUTOS!$L$2:$L$1006,$G431))</f>
        <v/>
      </c>
      <c r="J431" s="9" t="str">
        <f ca="1">IF($G431="","",INDEX(BASE_PRODUTOS!$A$2:$A$1006,$G431))</f>
        <v/>
      </c>
      <c r="K431" s="9" t="str">
        <f ca="1">IF($G431="","",INDEX(BASE_PRODUTOS!$C$2:$C$1006,$G431))</f>
        <v/>
      </c>
      <c r="L431" s="9" t="str">
        <f ca="1">IF($G431="","",INDEX(BASE_PRODUTOS!$E$2:$E$1006,$G431))</f>
        <v/>
      </c>
      <c r="M431" s="9" t="str">
        <f ca="1">IF($G431="","",INDEX(BASE_PRODUTOS!$F$2:$F$1006,$G431))</f>
        <v/>
      </c>
      <c r="N431" s="9" t="str">
        <f ca="1">IF($G431="","",INDEX(BASE_PRODUTOS!$G$2:$G$1006,$G431))</f>
        <v/>
      </c>
      <c r="O431" s="9" t="str">
        <f ca="1">IF($G431="","",INDEX(BASE_PRODUTOS!$H$2:$H$1006,$G431))</f>
        <v/>
      </c>
      <c r="P431" s="9" t="str">
        <f ca="1">IF($G431="","",INDEX(BASE_PRODUTOS!$I$2:$I$1006,$G431))</f>
        <v/>
      </c>
      <c r="Q431" s="9" t="str">
        <f ca="1">IF($G431="","",INDEX(BASE_PRODUTOS!$J$2:$J$1006,$G431))</f>
        <v/>
      </c>
      <c r="R431" s="9" t="str">
        <f ca="1">IF($G431="","",INDEX(BASE_PRODUTOS!$M$2:$M$1006,$G431))</f>
        <v/>
      </c>
      <c r="S431" s="9" t="str">
        <f ca="1">IF($G431="","",INDEX(BASE_PRODUTOS!$N$2:$N$1006,$G431))</f>
        <v/>
      </c>
      <c r="T431" s="9" t="str">
        <f ca="1">IF($G431="","",INDEX(BASE_PRODUTOS!$D$2:$D$1006,$G431))</f>
        <v/>
      </c>
    </row>
    <row r="432" spans="7:20" ht="18" customHeight="1" x14ac:dyDescent="0.35">
      <c r="G432" t="str">
        <f ca="1">IFERROR(_xludf.aggregate(15,6,(ROW(BASE_PRODUTOS!$L$2:$L$1006)-ROW(BASE_PRODUTOS!$L$2)+1)/(BASE_PRODUTOS!$L$2:$L$1006&gt;0),ROWS($G$10:G432)),"")</f>
        <v/>
      </c>
      <c r="H432" s="9" t="str">
        <f ca="1">IF($G432="","",INDEX(BASE_PRODUTOS!$B$2:$B$1006,$G432))</f>
        <v/>
      </c>
      <c r="I432" s="9" t="str">
        <f ca="1">IF($G432="","",INDEX(BASE_PRODUTOS!$L$2:$L$1006,$G432))</f>
        <v/>
      </c>
      <c r="J432" s="9" t="str">
        <f ca="1">IF($G432="","",INDEX(BASE_PRODUTOS!$A$2:$A$1006,$G432))</f>
        <v/>
      </c>
      <c r="K432" s="9" t="str">
        <f ca="1">IF($G432="","",INDEX(BASE_PRODUTOS!$C$2:$C$1006,$G432))</f>
        <v/>
      </c>
      <c r="L432" s="9" t="str">
        <f ca="1">IF($G432="","",INDEX(BASE_PRODUTOS!$E$2:$E$1006,$G432))</f>
        <v/>
      </c>
      <c r="M432" s="9" t="str">
        <f ca="1">IF($G432="","",INDEX(BASE_PRODUTOS!$F$2:$F$1006,$G432))</f>
        <v/>
      </c>
      <c r="N432" s="9" t="str">
        <f ca="1">IF($G432="","",INDEX(BASE_PRODUTOS!$G$2:$G$1006,$G432))</f>
        <v/>
      </c>
      <c r="O432" s="9" t="str">
        <f ca="1">IF($G432="","",INDEX(BASE_PRODUTOS!$H$2:$H$1006,$G432))</f>
        <v/>
      </c>
      <c r="P432" s="9" t="str">
        <f ca="1">IF($G432="","",INDEX(BASE_PRODUTOS!$I$2:$I$1006,$G432))</f>
        <v/>
      </c>
      <c r="Q432" s="9" t="str">
        <f ca="1">IF($G432="","",INDEX(BASE_PRODUTOS!$J$2:$J$1006,$G432))</f>
        <v/>
      </c>
      <c r="R432" s="9" t="str">
        <f ca="1">IF($G432="","",INDEX(BASE_PRODUTOS!$M$2:$M$1006,$G432))</f>
        <v/>
      </c>
      <c r="S432" s="9" t="str">
        <f ca="1">IF($G432="","",INDEX(BASE_PRODUTOS!$N$2:$N$1006,$G432))</f>
        <v/>
      </c>
      <c r="T432" s="9" t="str">
        <f ca="1">IF($G432="","",INDEX(BASE_PRODUTOS!$D$2:$D$1006,$G432))</f>
        <v/>
      </c>
    </row>
    <row r="433" spans="7:20" ht="18" customHeight="1" x14ac:dyDescent="0.35">
      <c r="G433" t="str">
        <f ca="1">IFERROR(_xludf.aggregate(15,6,(ROW(BASE_PRODUTOS!$L$2:$L$1006)-ROW(BASE_PRODUTOS!$L$2)+1)/(BASE_PRODUTOS!$L$2:$L$1006&gt;0),ROWS($G$10:G433)),"")</f>
        <v/>
      </c>
      <c r="H433" s="9" t="str">
        <f ca="1">IF($G433="","",INDEX(BASE_PRODUTOS!$B$2:$B$1006,$G433))</f>
        <v/>
      </c>
      <c r="I433" s="9" t="str">
        <f ca="1">IF($G433="","",INDEX(BASE_PRODUTOS!$L$2:$L$1006,$G433))</f>
        <v/>
      </c>
      <c r="J433" s="9" t="str">
        <f ca="1">IF($G433="","",INDEX(BASE_PRODUTOS!$A$2:$A$1006,$G433))</f>
        <v/>
      </c>
      <c r="K433" s="9" t="str">
        <f ca="1">IF($G433="","",INDEX(BASE_PRODUTOS!$C$2:$C$1006,$G433))</f>
        <v/>
      </c>
      <c r="L433" s="9" t="str">
        <f ca="1">IF($G433="","",INDEX(BASE_PRODUTOS!$E$2:$E$1006,$G433))</f>
        <v/>
      </c>
      <c r="M433" s="9" t="str">
        <f ca="1">IF($G433="","",INDEX(BASE_PRODUTOS!$F$2:$F$1006,$G433))</f>
        <v/>
      </c>
      <c r="N433" s="9" t="str">
        <f ca="1">IF($G433="","",INDEX(BASE_PRODUTOS!$G$2:$G$1006,$G433))</f>
        <v/>
      </c>
      <c r="O433" s="9" t="str">
        <f ca="1">IF($G433="","",INDEX(BASE_PRODUTOS!$H$2:$H$1006,$G433))</f>
        <v/>
      </c>
      <c r="P433" s="9" t="str">
        <f ca="1">IF($G433="","",INDEX(BASE_PRODUTOS!$I$2:$I$1006,$G433))</f>
        <v/>
      </c>
      <c r="Q433" s="9" t="str">
        <f ca="1">IF($G433="","",INDEX(BASE_PRODUTOS!$J$2:$J$1006,$G433))</f>
        <v/>
      </c>
      <c r="R433" s="9" t="str">
        <f ca="1">IF($G433="","",INDEX(BASE_PRODUTOS!$M$2:$M$1006,$G433))</f>
        <v/>
      </c>
      <c r="S433" s="9" t="str">
        <f ca="1">IF($G433="","",INDEX(BASE_PRODUTOS!$N$2:$N$1006,$G433))</f>
        <v/>
      </c>
      <c r="T433" s="9" t="str">
        <f ca="1">IF($G433="","",INDEX(BASE_PRODUTOS!$D$2:$D$1006,$G433))</f>
        <v/>
      </c>
    </row>
    <row r="434" spans="7:20" ht="18" customHeight="1" x14ac:dyDescent="0.35">
      <c r="G434" t="str">
        <f ca="1">IFERROR(_xludf.aggregate(15,6,(ROW(BASE_PRODUTOS!$L$2:$L$1006)-ROW(BASE_PRODUTOS!$L$2)+1)/(BASE_PRODUTOS!$L$2:$L$1006&gt;0),ROWS($G$10:G434)),"")</f>
        <v/>
      </c>
      <c r="H434" s="9" t="str">
        <f ca="1">IF($G434="","",INDEX(BASE_PRODUTOS!$B$2:$B$1006,$G434))</f>
        <v/>
      </c>
      <c r="I434" s="9" t="str">
        <f ca="1">IF($G434="","",INDEX(BASE_PRODUTOS!$L$2:$L$1006,$G434))</f>
        <v/>
      </c>
      <c r="J434" s="9" t="str">
        <f ca="1">IF($G434="","",INDEX(BASE_PRODUTOS!$A$2:$A$1006,$G434))</f>
        <v/>
      </c>
      <c r="K434" s="9" t="str">
        <f ca="1">IF($G434="","",INDEX(BASE_PRODUTOS!$C$2:$C$1006,$G434))</f>
        <v/>
      </c>
      <c r="L434" s="9" t="str">
        <f ca="1">IF($G434="","",INDEX(BASE_PRODUTOS!$E$2:$E$1006,$G434))</f>
        <v/>
      </c>
      <c r="M434" s="9" t="str">
        <f ca="1">IF($G434="","",INDEX(BASE_PRODUTOS!$F$2:$F$1006,$G434))</f>
        <v/>
      </c>
      <c r="N434" s="9" t="str">
        <f ca="1">IF($G434="","",INDEX(BASE_PRODUTOS!$G$2:$G$1006,$G434))</f>
        <v/>
      </c>
      <c r="O434" s="9" t="str">
        <f ca="1">IF($G434="","",INDEX(BASE_PRODUTOS!$H$2:$H$1006,$G434))</f>
        <v/>
      </c>
      <c r="P434" s="9" t="str">
        <f ca="1">IF($G434="","",INDEX(BASE_PRODUTOS!$I$2:$I$1006,$G434))</f>
        <v/>
      </c>
      <c r="Q434" s="9" t="str">
        <f ca="1">IF($G434="","",INDEX(BASE_PRODUTOS!$J$2:$J$1006,$G434))</f>
        <v/>
      </c>
      <c r="R434" s="9" t="str">
        <f ca="1">IF($G434="","",INDEX(BASE_PRODUTOS!$M$2:$M$1006,$G434))</f>
        <v/>
      </c>
      <c r="S434" s="9" t="str">
        <f ca="1">IF($G434="","",INDEX(BASE_PRODUTOS!$N$2:$N$1006,$G434))</f>
        <v/>
      </c>
      <c r="T434" s="9" t="str">
        <f ca="1">IF($G434="","",INDEX(BASE_PRODUTOS!$D$2:$D$1006,$G434))</f>
        <v/>
      </c>
    </row>
    <row r="435" spans="7:20" ht="18" customHeight="1" x14ac:dyDescent="0.35">
      <c r="G435" t="str">
        <f ca="1">IFERROR(_xludf.aggregate(15,6,(ROW(BASE_PRODUTOS!$L$2:$L$1006)-ROW(BASE_PRODUTOS!$L$2)+1)/(BASE_PRODUTOS!$L$2:$L$1006&gt;0),ROWS($G$10:G435)),"")</f>
        <v/>
      </c>
      <c r="H435" s="9" t="str">
        <f ca="1">IF($G435="","",INDEX(BASE_PRODUTOS!$B$2:$B$1006,$G435))</f>
        <v/>
      </c>
      <c r="I435" s="9" t="str">
        <f ca="1">IF($G435="","",INDEX(BASE_PRODUTOS!$L$2:$L$1006,$G435))</f>
        <v/>
      </c>
      <c r="J435" s="9" t="str">
        <f ca="1">IF($G435="","",INDEX(BASE_PRODUTOS!$A$2:$A$1006,$G435))</f>
        <v/>
      </c>
      <c r="K435" s="9" t="str">
        <f ca="1">IF($G435="","",INDEX(BASE_PRODUTOS!$C$2:$C$1006,$G435))</f>
        <v/>
      </c>
      <c r="L435" s="9" t="str">
        <f ca="1">IF($G435="","",INDEX(BASE_PRODUTOS!$E$2:$E$1006,$G435))</f>
        <v/>
      </c>
      <c r="M435" s="9" t="str">
        <f ca="1">IF($G435="","",INDEX(BASE_PRODUTOS!$F$2:$F$1006,$G435))</f>
        <v/>
      </c>
      <c r="N435" s="9" t="str">
        <f ca="1">IF($G435="","",INDEX(BASE_PRODUTOS!$G$2:$G$1006,$G435))</f>
        <v/>
      </c>
      <c r="O435" s="9" t="str">
        <f ca="1">IF($G435="","",INDEX(BASE_PRODUTOS!$H$2:$H$1006,$G435))</f>
        <v/>
      </c>
      <c r="P435" s="9" t="str">
        <f ca="1">IF($G435="","",INDEX(BASE_PRODUTOS!$I$2:$I$1006,$G435))</f>
        <v/>
      </c>
      <c r="Q435" s="9" t="str">
        <f ca="1">IF($G435="","",INDEX(BASE_PRODUTOS!$J$2:$J$1006,$G435))</f>
        <v/>
      </c>
      <c r="R435" s="9" t="str">
        <f ca="1">IF($G435="","",INDEX(BASE_PRODUTOS!$M$2:$M$1006,$G435))</f>
        <v/>
      </c>
      <c r="S435" s="9" t="str">
        <f ca="1">IF($G435="","",INDEX(BASE_PRODUTOS!$N$2:$N$1006,$G435))</f>
        <v/>
      </c>
      <c r="T435" s="9" t="str">
        <f ca="1">IF($G435="","",INDEX(BASE_PRODUTOS!$D$2:$D$1006,$G435))</f>
        <v/>
      </c>
    </row>
    <row r="436" spans="7:20" ht="18" customHeight="1" x14ac:dyDescent="0.35">
      <c r="G436" t="str">
        <f ca="1">IFERROR(_xludf.aggregate(15,6,(ROW(BASE_PRODUTOS!$L$2:$L$1006)-ROW(BASE_PRODUTOS!$L$2)+1)/(BASE_PRODUTOS!$L$2:$L$1006&gt;0),ROWS($G$10:G436)),"")</f>
        <v/>
      </c>
      <c r="H436" s="9" t="str">
        <f ca="1">IF($G436="","",INDEX(BASE_PRODUTOS!$B$2:$B$1006,$G436))</f>
        <v/>
      </c>
      <c r="I436" s="9" t="str">
        <f ca="1">IF($G436="","",INDEX(BASE_PRODUTOS!$L$2:$L$1006,$G436))</f>
        <v/>
      </c>
      <c r="J436" s="9" t="str">
        <f ca="1">IF($G436="","",INDEX(BASE_PRODUTOS!$A$2:$A$1006,$G436))</f>
        <v/>
      </c>
      <c r="K436" s="9" t="str">
        <f ca="1">IF($G436="","",INDEX(BASE_PRODUTOS!$C$2:$C$1006,$G436))</f>
        <v/>
      </c>
      <c r="L436" s="9" t="str">
        <f ca="1">IF($G436="","",INDEX(BASE_PRODUTOS!$E$2:$E$1006,$G436))</f>
        <v/>
      </c>
      <c r="M436" s="9" t="str">
        <f ca="1">IF($G436="","",INDEX(BASE_PRODUTOS!$F$2:$F$1006,$G436))</f>
        <v/>
      </c>
      <c r="N436" s="9" t="str">
        <f ca="1">IF($G436="","",INDEX(BASE_PRODUTOS!$G$2:$G$1006,$G436))</f>
        <v/>
      </c>
      <c r="O436" s="9" t="str">
        <f ca="1">IF($G436="","",INDEX(BASE_PRODUTOS!$H$2:$H$1006,$G436))</f>
        <v/>
      </c>
      <c r="P436" s="9" t="str">
        <f ca="1">IF($G436="","",INDEX(BASE_PRODUTOS!$I$2:$I$1006,$G436))</f>
        <v/>
      </c>
      <c r="Q436" s="9" t="str">
        <f ca="1">IF($G436="","",INDEX(BASE_PRODUTOS!$J$2:$J$1006,$G436))</f>
        <v/>
      </c>
      <c r="R436" s="9" t="str">
        <f ca="1">IF($G436="","",INDEX(BASE_PRODUTOS!$M$2:$M$1006,$G436))</f>
        <v/>
      </c>
      <c r="S436" s="9" t="str">
        <f ca="1">IF($G436="","",INDEX(BASE_PRODUTOS!$N$2:$N$1006,$G436))</f>
        <v/>
      </c>
      <c r="T436" s="9" t="str">
        <f ca="1">IF($G436="","",INDEX(BASE_PRODUTOS!$D$2:$D$1006,$G436))</f>
        <v/>
      </c>
    </row>
    <row r="437" spans="7:20" ht="18" customHeight="1" x14ac:dyDescent="0.35">
      <c r="G437" t="str">
        <f ca="1">IFERROR(_xludf.aggregate(15,6,(ROW(BASE_PRODUTOS!$L$2:$L$1006)-ROW(BASE_PRODUTOS!$L$2)+1)/(BASE_PRODUTOS!$L$2:$L$1006&gt;0),ROWS($G$10:G437)),"")</f>
        <v/>
      </c>
      <c r="H437" s="9" t="str">
        <f ca="1">IF($G437="","",INDEX(BASE_PRODUTOS!$B$2:$B$1006,$G437))</f>
        <v/>
      </c>
      <c r="I437" s="9" t="str">
        <f ca="1">IF($G437="","",INDEX(BASE_PRODUTOS!$L$2:$L$1006,$G437))</f>
        <v/>
      </c>
      <c r="J437" s="9" t="str">
        <f ca="1">IF($G437="","",INDEX(BASE_PRODUTOS!$A$2:$A$1006,$G437))</f>
        <v/>
      </c>
      <c r="K437" s="9" t="str">
        <f ca="1">IF($G437="","",INDEX(BASE_PRODUTOS!$C$2:$C$1006,$G437))</f>
        <v/>
      </c>
      <c r="L437" s="9" t="str">
        <f ca="1">IF($G437="","",INDEX(BASE_PRODUTOS!$E$2:$E$1006,$G437))</f>
        <v/>
      </c>
      <c r="M437" s="9" t="str">
        <f ca="1">IF($G437="","",INDEX(BASE_PRODUTOS!$F$2:$F$1006,$G437))</f>
        <v/>
      </c>
      <c r="N437" s="9" t="str">
        <f ca="1">IF($G437="","",INDEX(BASE_PRODUTOS!$G$2:$G$1006,$G437))</f>
        <v/>
      </c>
      <c r="O437" s="9" t="str">
        <f ca="1">IF($G437="","",INDEX(BASE_PRODUTOS!$H$2:$H$1006,$G437))</f>
        <v/>
      </c>
      <c r="P437" s="9" t="str">
        <f ca="1">IF($G437="","",INDEX(BASE_PRODUTOS!$I$2:$I$1006,$G437))</f>
        <v/>
      </c>
      <c r="Q437" s="9" t="str">
        <f ca="1">IF($G437="","",INDEX(BASE_PRODUTOS!$J$2:$J$1006,$G437))</f>
        <v/>
      </c>
      <c r="R437" s="9" t="str">
        <f ca="1">IF($G437="","",INDEX(BASE_PRODUTOS!$M$2:$M$1006,$G437))</f>
        <v/>
      </c>
      <c r="S437" s="9" t="str">
        <f ca="1">IF($G437="","",INDEX(BASE_PRODUTOS!$N$2:$N$1006,$G437))</f>
        <v/>
      </c>
      <c r="T437" s="9" t="str">
        <f ca="1">IF($G437="","",INDEX(BASE_PRODUTOS!$D$2:$D$1006,$G437))</f>
        <v/>
      </c>
    </row>
    <row r="438" spans="7:20" ht="18" customHeight="1" x14ac:dyDescent="0.35">
      <c r="G438" t="str">
        <f ca="1">IFERROR(_xludf.aggregate(15,6,(ROW(BASE_PRODUTOS!$L$2:$L$1006)-ROW(BASE_PRODUTOS!$L$2)+1)/(BASE_PRODUTOS!$L$2:$L$1006&gt;0),ROWS($G$10:G438)),"")</f>
        <v/>
      </c>
      <c r="H438" s="9" t="str">
        <f ca="1">IF($G438="","",INDEX(BASE_PRODUTOS!$B$2:$B$1006,$G438))</f>
        <v/>
      </c>
      <c r="I438" s="9" t="str">
        <f ca="1">IF($G438="","",INDEX(BASE_PRODUTOS!$L$2:$L$1006,$G438))</f>
        <v/>
      </c>
      <c r="J438" s="9" t="str">
        <f ca="1">IF($G438="","",INDEX(BASE_PRODUTOS!$A$2:$A$1006,$G438))</f>
        <v/>
      </c>
      <c r="K438" s="9" t="str">
        <f ca="1">IF($G438="","",INDEX(BASE_PRODUTOS!$C$2:$C$1006,$G438))</f>
        <v/>
      </c>
      <c r="L438" s="9" t="str">
        <f ca="1">IF($G438="","",INDEX(BASE_PRODUTOS!$E$2:$E$1006,$G438))</f>
        <v/>
      </c>
      <c r="M438" s="9" t="str">
        <f ca="1">IF($G438="","",INDEX(BASE_PRODUTOS!$F$2:$F$1006,$G438))</f>
        <v/>
      </c>
      <c r="N438" s="9" t="str">
        <f ca="1">IF($G438="","",INDEX(BASE_PRODUTOS!$G$2:$G$1006,$G438))</f>
        <v/>
      </c>
      <c r="O438" s="9" t="str">
        <f ca="1">IF($G438="","",INDEX(BASE_PRODUTOS!$H$2:$H$1006,$G438))</f>
        <v/>
      </c>
      <c r="P438" s="9" t="str">
        <f ca="1">IF($G438="","",INDEX(BASE_PRODUTOS!$I$2:$I$1006,$G438))</f>
        <v/>
      </c>
      <c r="Q438" s="9" t="str">
        <f ca="1">IF($G438="","",INDEX(BASE_PRODUTOS!$J$2:$J$1006,$G438))</f>
        <v/>
      </c>
      <c r="R438" s="9" t="str">
        <f ca="1">IF($G438="","",INDEX(BASE_PRODUTOS!$M$2:$M$1006,$G438))</f>
        <v/>
      </c>
      <c r="S438" s="9" t="str">
        <f ca="1">IF($G438="","",INDEX(BASE_PRODUTOS!$N$2:$N$1006,$G438))</f>
        <v/>
      </c>
      <c r="T438" s="9" t="str">
        <f ca="1">IF($G438="","",INDEX(BASE_PRODUTOS!$D$2:$D$1006,$G438))</f>
        <v/>
      </c>
    </row>
    <row r="439" spans="7:20" ht="18" customHeight="1" x14ac:dyDescent="0.35">
      <c r="G439" t="str">
        <f ca="1">IFERROR(_xludf.aggregate(15,6,(ROW(BASE_PRODUTOS!$L$2:$L$1006)-ROW(BASE_PRODUTOS!$L$2)+1)/(BASE_PRODUTOS!$L$2:$L$1006&gt;0),ROWS($G$10:G439)),"")</f>
        <v/>
      </c>
      <c r="H439" s="9" t="str">
        <f ca="1">IF($G439="","",INDEX(BASE_PRODUTOS!$B$2:$B$1006,$G439))</f>
        <v/>
      </c>
      <c r="I439" s="9" t="str">
        <f ca="1">IF($G439="","",INDEX(BASE_PRODUTOS!$L$2:$L$1006,$G439))</f>
        <v/>
      </c>
      <c r="J439" s="9" t="str">
        <f ca="1">IF($G439="","",INDEX(BASE_PRODUTOS!$A$2:$A$1006,$G439))</f>
        <v/>
      </c>
      <c r="K439" s="9" t="str">
        <f ca="1">IF($G439="","",INDEX(BASE_PRODUTOS!$C$2:$C$1006,$G439))</f>
        <v/>
      </c>
      <c r="L439" s="9" t="str">
        <f ca="1">IF($G439="","",INDEX(BASE_PRODUTOS!$E$2:$E$1006,$G439))</f>
        <v/>
      </c>
      <c r="M439" s="9" t="str">
        <f ca="1">IF($G439="","",INDEX(BASE_PRODUTOS!$F$2:$F$1006,$G439))</f>
        <v/>
      </c>
      <c r="N439" s="9" t="str">
        <f ca="1">IF($G439="","",INDEX(BASE_PRODUTOS!$G$2:$G$1006,$G439))</f>
        <v/>
      </c>
      <c r="O439" s="9" t="str">
        <f ca="1">IF($G439="","",INDEX(BASE_PRODUTOS!$H$2:$H$1006,$G439))</f>
        <v/>
      </c>
      <c r="P439" s="9" t="str">
        <f ca="1">IF($G439="","",INDEX(BASE_PRODUTOS!$I$2:$I$1006,$G439))</f>
        <v/>
      </c>
      <c r="Q439" s="9" t="str">
        <f ca="1">IF($G439="","",INDEX(BASE_PRODUTOS!$J$2:$J$1006,$G439))</f>
        <v/>
      </c>
      <c r="R439" s="9" t="str">
        <f ca="1">IF($G439="","",INDEX(BASE_PRODUTOS!$M$2:$M$1006,$G439))</f>
        <v/>
      </c>
      <c r="S439" s="9" t="str">
        <f ca="1">IF($G439="","",INDEX(BASE_PRODUTOS!$N$2:$N$1006,$G439))</f>
        <v/>
      </c>
      <c r="T439" s="9" t="str">
        <f ca="1">IF($G439="","",INDEX(BASE_PRODUTOS!$D$2:$D$1006,$G439))</f>
        <v/>
      </c>
    </row>
    <row r="440" spans="7:20" ht="18" customHeight="1" x14ac:dyDescent="0.35">
      <c r="G440" t="str">
        <f ca="1">IFERROR(_xludf.aggregate(15,6,(ROW(BASE_PRODUTOS!$L$2:$L$1006)-ROW(BASE_PRODUTOS!$L$2)+1)/(BASE_PRODUTOS!$L$2:$L$1006&gt;0),ROWS($G$10:G440)),"")</f>
        <v/>
      </c>
      <c r="H440" s="9" t="str">
        <f ca="1">IF($G440="","",INDEX(BASE_PRODUTOS!$B$2:$B$1006,$G440))</f>
        <v/>
      </c>
      <c r="I440" s="9" t="str">
        <f ca="1">IF($G440="","",INDEX(BASE_PRODUTOS!$L$2:$L$1006,$G440))</f>
        <v/>
      </c>
      <c r="J440" s="9" t="str">
        <f ca="1">IF($G440="","",INDEX(BASE_PRODUTOS!$A$2:$A$1006,$G440))</f>
        <v/>
      </c>
      <c r="K440" s="9" t="str">
        <f ca="1">IF($G440="","",INDEX(BASE_PRODUTOS!$C$2:$C$1006,$G440))</f>
        <v/>
      </c>
      <c r="L440" s="9" t="str">
        <f ca="1">IF($G440="","",INDEX(BASE_PRODUTOS!$E$2:$E$1006,$G440))</f>
        <v/>
      </c>
      <c r="M440" s="9" t="str">
        <f ca="1">IF($G440="","",INDEX(BASE_PRODUTOS!$F$2:$F$1006,$G440))</f>
        <v/>
      </c>
      <c r="N440" s="9" t="str">
        <f ca="1">IF($G440="","",INDEX(BASE_PRODUTOS!$G$2:$G$1006,$G440))</f>
        <v/>
      </c>
      <c r="O440" s="9" t="str">
        <f ca="1">IF($G440="","",INDEX(BASE_PRODUTOS!$H$2:$H$1006,$G440))</f>
        <v/>
      </c>
      <c r="P440" s="9" t="str">
        <f ca="1">IF($G440="","",INDEX(BASE_PRODUTOS!$I$2:$I$1006,$G440))</f>
        <v/>
      </c>
      <c r="Q440" s="9" t="str">
        <f ca="1">IF($G440="","",INDEX(BASE_PRODUTOS!$J$2:$J$1006,$G440))</f>
        <v/>
      </c>
      <c r="R440" s="9" t="str">
        <f ca="1">IF($G440="","",INDEX(BASE_PRODUTOS!$M$2:$M$1006,$G440))</f>
        <v/>
      </c>
      <c r="S440" s="9" t="str">
        <f ca="1">IF($G440="","",INDEX(BASE_PRODUTOS!$N$2:$N$1006,$G440))</f>
        <v/>
      </c>
      <c r="T440" s="9" t="str">
        <f ca="1">IF($G440="","",INDEX(BASE_PRODUTOS!$D$2:$D$1006,$G440))</f>
        <v/>
      </c>
    </row>
    <row r="441" spans="7:20" ht="18" customHeight="1" x14ac:dyDescent="0.35">
      <c r="G441" t="str">
        <f ca="1">IFERROR(_xludf.aggregate(15,6,(ROW(BASE_PRODUTOS!$L$2:$L$1006)-ROW(BASE_PRODUTOS!$L$2)+1)/(BASE_PRODUTOS!$L$2:$L$1006&gt;0),ROWS($G$10:G441)),"")</f>
        <v/>
      </c>
      <c r="H441" s="9" t="str">
        <f ca="1">IF($G441="","",INDEX(BASE_PRODUTOS!$B$2:$B$1006,$G441))</f>
        <v/>
      </c>
      <c r="I441" s="9" t="str">
        <f ca="1">IF($G441="","",INDEX(BASE_PRODUTOS!$L$2:$L$1006,$G441))</f>
        <v/>
      </c>
      <c r="J441" s="9" t="str">
        <f ca="1">IF($G441="","",INDEX(BASE_PRODUTOS!$A$2:$A$1006,$G441))</f>
        <v/>
      </c>
      <c r="K441" s="9" t="str">
        <f ca="1">IF($G441="","",INDEX(BASE_PRODUTOS!$C$2:$C$1006,$G441))</f>
        <v/>
      </c>
      <c r="L441" s="9" t="str">
        <f ca="1">IF($G441="","",INDEX(BASE_PRODUTOS!$E$2:$E$1006,$G441))</f>
        <v/>
      </c>
      <c r="M441" s="9" t="str">
        <f ca="1">IF($G441="","",INDEX(BASE_PRODUTOS!$F$2:$F$1006,$G441))</f>
        <v/>
      </c>
      <c r="N441" s="9" t="str">
        <f ca="1">IF($G441="","",INDEX(BASE_PRODUTOS!$G$2:$G$1006,$G441))</f>
        <v/>
      </c>
      <c r="O441" s="9" t="str">
        <f ca="1">IF($G441="","",INDEX(BASE_PRODUTOS!$H$2:$H$1006,$G441))</f>
        <v/>
      </c>
      <c r="P441" s="9" t="str">
        <f ca="1">IF($G441="","",INDEX(BASE_PRODUTOS!$I$2:$I$1006,$G441))</f>
        <v/>
      </c>
      <c r="Q441" s="9" t="str">
        <f ca="1">IF($G441="","",INDEX(BASE_PRODUTOS!$J$2:$J$1006,$G441))</f>
        <v/>
      </c>
      <c r="R441" s="9" t="str">
        <f ca="1">IF($G441="","",INDEX(BASE_PRODUTOS!$M$2:$M$1006,$G441))</f>
        <v/>
      </c>
      <c r="S441" s="9" t="str">
        <f ca="1">IF($G441="","",INDEX(BASE_PRODUTOS!$N$2:$N$1006,$G441))</f>
        <v/>
      </c>
      <c r="T441" s="9" t="str">
        <f ca="1">IF($G441="","",INDEX(BASE_PRODUTOS!$D$2:$D$1006,$G441))</f>
        <v/>
      </c>
    </row>
    <row r="442" spans="7:20" ht="18" customHeight="1" x14ac:dyDescent="0.35">
      <c r="G442" t="str">
        <f ca="1">IFERROR(_xludf.aggregate(15,6,(ROW(BASE_PRODUTOS!$L$2:$L$1006)-ROW(BASE_PRODUTOS!$L$2)+1)/(BASE_PRODUTOS!$L$2:$L$1006&gt;0),ROWS($G$10:G442)),"")</f>
        <v/>
      </c>
      <c r="H442" s="9" t="str">
        <f ca="1">IF($G442="","",INDEX(BASE_PRODUTOS!$B$2:$B$1006,$G442))</f>
        <v/>
      </c>
      <c r="I442" s="9" t="str">
        <f ca="1">IF($G442="","",INDEX(BASE_PRODUTOS!$L$2:$L$1006,$G442))</f>
        <v/>
      </c>
      <c r="J442" s="9" t="str">
        <f ca="1">IF($G442="","",INDEX(BASE_PRODUTOS!$A$2:$A$1006,$G442))</f>
        <v/>
      </c>
      <c r="K442" s="9" t="str">
        <f ca="1">IF($G442="","",INDEX(BASE_PRODUTOS!$C$2:$C$1006,$G442))</f>
        <v/>
      </c>
      <c r="L442" s="9" t="str">
        <f ca="1">IF($G442="","",INDEX(BASE_PRODUTOS!$E$2:$E$1006,$G442))</f>
        <v/>
      </c>
      <c r="M442" s="9" t="str">
        <f ca="1">IF($G442="","",INDEX(BASE_PRODUTOS!$F$2:$F$1006,$G442))</f>
        <v/>
      </c>
      <c r="N442" s="9" t="str">
        <f ca="1">IF($G442="","",INDEX(BASE_PRODUTOS!$G$2:$G$1006,$G442))</f>
        <v/>
      </c>
      <c r="O442" s="9" t="str">
        <f ca="1">IF($G442="","",INDEX(BASE_PRODUTOS!$H$2:$H$1006,$G442))</f>
        <v/>
      </c>
      <c r="P442" s="9" t="str">
        <f ca="1">IF($G442="","",INDEX(BASE_PRODUTOS!$I$2:$I$1006,$G442))</f>
        <v/>
      </c>
      <c r="Q442" s="9" t="str">
        <f ca="1">IF($G442="","",INDEX(BASE_PRODUTOS!$J$2:$J$1006,$G442))</f>
        <v/>
      </c>
      <c r="R442" s="9" t="str">
        <f ca="1">IF($G442="","",INDEX(BASE_PRODUTOS!$M$2:$M$1006,$G442))</f>
        <v/>
      </c>
      <c r="S442" s="9" t="str">
        <f ca="1">IF($G442="","",INDEX(BASE_PRODUTOS!$N$2:$N$1006,$G442))</f>
        <v/>
      </c>
      <c r="T442" s="9" t="str">
        <f ca="1">IF($G442="","",INDEX(BASE_PRODUTOS!$D$2:$D$1006,$G442))</f>
        <v/>
      </c>
    </row>
    <row r="443" spans="7:20" ht="18" customHeight="1" x14ac:dyDescent="0.35">
      <c r="G443" t="str">
        <f ca="1">IFERROR(_xludf.aggregate(15,6,(ROW(BASE_PRODUTOS!$L$2:$L$1006)-ROW(BASE_PRODUTOS!$L$2)+1)/(BASE_PRODUTOS!$L$2:$L$1006&gt;0),ROWS($G$10:G443)),"")</f>
        <v/>
      </c>
      <c r="H443" s="9" t="str">
        <f ca="1">IF($G443="","",INDEX(BASE_PRODUTOS!$B$2:$B$1006,$G443))</f>
        <v/>
      </c>
      <c r="I443" s="9" t="str">
        <f ca="1">IF($G443="","",INDEX(BASE_PRODUTOS!$L$2:$L$1006,$G443))</f>
        <v/>
      </c>
      <c r="J443" s="9" t="str">
        <f ca="1">IF($G443="","",INDEX(BASE_PRODUTOS!$A$2:$A$1006,$G443))</f>
        <v/>
      </c>
      <c r="K443" s="9" t="str">
        <f ca="1">IF($G443="","",INDEX(BASE_PRODUTOS!$C$2:$C$1006,$G443))</f>
        <v/>
      </c>
      <c r="L443" s="9" t="str">
        <f ca="1">IF($G443="","",INDEX(BASE_PRODUTOS!$E$2:$E$1006,$G443))</f>
        <v/>
      </c>
      <c r="M443" s="9" t="str">
        <f ca="1">IF($G443="","",INDEX(BASE_PRODUTOS!$F$2:$F$1006,$G443))</f>
        <v/>
      </c>
      <c r="N443" s="9" t="str">
        <f ca="1">IF($G443="","",INDEX(BASE_PRODUTOS!$G$2:$G$1006,$G443))</f>
        <v/>
      </c>
      <c r="O443" s="9" t="str">
        <f ca="1">IF($G443="","",INDEX(BASE_PRODUTOS!$H$2:$H$1006,$G443))</f>
        <v/>
      </c>
      <c r="P443" s="9" t="str">
        <f ca="1">IF($G443="","",INDEX(BASE_PRODUTOS!$I$2:$I$1006,$G443))</f>
        <v/>
      </c>
      <c r="Q443" s="9" t="str">
        <f ca="1">IF($G443="","",INDEX(BASE_PRODUTOS!$J$2:$J$1006,$G443))</f>
        <v/>
      </c>
      <c r="R443" s="9" t="str">
        <f ca="1">IF($G443="","",INDEX(BASE_PRODUTOS!$M$2:$M$1006,$G443))</f>
        <v/>
      </c>
      <c r="S443" s="9" t="str">
        <f ca="1">IF($G443="","",INDEX(BASE_PRODUTOS!$N$2:$N$1006,$G443))</f>
        <v/>
      </c>
      <c r="T443" s="9" t="str">
        <f ca="1">IF($G443="","",INDEX(BASE_PRODUTOS!$D$2:$D$1006,$G443))</f>
        <v/>
      </c>
    </row>
    <row r="444" spans="7:20" ht="18" customHeight="1" x14ac:dyDescent="0.35">
      <c r="G444" t="str">
        <f ca="1">IFERROR(_xludf.aggregate(15,6,(ROW(BASE_PRODUTOS!$L$2:$L$1006)-ROW(BASE_PRODUTOS!$L$2)+1)/(BASE_PRODUTOS!$L$2:$L$1006&gt;0),ROWS($G$10:G444)),"")</f>
        <v/>
      </c>
      <c r="H444" s="9" t="str">
        <f ca="1">IF($G444="","",INDEX(BASE_PRODUTOS!$B$2:$B$1006,$G444))</f>
        <v/>
      </c>
      <c r="I444" s="9" t="str">
        <f ca="1">IF($G444="","",INDEX(BASE_PRODUTOS!$L$2:$L$1006,$G444))</f>
        <v/>
      </c>
      <c r="J444" s="9" t="str">
        <f ca="1">IF($G444="","",INDEX(BASE_PRODUTOS!$A$2:$A$1006,$G444))</f>
        <v/>
      </c>
      <c r="K444" s="9" t="str">
        <f ca="1">IF($G444="","",INDEX(BASE_PRODUTOS!$C$2:$C$1006,$G444))</f>
        <v/>
      </c>
      <c r="L444" s="9" t="str">
        <f ca="1">IF($G444="","",INDEX(BASE_PRODUTOS!$E$2:$E$1006,$G444))</f>
        <v/>
      </c>
      <c r="M444" s="9" t="str">
        <f ca="1">IF($G444="","",INDEX(BASE_PRODUTOS!$F$2:$F$1006,$G444))</f>
        <v/>
      </c>
      <c r="N444" s="9" t="str">
        <f ca="1">IF($G444="","",INDEX(BASE_PRODUTOS!$G$2:$G$1006,$G444))</f>
        <v/>
      </c>
      <c r="O444" s="9" t="str">
        <f ca="1">IF($G444="","",INDEX(BASE_PRODUTOS!$H$2:$H$1006,$G444))</f>
        <v/>
      </c>
      <c r="P444" s="9" t="str">
        <f ca="1">IF($G444="","",INDEX(BASE_PRODUTOS!$I$2:$I$1006,$G444))</f>
        <v/>
      </c>
      <c r="Q444" s="9" t="str">
        <f ca="1">IF($G444="","",INDEX(BASE_PRODUTOS!$J$2:$J$1006,$G444))</f>
        <v/>
      </c>
      <c r="R444" s="9" t="str">
        <f ca="1">IF($G444="","",INDEX(BASE_PRODUTOS!$M$2:$M$1006,$G444))</f>
        <v/>
      </c>
      <c r="S444" s="9" t="str">
        <f ca="1">IF($G444="","",INDEX(BASE_PRODUTOS!$N$2:$N$1006,$G444))</f>
        <v/>
      </c>
      <c r="T444" s="9" t="str">
        <f ca="1">IF($G444="","",INDEX(BASE_PRODUTOS!$D$2:$D$1006,$G444))</f>
        <v/>
      </c>
    </row>
    <row r="445" spans="7:20" ht="18" customHeight="1" x14ac:dyDescent="0.35">
      <c r="G445" t="str">
        <f ca="1">IFERROR(_xludf.aggregate(15,6,(ROW(BASE_PRODUTOS!$L$2:$L$1006)-ROW(BASE_PRODUTOS!$L$2)+1)/(BASE_PRODUTOS!$L$2:$L$1006&gt;0),ROWS($G$10:G445)),"")</f>
        <v/>
      </c>
      <c r="H445" s="9" t="str">
        <f ca="1">IF($G445="","",INDEX(BASE_PRODUTOS!$B$2:$B$1006,$G445))</f>
        <v/>
      </c>
      <c r="I445" s="9" t="str">
        <f ca="1">IF($G445="","",INDEX(BASE_PRODUTOS!$L$2:$L$1006,$G445))</f>
        <v/>
      </c>
      <c r="J445" s="9" t="str">
        <f ca="1">IF($G445="","",INDEX(BASE_PRODUTOS!$A$2:$A$1006,$G445))</f>
        <v/>
      </c>
      <c r="K445" s="9" t="str">
        <f ca="1">IF($G445="","",INDEX(BASE_PRODUTOS!$C$2:$C$1006,$G445))</f>
        <v/>
      </c>
      <c r="L445" s="9" t="str">
        <f ca="1">IF($G445="","",INDEX(BASE_PRODUTOS!$E$2:$E$1006,$G445))</f>
        <v/>
      </c>
      <c r="M445" s="9" t="str">
        <f ca="1">IF($G445="","",INDEX(BASE_PRODUTOS!$F$2:$F$1006,$G445))</f>
        <v/>
      </c>
      <c r="N445" s="9" t="str">
        <f ca="1">IF($G445="","",INDEX(BASE_PRODUTOS!$G$2:$G$1006,$G445))</f>
        <v/>
      </c>
      <c r="O445" s="9" t="str">
        <f ca="1">IF($G445="","",INDEX(BASE_PRODUTOS!$H$2:$H$1006,$G445))</f>
        <v/>
      </c>
      <c r="P445" s="9" t="str">
        <f ca="1">IF($G445="","",INDEX(BASE_PRODUTOS!$I$2:$I$1006,$G445))</f>
        <v/>
      </c>
      <c r="Q445" s="9" t="str">
        <f ca="1">IF($G445="","",INDEX(BASE_PRODUTOS!$J$2:$J$1006,$G445))</f>
        <v/>
      </c>
      <c r="R445" s="9" t="str">
        <f ca="1">IF($G445="","",INDEX(BASE_PRODUTOS!$M$2:$M$1006,$G445))</f>
        <v/>
      </c>
      <c r="S445" s="9" t="str">
        <f ca="1">IF($G445="","",INDEX(BASE_PRODUTOS!$N$2:$N$1006,$G445))</f>
        <v/>
      </c>
      <c r="T445" s="9" t="str">
        <f ca="1">IF($G445="","",INDEX(BASE_PRODUTOS!$D$2:$D$1006,$G445))</f>
        <v/>
      </c>
    </row>
    <row r="446" spans="7:20" ht="18" customHeight="1" x14ac:dyDescent="0.35">
      <c r="G446" t="str">
        <f ca="1">IFERROR(_xludf.aggregate(15,6,(ROW(BASE_PRODUTOS!$L$2:$L$1006)-ROW(BASE_PRODUTOS!$L$2)+1)/(BASE_PRODUTOS!$L$2:$L$1006&gt;0),ROWS($G$10:G446)),"")</f>
        <v/>
      </c>
      <c r="H446" s="9" t="str">
        <f ca="1">IF($G446="","",INDEX(BASE_PRODUTOS!$B$2:$B$1006,$G446))</f>
        <v/>
      </c>
      <c r="I446" s="9" t="str">
        <f ca="1">IF($G446="","",INDEX(BASE_PRODUTOS!$L$2:$L$1006,$G446))</f>
        <v/>
      </c>
      <c r="J446" s="9" t="str">
        <f ca="1">IF($G446="","",INDEX(BASE_PRODUTOS!$A$2:$A$1006,$G446))</f>
        <v/>
      </c>
      <c r="K446" s="9" t="str">
        <f ca="1">IF($G446="","",INDEX(BASE_PRODUTOS!$C$2:$C$1006,$G446))</f>
        <v/>
      </c>
      <c r="L446" s="9" t="str">
        <f ca="1">IF($G446="","",INDEX(BASE_PRODUTOS!$E$2:$E$1006,$G446))</f>
        <v/>
      </c>
      <c r="M446" s="9" t="str">
        <f ca="1">IF($G446="","",INDEX(BASE_PRODUTOS!$F$2:$F$1006,$G446))</f>
        <v/>
      </c>
      <c r="N446" s="9" t="str">
        <f ca="1">IF($G446="","",INDEX(BASE_PRODUTOS!$G$2:$G$1006,$G446))</f>
        <v/>
      </c>
      <c r="O446" s="9" t="str">
        <f ca="1">IF($G446="","",INDEX(BASE_PRODUTOS!$H$2:$H$1006,$G446))</f>
        <v/>
      </c>
      <c r="P446" s="9" t="str">
        <f ca="1">IF($G446="","",INDEX(BASE_PRODUTOS!$I$2:$I$1006,$G446))</f>
        <v/>
      </c>
      <c r="Q446" s="9" t="str">
        <f ca="1">IF($G446="","",INDEX(BASE_PRODUTOS!$J$2:$J$1006,$G446))</f>
        <v/>
      </c>
      <c r="R446" s="9" t="str">
        <f ca="1">IF($G446="","",INDEX(BASE_PRODUTOS!$M$2:$M$1006,$G446))</f>
        <v/>
      </c>
      <c r="S446" s="9" t="str">
        <f ca="1">IF($G446="","",INDEX(BASE_PRODUTOS!$N$2:$N$1006,$G446))</f>
        <v/>
      </c>
      <c r="T446" s="9" t="str">
        <f ca="1">IF($G446="","",INDEX(BASE_PRODUTOS!$D$2:$D$1006,$G446))</f>
        <v/>
      </c>
    </row>
    <row r="447" spans="7:20" ht="18" customHeight="1" x14ac:dyDescent="0.35">
      <c r="G447" t="str">
        <f ca="1">IFERROR(_xludf.aggregate(15,6,(ROW(BASE_PRODUTOS!$L$2:$L$1006)-ROW(BASE_PRODUTOS!$L$2)+1)/(BASE_PRODUTOS!$L$2:$L$1006&gt;0),ROWS($G$10:G447)),"")</f>
        <v/>
      </c>
      <c r="H447" s="9" t="str">
        <f ca="1">IF($G447="","",INDEX(BASE_PRODUTOS!$B$2:$B$1006,$G447))</f>
        <v/>
      </c>
      <c r="I447" s="9" t="str">
        <f ca="1">IF($G447="","",INDEX(BASE_PRODUTOS!$L$2:$L$1006,$G447))</f>
        <v/>
      </c>
      <c r="J447" s="9" t="str">
        <f ca="1">IF($G447="","",INDEX(BASE_PRODUTOS!$A$2:$A$1006,$G447))</f>
        <v/>
      </c>
      <c r="K447" s="9" t="str">
        <f ca="1">IF($G447="","",INDEX(BASE_PRODUTOS!$C$2:$C$1006,$G447))</f>
        <v/>
      </c>
      <c r="L447" s="9" t="str">
        <f ca="1">IF($G447="","",INDEX(BASE_PRODUTOS!$E$2:$E$1006,$G447))</f>
        <v/>
      </c>
      <c r="M447" s="9" t="str">
        <f ca="1">IF($G447="","",INDEX(BASE_PRODUTOS!$F$2:$F$1006,$G447))</f>
        <v/>
      </c>
      <c r="N447" s="9" t="str">
        <f ca="1">IF($G447="","",INDEX(BASE_PRODUTOS!$G$2:$G$1006,$G447))</f>
        <v/>
      </c>
      <c r="O447" s="9" t="str">
        <f ca="1">IF($G447="","",INDEX(BASE_PRODUTOS!$H$2:$H$1006,$G447))</f>
        <v/>
      </c>
      <c r="P447" s="9" t="str">
        <f ca="1">IF($G447="","",INDEX(BASE_PRODUTOS!$I$2:$I$1006,$G447))</f>
        <v/>
      </c>
      <c r="Q447" s="9" t="str">
        <f ca="1">IF($G447="","",INDEX(BASE_PRODUTOS!$J$2:$J$1006,$G447))</f>
        <v/>
      </c>
      <c r="R447" s="9" t="str">
        <f ca="1">IF($G447="","",INDEX(BASE_PRODUTOS!$M$2:$M$1006,$G447))</f>
        <v/>
      </c>
      <c r="S447" s="9" t="str">
        <f ca="1">IF($G447="","",INDEX(BASE_PRODUTOS!$N$2:$N$1006,$G447))</f>
        <v/>
      </c>
      <c r="T447" s="9" t="str">
        <f ca="1">IF($G447="","",INDEX(BASE_PRODUTOS!$D$2:$D$1006,$G447))</f>
        <v/>
      </c>
    </row>
    <row r="448" spans="7:20" ht="18" customHeight="1" x14ac:dyDescent="0.35">
      <c r="G448" t="str">
        <f ca="1">IFERROR(_xludf.aggregate(15,6,(ROW(BASE_PRODUTOS!$L$2:$L$1006)-ROW(BASE_PRODUTOS!$L$2)+1)/(BASE_PRODUTOS!$L$2:$L$1006&gt;0),ROWS($G$10:G448)),"")</f>
        <v/>
      </c>
      <c r="H448" s="9" t="str">
        <f ca="1">IF($G448="","",INDEX(BASE_PRODUTOS!$B$2:$B$1006,$G448))</f>
        <v/>
      </c>
      <c r="I448" s="9" t="str">
        <f ca="1">IF($G448="","",INDEX(BASE_PRODUTOS!$L$2:$L$1006,$G448))</f>
        <v/>
      </c>
      <c r="J448" s="9" t="str">
        <f ca="1">IF($G448="","",INDEX(BASE_PRODUTOS!$A$2:$A$1006,$G448))</f>
        <v/>
      </c>
      <c r="K448" s="9" t="str">
        <f ca="1">IF($G448="","",INDEX(BASE_PRODUTOS!$C$2:$C$1006,$G448))</f>
        <v/>
      </c>
      <c r="L448" s="9" t="str">
        <f ca="1">IF($G448="","",INDEX(BASE_PRODUTOS!$E$2:$E$1006,$G448))</f>
        <v/>
      </c>
      <c r="M448" s="9" t="str">
        <f ca="1">IF($G448="","",INDEX(BASE_PRODUTOS!$F$2:$F$1006,$G448))</f>
        <v/>
      </c>
      <c r="N448" s="9" t="str">
        <f ca="1">IF($G448="","",INDEX(BASE_PRODUTOS!$G$2:$G$1006,$G448))</f>
        <v/>
      </c>
      <c r="O448" s="9" t="str">
        <f ca="1">IF($G448="","",INDEX(BASE_PRODUTOS!$H$2:$H$1006,$G448))</f>
        <v/>
      </c>
      <c r="P448" s="9" t="str">
        <f ca="1">IF($G448="","",INDEX(BASE_PRODUTOS!$I$2:$I$1006,$G448))</f>
        <v/>
      </c>
      <c r="Q448" s="9" t="str">
        <f ca="1">IF($G448="","",INDEX(BASE_PRODUTOS!$J$2:$J$1006,$G448))</f>
        <v/>
      </c>
      <c r="R448" s="9" t="str">
        <f ca="1">IF($G448="","",INDEX(BASE_PRODUTOS!$M$2:$M$1006,$G448))</f>
        <v/>
      </c>
      <c r="S448" s="9" t="str">
        <f ca="1">IF($G448="","",INDEX(BASE_PRODUTOS!$N$2:$N$1006,$G448))</f>
        <v/>
      </c>
      <c r="T448" s="9" t="str">
        <f ca="1">IF($G448="","",INDEX(BASE_PRODUTOS!$D$2:$D$1006,$G448))</f>
        <v/>
      </c>
    </row>
    <row r="449" spans="7:20" ht="18" customHeight="1" x14ac:dyDescent="0.35">
      <c r="G449" t="str">
        <f ca="1">IFERROR(_xludf.aggregate(15,6,(ROW(BASE_PRODUTOS!$L$2:$L$1006)-ROW(BASE_PRODUTOS!$L$2)+1)/(BASE_PRODUTOS!$L$2:$L$1006&gt;0),ROWS($G$10:G449)),"")</f>
        <v/>
      </c>
      <c r="H449" s="9" t="str">
        <f ca="1">IF($G449="","",INDEX(BASE_PRODUTOS!$B$2:$B$1006,$G449))</f>
        <v/>
      </c>
      <c r="I449" s="9" t="str">
        <f ca="1">IF($G449="","",INDEX(BASE_PRODUTOS!$L$2:$L$1006,$G449))</f>
        <v/>
      </c>
      <c r="J449" s="9" t="str">
        <f ca="1">IF($G449="","",INDEX(BASE_PRODUTOS!$A$2:$A$1006,$G449))</f>
        <v/>
      </c>
      <c r="K449" s="9" t="str">
        <f ca="1">IF($G449="","",INDEX(BASE_PRODUTOS!$C$2:$C$1006,$G449))</f>
        <v/>
      </c>
      <c r="L449" s="9" t="str">
        <f ca="1">IF($G449="","",INDEX(BASE_PRODUTOS!$E$2:$E$1006,$G449))</f>
        <v/>
      </c>
      <c r="M449" s="9" t="str">
        <f ca="1">IF($G449="","",INDEX(BASE_PRODUTOS!$F$2:$F$1006,$G449))</f>
        <v/>
      </c>
      <c r="N449" s="9" t="str">
        <f ca="1">IF($G449="","",INDEX(BASE_PRODUTOS!$G$2:$G$1006,$G449))</f>
        <v/>
      </c>
      <c r="O449" s="9" t="str">
        <f ca="1">IF($G449="","",INDEX(BASE_PRODUTOS!$H$2:$H$1006,$G449))</f>
        <v/>
      </c>
      <c r="P449" s="9" t="str">
        <f ca="1">IF($G449="","",INDEX(BASE_PRODUTOS!$I$2:$I$1006,$G449))</f>
        <v/>
      </c>
      <c r="Q449" s="9" t="str">
        <f ca="1">IF($G449="","",INDEX(BASE_PRODUTOS!$J$2:$J$1006,$G449))</f>
        <v/>
      </c>
      <c r="R449" s="9" t="str">
        <f ca="1">IF($G449="","",INDEX(BASE_PRODUTOS!$M$2:$M$1006,$G449))</f>
        <v/>
      </c>
      <c r="S449" s="9" t="str">
        <f ca="1">IF($G449="","",INDEX(BASE_PRODUTOS!$N$2:$N$1006,$G449))</f>
        <v/>
      </c>
      <c r="T449" s="9" t="str">
        <f ca="1">IF($G449="","",INDEX(BASE_PRODUTOS!$D$2:$D$1006,$G449))</f>
        <v/>
      </c>
    </row>
    <row r="450" spans="7:20" ht="18" customHeight="1" x14ac:dyDescent="0.35">
      <c r="G450" t="str">
        <f ca="1">IFERROR(_xludf.aggregate(15,6,(ROW(BASE_PRODUTOS!$L$2:$L$1006)-ROW(BASE_PRODUTOS!$L$2)+1)/(BASE_PRODUTOS!$L$2:$L$1006&gt;0),ROWS($G$10:G450)),"")</f>
        <v/>
      </c>
      <c r="H450" s="9" t="str">
        <f ca="1">IF($G450="","",INDEX(BASE_PRODUTOS!$B$2:$B$1006,$G450))</f>
        <v/>
      </c>
      <c r="I450" s="9" t="str">
        <f ca="1">IF($G450="","",INDEX(BASE_PRODUTOS!$L$2:$L$1006,$G450))</f>
        <v/>
      </c>
      <c r="J450" s="9" t="str">
        <f ca="1">IF($G450="","",INDEX(BASE_PRODUTOS!$A$2:$A$1006,$G450))</f>
        <v/>
      </c>
      <c r="K450" s="9" t="str">
        <f ca="1">IF($G450="","",INDEX(BASE_PRODUTOS!$C$2:$C$1006,$G450))</f>
        <v/>
      </c>
      <c r="L450" s="9" t="str">
        <f ca="1">IF($G450="","",INDEX(BASE_PRODUTOS!$E$2:$E$1006,$G450))</f>
        <v/>
      </c>
      <c r="M450" s="9" t="str">
        <f ca="1">IF($G450="","",INDEX(BASE_PRODUTOS!$F$2:$F$1006,$G450))</f>
        <v/>
      </c>
      <c r="N450" s="9" t="str">
        <f ca="1">IF($G450="","",INDEX(BASE_PRODUTOS!$G$2:$G$1006,$G450))</f>
        <v/>
      </c>
      <c r="O450" s="9" t="str">
        <f ca="1">IF($G450="","",INDEX(BASE_PRODUTOS!$H$2:$H$1006,$G450))</f>
        <v/>
      </c>
      <c r="P450" s="9" t="str">
        <f ca="1">IF($G450="","",INDEX(BASE_PRODUTOS!$I$2:$I$1006,$G450))</f>
        <v/>
      </c>
      <c r="Q450" s="9" t="str">
        <f ca="1">IF($G450="","",INDEX(BASE_PRODUTOS!$J$2:$J$1006,$G450))</f>
        <v/>
      </c>
      <c r="R450" s="9" t="str">
        <f ca="1">IF($G450="","",INDEX(BASE_PRODUTOS!$M$2:$M$1006,$G450))</f>
        <v/>
      </c>
      <c r="S450" s="9" t="str">
        <f ca="1">IF($G450="","",INDEX(BASE_PRODUTOS!$N$2:$N$1006,$G450))</f>
        <v/>
      </c>
      <c r="T450" s="9" t="str">
        <f ca="1">IF($G450="","",INDEX(BASE_PRODUTOS!$D$2:$D$1006,$G450))</f>
        <v/>
      </c>
    </row>
    <row r="451" spans="7:20" ht="18" customHeight="1" x14ac:dyDescent="0.35">
      <c r="G451" t="str">
        <f ca="1">IFERROR(_xludf.aggregate(15,6,(ROW(BASE_PRODUTOS!$L$2:$L$1006)-ROW(BASE_PRODUTOS!$L$2)+1)/(BASE_PRODUTOS!$L$2:$L$1006&gt;0),ROWS($G$10:G451)),"")</f>
        <v/>
      </c>
      <c r="H451" s="9" t="str">
        <f ca="1">IF($G451="","",INDEX(BASE_PRODUTOS!$B$2:$B$1006,$G451))</f>
        <v/>
      </c>
      <c r="I451" s="9" t="str">
        <f ca="1">IF($G451="","",INDEX(BASE_PRODUTOS!$L$2:$L$1006,$G451))</f>
        <v/>
      </c>
      <c r="J451" s="9" t="str">
        <f ca="1">IF($G451="","",INDEX(BASE_PRODUTOS!$A$2:$A$1006,$G451))</f>
        <v/>
      </c>
      <c r="K451" s="9" t="str">
        <f ca="1">IF($G451="","",INDEX(BASE_PRODUTOS!$C$2:$C$1006,$G451))</f>
        <v/>
      </c>
      <c r="L451" s="9" t="str">
        <f ca="1">IF($G451="","",INDEX(BASE_PRODUTOS!$E$2:$E$1006,$G451))</f>
        <v/>
      </c>
      <c r="M451" s="9" t="str">
        <f ca="1">IF($G451="","",INDEX(BASE_PRODUTOS!$F$2:$F$1006,$G451))</f>
        <v/>
      </c>
      <c r="N451" s="9" t="str">
        <f ca="1">IF($G451="","",INDEX(BASE_PRODUTOS!$G$2:$G$1006,$G451))</f>
        <v/>
      </c>
      <c r="O451" s="9" t="str">
        <f ca="1">IF($G451="","",INDEX(BASE_PRODUTOS!$H$2:$H$1006,$G451))</f>
        <v/>
      </c>
      <c r="P451" s="9" t="str">
        <f ca="1">IF($G451="","",INDEX(BASE_PRODUTOS!$I$2:$I$1006,$G451))</f>
        <v/>
      </c>
      <c r="Q451" s="9" t="str">
        <f ca="1">IF($G451="","",INDEX(BASE_PRODUTOS!$J$2:$J$1006,$G451))</f>
        <v/>
      </c>
      <c r="R451" s="9" t="str">
        <f ca="1">IF($G451="","",INDEX(BASE_PRODUTOS!$M$2:$M$1006,$G451))</f>
        <v/>
      </c>
      <c r="S451" s="9" t="str">
        <f ca="1">IF($G451="","",INDEX(BASE_PRODUTOS!$N$2:$N$1006,$G451))</f>
        <v/>
      </c>
      <c r="T451" s="9" t="str">
        <f ca="1">IF($G451="","",INDEX(BASE_PRODUTOS!$D$2:$D$1006,$G451))</f>
        <v/>
      </c>
    </row>
    <row r="452" spans="7:20" ht="18" customHeight="1" x14ac:dyDescent="0.35">
      <c r="G452" t="str">
        <f ca="1">IFERROR(_xludf.aggregate(15,6,(ROW(BASE_PRODUTOS!$L$2:$L$1006)-ROW(BASE_PRODUTOS!$L$2)+1)/(BASE_PRODUTOS!$L$2:$L$1006&gt;0),ROWS($G$10:G452)),"")</f>
        <v/>
      </c>
      <c r="H452" s="9" t="str">
        <f ca="1">IF($G452="","",INDEX(BASE_PRODUTOS!$B$2:$B$1006,$G452))</f>
        <v/>
      </c>
      <c r="I452" s="9" t="str">
        <f ca="1">IF($G452="","",INDEX(BASE_PRODUTOS!$L$2:$L$1006,$G452))</f>
        <v/>
      </c>
      <c r="J452" s="9" t="str">
        <f ca="1">IF($G452="","",INDEX(BASE_PRODUTOS!$A$2:$A$1006,$G452))</f>
        <v/>
      </c>
      <c r="K452" s="9" t="str">
        <f ca="1">IF($G452="","",INDEX(BASE_PRODUTOS!$C$2:$C$1006,$G452))</f>
        <v/>
      </c>
      <c r="L452" s="9" t="str">
        <f ca="1">IF($G452="","",INDEX(BASE_PRODUTOS!$E$2:$E$1006,$G452))</f>
        <v/>
      </c>
      <c r="M452" s="9" t="str">
        <f ca="1">IF($G452="","",INDEX(BASE_PRODUTOS!$F$2:$F$1006,$G452))</f>
        <v/>
      </c>
      <c r="N452" s="9" t="str">
        <f ca="1">IF($G452="","",INDEX(BASE_PRODUTOS!$G$2:$G$1006,$G452))</f>
        <v/>
      </c>
      <c r="O452" s="9" t="str">
        <f ca="1">IF($G452="","",INDEX(BASE_PRODUTOS!$H$2:$H$1006,$G452))</f>
        <v/>
      </c>
      <c r="P452" s="9" t="str">
        <f ca="1">IF($G452="","",INDEX(BASE_PRODUTOS!$I$2:$I$1006,$G452))</f>
        <v/>
      </c>
      <c r="Q452" s="9" t="str">
        <f ca="1">IF($G452="","",INDEX(BASE_PRODUTOS!$J$2:$J$1006,$G452))</f>
        <v/>
      </c>
      <c r="R452" s="9" t="str">
        <f ca="1">IF($G452="","",INDEX(BASE_PRODUTOS!$M$2:$M$1006,$G452))</f>
        <v/>
      </c>
      <c r="S452" s="9" t="str">
        <f ca="1">IF($G452="","",INDEX(BASE_PRODUTOS!$N$2:$N$1006,$G452))</f>
        <v/>
      </c>
      <c r="T452" s="9" t="str">
        <f ca="1">IF($G452="","",INDEX(BASE_PRODUTOS!$D$2:$D$1006,$G452))</f>
        <v/>
      </c>
    </row>
    <row r="453" spans="7:20" ht="18" customHeight="1" x14ac:dyDescent="0.35">
      <c r="G453" t="str">
        <f ca="1">IFERROR(_xludf.aggregate(15,6,(ROW(BASE_PRODUTOS!$L$2:$L$1006)-ROW(BASE_PRODUTOS!$L$2)+1)/(BASE_PRODUTOS!$L$2:$L$1006&gt;0),ROWS($G$10:G453)),"")</f>
        <v/>
      </c>
      <c r="H453" s="9" t="str">
        <f ca="1">IF($G453="","",INDEX(BASE_PRODUTOS!$B$2:$B$1006,$G453))</f>
        <v/>
      </c>
      <c r="I453" s="9" t="str">
        <f ca="1">IF($G453="","",INDEX(BASE_PRODUTOS!$L$2:$L$1006,$G453))</f>
        <v/>
      </c>
      <c r="J453" s="9" t="str">
        <f ca="1">IF($G453="","",INDEX(BASE_PRODUTOS!$A$2:$A$1006,$G453))</f>
        <v/>
      </c>
      <c r="K453" s="9" t="str">
        <f ca="1">IF($G453="","",INDEX(BASE_PRODUTOS!$C$2:$C$1006,$G453))</f>
        <v/>
      </c>
      <c r="L453" s="9" t="str">
        <f ca="1">IF($G453="","",INDEX(BASE_PRODUTOS!$E$2:$E$1006,$G453))</f>
        <v/>
      </c>
      <c r="M453" s="9" t="str">
        <f ca="1">IF($G453="","",INDEX(BASE_PRODUTOS!$F$2:$F$1006,$G453))</f>
        <v/>
      </c>
      <c r="N453" s="9" t="str">
        <f ca="1">IF($G453="","",INDEX(BASE_PRODUTOS!$G$2:$G$1006,$G453))</f>
        <v/>
      </c>
      <c r="O453" s="9" t="str">
        <f ca="1">IF($G453="","",INDEX(BASE_PRODUTOS!$H$2:$H$1006,$G453))</f>
        <v/>
      </c>
      <c r="P453" s="9" t="str">
        <f ca="1">IF($G453="","",INDEX(BASE_PRODUTOS!$I$2:$I$1006,$G453))</f>
        <v/>
      </c>
      <c r="Q453" s="9" t="str">
        <f ca="1">IF($G453="","",INDEX(BASE_PRODUTOS!$J$2:$J$1006,$G453))</f>
        <v/>
      </c>
      <c r="R453" s="9" t="str">
        <f ca="1">IF($G453="","",INDEX(BASE_PRODUTOS!$M$2:$M$1006,$G453))</f>
        <v/>
      </c>
      <c r="S453" s="9" t="str">
        <f ca="1">IF($G453="","",INDEX(BASE_PRODUTOS!$N$2:$N$1006,$G453))</f>
        <v/>
      </c>
      <c r="T453" s="9" t="str">
        <f ca="1">IF($G453="","",INDEX(BASE_PRODUTOS!$D$2:$D$1006,$G453))</f>
        <v/>
      </c>
    </row>
    <row r="454" spans="7:20" ht="18" customHeight="1" x14ac:dyDescent="0.35">
      <c r="G454" t="str">
        <f ca="1">IFERROR(_xludf.aggregate(15,6,(ROW(BASE_PRODUTOS!$L$2:$L$1006)-ROW(BASE_PRODUTOS!$L$2)+1)/(BASE_PRODUTOS!$L$2:$L$1006&gt;0),ROWS($G$10:G454)),"")</f>
        <v/>
      </c>
      <c r="H454" s="9" t="str">
        <f ca="1">IF($G454="","",INDEX(BASE_PRODUTOS!$B$2:$B$1006,$G454))</f>
        <v/>
      </c>
      <c r="I454" s="9" t="str">
        <f ca="1">IF($G454="","",INDEX(BASE_PRODUTOS!$L$2:$L$1006,$G454))</f>
        <v/>
      </c>
      <c r="J454" s="9" t="str">
        <f ca="1">IF($G454="","",INDEX(BASE_PRODUTOS!$A$2:$A$1006,$G454))</f>
        <v/>
      </c>
      <c r="K454" s="9" t="str">
        <f ca="1">IF($G454="","",INDEX(BASE_PRODUTOS!$C$2:$C$1006,$G454))</f>
        <v/>
      </c>
      <c r="L454" s="9" t="str">
        <f ca="1">IF($G454="","",INDEX(BASE_PRODUTOS!$E$2:$E$1006,$G454))</f>
        <v/>
      </c>
      <c r="M454" s="9" t="str">
        <f ca="1">IF($G454="","",INDEX(BASE_PRODUTOS!$F$2:$F$1006,$G454))</f>
        <v/>
      </c>
      <c r="N454" s="9" t="str">
        <f ca="1">IF($G454="","",INDEX(BASE_PRODUTOS!$G$2:$G$1006,$G454))</f>
        <v/>
      </c>
      <c r="O454" s="9" t="str">
        <f ca="1">IF($G454="","",INDEX(BASE_PRODUTOS!$H$2:$H$1006,$G454))</f>
        <v/>
      </c>
      <c r="P454" s="9" t="str">
        <f ca="1">IF($G454="","",INDEX(BASE_PRODUTOS!$I$2:$I$1006,$G454))</f>
        <v/>
      </c>
      <c r="Q454" s="9" t="str">
        <f ca="1">IF($G454="","",INDEX(BASE_PRODUTOS!$J$2:$J$1006,$G454))</f>
        <v/>
      </c>
      <c r="R454" s="9" t="str">
        <f ca="1">IF($G454="","",INDEX(BASE_PRODUTOS!$M$2:$M$1006,$G454))</f>
        <v/>
      </c>
      <c r="S454" s="9" t="str">
        <f ca="1">IF($G454="","",INDEX(BASE_PRODUTOS!$N$2:$N$1006,$G454))</f>
        <v/>
      </c>
      <c r="T454" s="9" t="str">
        <f ca="1">IF($G454="","",INDEX(BASE_PRODUTOS!$D$2:$D$1006,$G454))</f>
        <v/>
      </c>
    </row>
    <row r="455" spans="7:20" ht="18" customHeight="1" x14ac:dyDescent="0.35">
      <c r="G455" t="str">
        <f ca="1">IFERROR(_xludf.aggregate(15,6,(ROW(BASE_PRODUTOS!$L$2:$L$1006)-ROW(BASE_PRODUTOS!$L$2)+1)/(BASE_PRODUTOS!$L$2:$L$1006&gt;0),ROWS($G$10:G455)),"")</f>
        <v/>
      </c>
      <c r="H455" s="9" t="str">
        <f ca="1">IF($G455="","",INDEX(BASE_PRODUTOS!$B$2:$B$1006,$G455))</f>
        <v/>
      </c>
      <c r="I455" s="9" t="str">
        <f ca="1">IF($G455="","",INDEX(BASE_PRODUTOS!$L$2:$L$1006,$G455))</f>
        <v/>
      </c>
      <c r="J455" s="9" t="str">
        <f ca="1">IF($G455="","",INDEX(BASE_PRODUTOS!$A$2:$A$1006,$G455))</f>
        <v/>
      </c>
      <c r="K455" s="9" t="str">
        <f ca="1">IF($G455="","",INDEX(BASE_PRODUTOS!$C$2:$C$1006,$G455))</f>
        <v/>
      </c>
      <c r="L455" s="9" t="str">
        <f ca="1">IF($G455="","",INDEX(BASE_PRODUTOS!$E$2:$E$1006,$G455))</f>
        <v/>
      </c>
      <c r="M455" s="9" t="str">
        <f ca="1">IF($G455="","",INDEX(BASE_PRODUTOS!$F$2:$F$1006,$G455))</f>
        <v/>
      </c>
      <c r="N455" s="9" t="str">
        <f ca="1">IF($G455="","",INDEX(BASE_PRODUTOS!$G$2:$G$1006,$G455))</f>
        <v/>
      </c>
      <c r="O455" s="9" t="str">
        <f ca="1">IF($G455="","",INDEX(BASE_PRODUTOS!$H$2:$H$1006,$G455))</f>
        <v/>
      </c>
      <c r="P455" s="9" t="str">
        <f ca="1">IF($G455="","",INDEX(BASE_PRODUTOS!$I$2:$I$1006,$G455))</f>
        <v/>
      </c>
      <c r="Q455" s="9" t="str">
        <f ca="1">IF($G455="","",INDEX(BASE_PRODUTOS!$J$2:$J$1006,$G455))</f>
        <v/>
      </c>
      <c r="R455" s="9" t="str">
        <f ca="1">IF($G455="","",INDEX(BASE_PRODUTOS!$M$2:$M$1006,$G455))</f>
        <v/>
      </c>
      <c r="S455" s="9" t="str">
        <f ca="1">IF($G455="","",INDEX(BASE_PRODUTOS!$N$2:$N$1006,$G455))</f>
        <v/>
      </c>
      <c r="T455" s="9" t="str">
        <f ca="1">IF($G455="","",INDEX(BASE_PRODUTOS!$D$2:$D$1006,$G455))</f>
        <v/>
      </c>
    </row>
    <row r="456" spans="7:20" ht="18" customHeight="1" x14ac:dyDescent="0.35">
      <c r="G456" t="str">
        <f ca="1">IFERROR(_xludf.aggregate(15,6,(ROW(BASE_PRODUTOS!$L$2:$L$1006)-ROW(BASE_PRODUTOS!$L$2)+1)/(BASE_PRODUTOS!$L$2:$L$1006&gt;0),ROWS($G$10:G456)),"")</f>
        <v/>
      </c>
      <c r="H456" s="9" t="str">
        <f ca="1">IF($G456="","",INDEX(BASE_PRODUTOS!$B$2:$B$1006,$G456))</f>
        <v/>
      </c>
      <c r="I456" s="9" t="str">
        <f ca="1">IF($G456="","",INDEX(BASE_PRODUTOS!$L$2:$L$1006,$G456))</f>
        <v/>
      </c>
      <c r="J456" s="9" t="str">
        <f ca="1">IF($G456="","",INDEX(BASE_PRODUTOS!$A$2:$A$1006,$G456))</f>
        <v/>
      </c>
      <c r="K456" s="9" t="str">
        <f ca="1">IF($G456="","",INDEX(BASE_PRODUTOS!$C$2:$C$1006,$G456))</f>
        <v/>
      </c>
      <c r="L456" s="9" t="str">
        <f ca="1">IF($G456="","",INDEX(BASE_PRODUTOS!$E$2:$E$1006,$G456))</f>
        <v/>
      </c>
      <c r="M456" s="9" t="str">
        <f ca="1">IF($G456="","",INDEX(BASE_PRODUTOS!$F$2:$F$1006,$G456))</f>
        <v/>
      </c>
      <c r="N456" s="9" t="str">
        <f ca="1">IF($G456="","",INDEX(BASE_PRODUTOS!$G$2:$G$1006,$G456))</f>
        <v/>
      </c>
      <c r="O456" s="9" t="str">
        <f ca="1">IF($G456="","",INDEX(BASE_PRODUTOS!$H$2:$H$1006,$G456))</f>
        <v/>
      </c>
      <c r="P456" s="9" t="str">
        <f ca="1">IF($G456="","",INDEX(BASE_PRODUTOS!$I$2:$I$1006,$G456))</f>
        <v/>
      </c>
      <c r="Q456" s="9" t="str">
        <f ca="1">IF($G456="","",INDEX(BASE_PRODUTOS!$J$2:$J$1006,$G456))</f>
        <v/>
      </c>
      <c r="R456" s="9" t="str">
        <f ca="1">IF($G456="","",INDEX(BASE_PRODUTOS!$M$2:$M$1006,$G456))</f>
        <v/>
      </c>
      <c r="S456" s="9" t="str">
        <f ca="1">IF($G456="","",INDEX(BASE_PRODUTOS!$N$2:$N$1006,$G456))</f>
        <v/>
      </c>
      <c r="T456" s="9" t="str">
        <f ca="1">IF($G456="","",INDEX(BASE_PRODUTOS!$D$2:$D$1006,$G456))</f>
        <v/>
      </c>
    </row>
    <row r="457" spans="7:20" ht="18" customHeight="1" x14ac:dyDescent="0.35">
      <c r="G457" t="str">
        <f ca="1">IFERROR(_xludf.aggregate(15,6,(ROW(BASE_PRODUTOS!$L$2:$L$1006)-ROW(BASE_PRODUTOS!$L$2)+1)/(BASE_PRODUTOS!$L$2:$L$1006&gt;0),ROWS($G$10:G457)),"")</f>
        <v/>
      </c>
      <c r="H457" s="9" t="str">
        <f ca="1">IF($G457="","",INDEX(BASE_PRODUTOS!$B$2:$B$1006,$G457))</f>
        <v/>
      </c>
      <c r="I457" s="9" t="str">
        <f ca="1">IF($G457="","",INDEX(BASE_PRODUTOS!$L$2:$L$1006,$G457))</f>
        <v/>
      </c>
      <c r="J457" s="9" t="str">
        <f ca="1">IF($G457="","",INDEX(BASE_PRODUTOS!$A$2:$A$1006,$G457))</f>
        <v/>
      </c>
      <c r="K457" s="9" t="str">
        <f ca="1">IF($G457="","",INDEX(BASE_PRODUTOS!$C$2:$C$1006,$G457))</f>
        <v/>
      </c>
      <c r="L457" s="9" t="str">
        <f ca="1">IF($G457="","",INDEX(BASE_PRODUTOS!$E$2:$E$1006,$G457))</f>
        <v/>
      </c>
      <c r="M457" s="9" t="str">
        <f ca="1">IF($G457="","",INDEX(BASE_PRODUTOS!$F$2:$F$1006,$G457))</f>
        <v/>
      </c>
      <c r="N457" s="9" t="str">
        <f ca="1">IF($G457="","",INDEX(BASE_PRODUTOS!$G$2:$G$1006,$G457))</f>
        <v/>
      </c>
      <c r="O457" s="9" t="str">
        <f ca="1">IF($G457="","",INDEX(BASE_PRODUTOS!$H$2:$H$1006,$G457))</f>
        <v/>
      </c>
      <c r="P457" s="9" t="str">
        <f ca="1">IF($G457="","",INDEX(BASE_PRODUTOS!$I$2:$I$1006,$G457))</f>
        <v/>
      </c>
      <c r="Q457" s="9" t="str">
        <f ca="1">IF($G457="","",INDEX(BASE_PRODUTOS!$J$2:$J$1006,$G457))</f>
        <v/>
      </c>
      <c r="R457" s="9" t="str">
        <f ca="1">IF($G457="","",INDEX(BASE_PRODUTOS!$M$2:$M$1006,$G457))</f>
        <v/>
      </c>
      <c r="S457" s="9" t="str">
        <f ca="1">IF($G457="","",INDEX(BASE_PRODUTOS!$N$2:$N$1006,$G457))</f>
        <v/>
      </c>
      <c r="T457" s="9" t="str">
        <f ca="1">IF($G457="","",INDEX(BASE_PRODUTOS!$D$2:$D$1006,$G457))</f>
        <v/>
      </c>
    </row>
    <row r="458" spans="7:20" ht="18" customHeight="1" x14ac:dyDescent="0.35">
      <c r="G458" t="str">
        <f ca="1">IFERROR(_xludf.aggregate(15,6,(ROW(BASE_PRODUTOS!$L$2:$L$1006)-ROW(BASE_PRODUTOS!$L$2)+1)/(BASE_PRODUTOS!$L$2:$L$1006&gt;0),ROWS($G$10:G458)),"")</f>
        <v/>
      </c>
      <c r="H458" s="9" t="str">
        <f ca="1">IF($G458="","",INDEX(BASE_PRODUTOS!$B$2:$B$1006,$G458))</f>
        <v/>
      </c>
      <c r="I458" s="9" t="str">
        <f ca="1">IF($G458="","",INDEX(BASE_PRODUTOS!$L$2:$L$1006,$G458))</f>
        <v/>
      </c>
      <c r="J458" s="9" t="str">
        <f ca="1">IF($G458="","",INDEX(BASE_PRODUTOS!$A$2:$A$1006,$G458))</f>
        <v/>
      </c>
      <c r="K458" s="9" t="str">
        <f ca="1">IF($G458="","",INDEX(BASE_PRODUTOS!$C$2:$C$1006,$G458))</f>
        <v/>
      </c>
      <c r="L458" s="9" t="str">
        <f ca="1">IF($G458="","",INDEX(BASE_PRODUTOS!$E$2:$E$1006,$G458))</f>
        <v/>
      </c>
      <c r="M458" s="9" t="str">
        <f ca="1">IF($G458="","",INDEX(BASE_PRODUTOS!$F$2:$F$1006,$G458))</f>
        <v/>
      </c>
      <c r="N458" s="9" t="str">
        <f ca="1">IF($G458="","",INDEX(BASE_PRODUTOS!$G$2:$G$1006,$G458))</f>
        <v/>
      </c>
      <c r="O458" s="9" t="str">
        <f ca="1">IF($G458="","",INDEX(BASE_PRODUTOS!$H$2:$H$1006,$G458))</f>
        <v/>
      </c>
      <c r="P458" s="9" t="str">
        <f ca="1">IF($G458="","",INDEX(BASE_PRODUTOS!$I$2:$I$1006,$G458))</f>
        <v/>
      </c>
      <c r="Q458" s="9" t="str">
        <f ca="1">IF($G458="","",INDEX(BASE_PRODUTOS!$J$2:$J$1006,$G458))</f>
        <v/>
      </c>
      <c r="R458" s="9" t="str">
        <f ca="1">IF($G458="","",INDEX(BASE_PRODUTOS!$M$2:$M$1006,$G458))</f>
        <v/>
      </c>
      <c r="S458" s="9" t="str">
        <f ca="1">IF($G458="","",INDEX(BASE_PRODUTOS!$N$2:$N$1006,$G458))</f>
        <v/>
      </c>
      <c r="T458" s="9" t="str">
        <f ca="1">IF($G458="","",INDEX(BASE_PRODUTOS!$D$2:$D$1006,$G458))</f>
        <v/>
      </c>
    </row>
    <row r="459" spans="7:20" ht="18" customHeight="1" x14ac:dyDescent="0.35">
      <c r="G459" t="str">
        <f ca="1">IFERROR(_xludf.aggregate(15,6,(ROW(BASE_PRODUTOS!$L$2:$L$1006)-ROW(BASE_PRODUTOS!$L$2)+1)/(BASE_PRODUTOS!$L$2:$L$1006&gt;0),ROWS($G$10:G459)),"")</f>
        <v/>
      </c>
      <c r="H459" s="9" t="str">
        <f ca="1">IF($G459="","",INDEX(BASE_PRODUTOS!$B$2:$B$1006,$G459))</f>
        <v/>
      </c>
      <c r="I459" s="9" t="str">
        <f ca="1">IF($G459="","",INDEX(BASE_PRODUTOS!$L$2:$L$1006,$G459))</f>
        <v/>
      </c>
      <c r="J459" s="9" t="str">
        <f ca="1">IF($G459="","",INDEX(BASE_PRODUTOS!$A$2:$A$1006,$G459))</f>
        <v/>
      </c>
      <c r="K459" s="9" t="str">
        <f ca="1">IF($G459="","",INDEX(BASE_PRODUTOS!$C$2:$C$1006,$G459))</f>
        <v/>
      </c>
      <c r="L459" s="9" t="str">
        <f ca="1">IF($G459="","",INDEX(BASE_PRODUTOS!$E$2:$E$1006,$G459))</f>
        <v/>
      </c>
      <c r="M459" s="9" t="str">
        <f ca="1">IF($G459="","",INDEX(BASE_PRODUTOS!$F$2:$F$1006,$G459))</f>
        <v/>
      </c>
      <c r="N459" s="9" t="str">
        <f ca="1">IF($G459="","",INDEX(BASE_PRODUTOS!$G$2:$G$1006,$G459))</f>
        <v/>
      </c>
      <c r="O459" s="9" t="str">
        <f ca="1">IF($G459="","",INDEX(BASE_PRODUTOS!$H$2:$H$1006,$G459))</f>
        <v/>
      </c>
      <c r="P459" s="9" t="str">
        <f ca="1">IF($G459="","",INDEX(BASE_PRODUTOS!$I$2:$I$1006,$G459))</f>
        <v/>
      </c>
      <c r="Q459" s="9" t="str">
        <f ca="1">IF($G459="","",INDEX(BASE_PRODUTOS!$J$2:$J$1006,$G459))</f>
        <v/>
      </c>
      <c r="R459" s="9" t="str">
        <f ca="1">IF($G459="","",INDEX(BASE_PRODUTOS!$M$2:$M$1006,$G459))</f>
        <v/>
      </c>
      <c r="S459" s="9" t="str">
        <f ca="1">IF($G459="","",INDEX(BASE_PRODUTOS!$N$2:$N$1006,$G459))</f>
        <v/>
      </c>
      <c r="T459" s="9" t="str">
        <f ca="1">IF($G459="","",INDEX(BASE_PRODUTOS!$D$2:$D$1006,$G459))</f>
        <v/>
      </c>
    </row>
    <row r="460" spans="7:20" ht="18" customHeight="1" x14ac:dyDescent="0.35">
      <c r="G460" t="str">
        <f ca="1">IFERROR(_xludf.aggregate(15,6,(ROW(BASE_PRODUTOS!$L$2:$L$1006)-ROW(BASE_PRODUTOS!$L$2)+1)/(BASE_PRODUTOS!$L$2:$L$1006&gt;0),ROWS($G$10:G460)),"")</f>
        <v/>
      </c>
      <c r="H460" s="9" t="str">
        <f ca="1">IF($G460="","",INDEX(BASE_PRODUTOS!$B$2:$B$1006,$G460))</f>
        <v/>
      </c>
      <c r="I460" s="9" t="str">
        <f ca="1">IF($G460="","",INDEX(BASE_PRODUTOS!$L$2:$L$1006,$G460))</f>
        <v/>
      </c>
      <c r="J460" s="9" t="str">
        <f ca="1">IF($G460="","",INDEX(BASE_PRODUTOS!$A$2:$A$1006,$G460))</f>
        <v/>
      </c>
      <c r="K460" s="9" t="str">
        <f ca="1">IF($G460="","",INDEX(BASE_PRODUTOS!$C$2:$C$1006,$G460))</f>
        <v/>
      </c>
      <c r="L460" s="9" t="str">
        <f ca="1">IF($G460="","",INDEX(BASE_PRODUTOS!$E$2:$E$1006,$G460))</f>
        <v/>
      </c>
      <c r="M460" s="9" t="str">
        <f ca="1">IF($G460="","",INDEX(BASE_PRODUTOS!$F$2:$F$1006,$G460))</f>
        <v/>
      </c>
      <c r="N460" s="9" t="str">
        <f ca="1">IF($G460="","",INDEX(BASE_PRODUTOS!$G$2:$G$1006,$G460))</f>
        <v/>
      </c>
      <c r="O460" s="9" t="str">
        <f ca="1">IF($G460="","",INDEX(BASE_PRODUTOS!$H$2:$H$1006,$G460))</f>
        <v/>
      </c>
      <c r="P460" s="9" t="str">
        <f ca="1">IF($G460="","",INDEX(BASE_PRODUTOS!$I$2:$I$1006,$G460))</f>
        <v/>
      </c>
      <c r="Q460" s="9" t="str">
        <f ca="1">IF($G460="","",INDEX(BASE_PRODUTOS!$J$2:$J$1006,$G460))</f>
        <v/>
      </c>
      <c r="R460" s="9" t="str">
        <f ca="1">IF($G460="","",INDEX(BASE_PRODUTOS!$M$2:$M$1006,$G460))</f>
        <v/>
      </c>
      <c r="S460" s="9" t="str">
        <f ca="1">IF($G460="","",INDEX(BASE_PRODUTOS!$N$2:$N$1006,$G460))</f>
        <v/>
      </c>
      <c r="T460" s="9" t="str">
        <f ca="1">IF($G460="","",INDEX(BASE_PRODUTOS!$D$2:$D$1006,$G460))</f>
        <v/>
      </c>
    </row>
    <row r="461" spans="7:20" ht="18" customHeight="1" x14ac:dyDescent="0.35">
      <c r="G461" t="str">
        <f ca="1">IFERROR(_xludf.aggregate(15,6,(ROW(BASE_PRODUTOS!$L$2:$L$1006)-ROW(BASE_PRODUTOS!$L$2)+1)/(BASE_PRODUTOS!$L$2:$L$1006&gt;0),ROWS($G$10:G461)),"")</f>
        <v/>
      </c>
      <c r="H461" s="9" t="str">
        <f ca="1">IF($G461="","",INDEX(BASE_PRODUTOS!$B$2:$B$1006,$G461))</f>
        <v/>
      </c>
      <c r="I461" s="9" t="str">
        <f ca="1">IF($G461="","",INDEX(BASE_PRODUTOS!$L$2:$L$1006,$G461))</f>
        <v/>
      </c>
      <c r="J461" s="9" t="str">
        <f ca="1">IF($G461="","",INDEX(BASE_PRODUTOS!$A$2:$A$1006,$G461))</f>
        <v/>
      </c>
      <c r="K461" s="9" t="str">
        <f ca="1">IF($G461="","",INDEX(BASE_PRODUTOS!$C$2:$C$1006,$G461))</f>
        <v/>
      </c>
      <c r="L461" s="9" t="str">
        <f ca="1">IF($G461="","",INDEX(BASE_PRODUTOS!$E$2:$E$1006,$G461))</f>
        <v/>
      </c>
      <c r="M461" s="9" t="str">
        <f ca="1">IF($G461="","",INDEX(BASE_PRODUTOS!$F$2:$F$1006,$G461))</f>
        <v/>
      </c>
      <c r="N461" s="9" t="str">
        <f ca="1">IF($G461="","",INDEX(BASE_PRODUTOS!$G$2:$G$1006,$G461))</f>
        <v/>
      </c>
      <c r="O461" s="9" t="str">
        <f ca="1">IF($G461="","",INDEX(BASE_PRODUTOS!$H$2:$H$1006,$G461))</f>
        <v/>
      </c>
      <c r="P461" s="9" t="str">
        <f ca="1">IF($G461="","",INDEX(BASE_PRODUTOS!$I$2:$I$1006,$G461))</f>
        <v/>
      </c>
      <c r="Q461" s="9" t="str">
        <f ca="1">IF($G461="","",INDEX(BASE_PRODUTOS!$J$2:$J$1006,$G461))</f>
        <v/>
      </c>
      <c r="R461" s="9" t="str">
        <f ca="1">IF($G461="","",INDEX(BASE_PRODUTOS!$M$2:$M$1006,$G461))</f>
        <v/>
      </c>
      <c r="S461" s="9" t="str">
        <f ca="1">IF($G461="","",INDEX(BASE_PRODUTOS!$N$2:$N$1006,$G461))</f>
        <v/>
      </c>
      <c r="T461" s="9" t="str">
        <f ca="1">IF($G461="","",INDEX(BASE_PRODUTOS!$D$2:$D$1006,$G461))</f>
        <v/>
      </c>
    </row>
    <row r="462" spans="7:20" ht="18" customHeight="1" x14ac:dyDescent="0.35">
      <c r="G462" t="str">
        <f ca="1">IFERROR(_xludf.aggregate(15,6,(ROW(BASE_PRODUTOS!$L$2:$L$1006)-ROW(BASE_PRODUTOS!$L$2)+1)/(BASE_PRODUTOS!$L$2:$L$1006&gt;0),ROWS($G$10:G462)),"")</f>
        <v/>
      </c>
      <c r="H462" s="9" t="str">
        <f ca="1">IF($G462="","",INDEX(BASE_PRODUTOS!$B$2:$B$1006,$G462))</f>
        <v/>
      </c>
      <c r="I462" s="9" t="str">
        <f ca="1">IF($G462="","",INDEX(BASE_PRODUTOS!$L$2:$L$1006,$G462))</f>
        <v/>
      </c>
      <c r="J462" s="9" t="str">
        <f ca="1">IF($G462="","",INDEX(BASE_PRODUTOS!$A$2:$A$1006,$G462))</f>
        <v/>
      </c>
      <c r="K462" s="9" t="str">
        <f ca="1">IF($G462="","",INDEX(BASE_PRODUTOS!$C$2:$C$1006,$G462))</f>
        <v/>
      </c>
      <c r="L462" s="9" t="str">
        <f ca="1">IF($G462="","",INDEX(BASE_PRODUTOS!$E$2:$E$1006,$G462))</f>
        <v/>
      </c>
      <c r="M462" s="9" t="str">
        <f ca="1">IF($G462="","",INDEX(BASE_PRODUTOS!$F$2:$F$1006,$G462))</f>
        <v/>
      </c>
      <c r="N462" s="9" t="str">
        <f ca="1">IF($G462="","",INDEX(BASE_PRODUTOS!$G$2:$G$1006,$G462))</f>
        <v/>
      </c>
      <c r="O462" s="9" t="str">
        <f ca="1">IF($G462="","",INDEX(BASE_PRODUTOS!$H$2:$H$1006,$G462))</f>
        <v/>
      </c>
      <c r="P462" s="9" t="str">
        <f ca="1">IF($G462="","",INDEX(BASE_PRODUTOS!$I$2:$I$1006,$G462))</f>
        <v/>
      </c>
      <c r="Q462" s="9" t="str">
        <f ca="1">IF($G462="","",INDEX(BASE_PRODUTOS!$J$2:$J$1006,$G462))</f>
        <v/>
      </c>
      <c r="R462" s="9" t="str">
        <f ca="1">IF($G462="","",INDEX(BASE_PRODUTOS!$M$2:$M$1006,$G462))</f>
        <v/>
      </c>
      <c r="S462" s="9" t="str">
        <f ca="1">IF($G462="","",INDEX(BASE_PRODUTOS!$N$2:$N$1006,$G462))</f>
        <v/>
      </c>
      <c r="T462" s="9" t="str">
        <f ca="1">IF($G462="","",INDEX(BASE_PRODUTOS!$D$2:$D$1006,$G462))</f>
        <v/>
      </c>
    </row>
    <row r="463" spans="7:20" ht="18" customHeight="1" x14ac:dyDescent="0.35">
      <c r="G463" t="str">
        <f ca="1">IFERROR(_xludf.aggregate(15,6,(ROW(BASE_PRODUTOS!$L$2:$L$1006)-ROW(BASE_PRODUTOS!$L$2)+1)/(BASE_PRODUTOS!$L$2:$L$1006&gt;0),ROWS($G$10:G463)),"")</f>
        <v/>
      </c>
      <c r="H463" s="9" t="str">
        <f ca="1">IF($G463="","",INDEX(BASE_PRODUTOS!$B$2:$B$1006,$G463))</f>
        <v/>
      </c>
      <c r="I463" s="9" t="str">
        <f ca="1">IF($G463="","",INDEX(BASE_PRODUTOS!$L$2:$L$1006,$G463))</f>
        <v/>
      </c>
      <c r="J463" s="9" t="str">
        <f ca="1">IF($G463="","",INDEX(BASE_PRODUTOS!$A$2:$A$1006,$G463))</f>
        <v/>
      </c>
      <c r="K463" s="9" t="str">
        <f ca="1">IF($G463="","",INDEX(BASE_PRODUTOS!$C$2:$C$1006,$G463))</f>
        <v/>
      </c>
      <c r="L463" s="9" t="str">
        <f ca="1">IF($G463="","",INDEX(BASE_PRODUTOS!$E$2:$E$1006,$G463))</f>
        <v/>
      </c>
      <c r="M463" s="9" t="str">
        <f ca="1">IF($G463="","",INDEX(BASE_PRODUTOS!$F$2:$F$1006,$G463))</f>
        <v/>
      </c>
      <c r="N463" s="9" t="str">
        <f ca="1">IF($G463="","",INDEX(BASE_PRODUTOS!$G$2:$G$1006,$G463))</f>
        <v/>
      </c>
      <c r="O463" s="9" t="str">
        <f ca="1">IF($G463="","",INDEX(BASE_PRODUTOS!$H$2:$H$1006,$G463))</f>
        <v/>
      </c>
      <c r="P463" s="9" t="str">
        <f ca="1">IF($G463="","",INDEX(BASE_PRODUTOS!$I$2:$I$1006,$G463))</f>
        <v/>
      </c>
      <c r="Q463" s="9" t="str">
        <f ca="1">IF($G463="","",INDEX(BASE_PRODUTOS!$J$2:$J$1006,$G463))</f>
        <v/>
      </c>
      <c r="R463" s="9" t="str">
        <f ca="1">IF($G463="","",INDEX(BASE_PRODUTOS!$M$2:$M$1006,$G463))</f>
        <v/>
      </c>
      <c r="S463" s="9" t="str">
        <f ca="1">IF($G463="","",INDEX(BASE_PRODUTOS!$N$2:$N$1006,$G463))</f>
        <v/>
      </c>
      <c r="T463" s="9" t="str">
        <f ca="1">IF($G463="","",INDEX(BASE_PRODUTOS!$D$2:$D$1006,$G463))</f>
        <v/>
      </c>
    </row>
    <row r="464" spans="7:20" ht="18" customHeight="1" x14ac:dyDescent="0.35">
      <c r="G464" t="str">
        <f ca="1">IFERROR(_xludf.aggregate(15,6,(ROW(BASE_PRODUTOS!$L$2:$L$1006)-ROW(BASE_PRODUTOS!$L$2)+1)/(BASE_PRODUTOS!$L$2:$L$1006&gt;0),ROWS($G$10:G464)),"")</f>
        <v/>
      </c>
      <c r="H464" s="9" t="str">
        <f ca="1">IF($G464="","",INDEX(BASE_PRODUTOS!$B$2:$B$1006,$G464))</f>
        <v/>
      </c>
      <c r="I464" s="9" t="str">
        <f ca="1">IF($G464="","",INDEX(BASE_PRODUTOS!$L$2:$L$1006,$G464))</f>
        <v/>
      </c>
      <c r="J464" s="9" t="str">
        <f ca="1">IF($G464="","",INDEX(BASE_PRODUTOS!$A$2:$A$1006,$G464))</f>
        <v/>
      </c>
      <c r="K464" s="9" t="str">
        <f ca="1">IF($G464="","",INDEX(BASE_PRODUTOS!$C$2:$C$1006,$G464))</f>
        <v/>
      </c>
      <c r="L464" s="9" t="str">
        <f ca="1">IF($G464="","",INDEX(BASE_PRODUTOS!$E$2:$E$1006,$G464))</f>
        <v/>
      </c>
      <c r="M464" s="9" t="str">
        <f ca="1">IF($G464="","",INDEX(BASE_PRODUTOS!$F$2:$F$1006,$G464))</f>
        <v/>
      </c>
      <c r="N464" s="9" t="str">
        <f ca="1">IF($G464="","",INDEX(BASE_PRODUTOS!$G$2:$G$1006,$G464))</f>
        <v/>
      </c>
      <c r="O464" s="9" t="str">
        <f ca="1">IF($G464="","",INDEX(BASE_PRODUTOS!$H$2:$H$1006,$G464))</f>
        <v/>
      </c>
      <c r="P464" s="9" t="str">
        <f ca="1">IF($G464="","",INDEX(BASE_PRODUTOS!$I$2:$I$1006,$G464))</f>
        <v/>
      </c>
      <c r="Q464" s="9" t="str">
        <f ca="1">IF($G464="","",INDEX(BASE_PRODUTOS!$J$2:$J$1006,$G464))</f>
        <v/>
      </c>
      <c r="R464" s="9" t="str">
        <f ca="1">IF($G464="","",INDEX(BASE_PRODUTOS!$M$2:$M$1006,$G464))</f>
        <v/>
      </c>
      <c r="S464" s="9" t="str">
        <f ca="1">IF($G464="","",INDEX(BASE_PRODUTOS!$N$2:$N$1006,$G464))</f>
        <v/>
      </c>
      <c r="T464" s="9" t="str">
        <f ca="1">IF($G464="","",INDEX(BASE_PRODUTOS!$D$2:$D$1006,$G464))</f>
        <v/>
      </c>
    </row>
    <row r="465" spans="7:20" ht="18" customHeight="1" x14ac:dyDescent="0.35">
      <c r="G465" t="str">
        <f ca="1">IFERROR(_xludf.aggregate(15,6,(ROW(BASE_PRODUTOS!$L$2:$L$1006)-ROW(BASE_PRODUTOS!$L$2)+1)/(BASE_PRODUTOS!$L$2:$L$1006&gt;0),ROWS($G$10:G465)),"")</f>
        <v/>
      </c>
      <c r="H465" s="9" t="str">
        <f ca="1">IF($G465="","",INDEX(BASE_PRODUTOS!$B$2:$B$1006,$G465))</f>
        <v/>
      </c>
      <c r="I465" s="9" t="str">
        <f ca="1">IF($G465="","",INDEX(BASE_PRODUTOS!$L$2:$L$1006,$G465))</f>
        <v/>
      </c>
      <c r="J465" s="9" t="str">
        <f ca="1">IF($G465="","",INDEX(BASE_PRODUTOS!$A$2:$A$1006,$G465))</f>
        <v/>
      </c>
      <c r="K465" s="9" t="str">
        <f ca="1">IF($G465="","",INDEX(BASE_PRODUTOS!$C$2:$C$1006,$G465))</f>
        <v/>
      </c>
      <c r="L465" s="9" t="str">
        <f ca="1">IF($G465="","",INDEX(BASE_PRODUTOS!$E$2:$E$1006,$G465))</f>
        <v/>
      </c>
      <c r="M465" s="9" t="str">
        <f ca="1">IF($G465="","",INDEX(BASE_PRODUTOS!$F$2:$F$1006,$G465))</f>
        <v/>
      </c>
      <c r="N465" s="9" t="str">
        <f ca="1">IF($G465="","",INDEX(BASE_PRODUTOS!$G$2:$G$1006,$G465))</f>
        <v/>
      </c>
      <c r="O465" s="9" t="str">
        <f ca="1">IF($G465="","",INDEX(BASE_PRODUTOS!$H$2:$H$1006,$G465))</f>
        <v/>
      </c>
      <c r="P465" s="9" t="str">
        <f ca="1">IF($G465="","",INDEX(BASE_PRODUTOS!$I$2:$I$1006,$G465))</f>
        <v/>
      </c>
      <c r="Q465" s="9" t="str">
        <f ca="1">IF($G465="","",INDEX(BASE_PRODUTOS!$J$2:$J$1006,$G465))</f>
        <v/>
      </c>
      <c r="R465" s="9" t="str">
        <f ca="1">IF($G465="","",INDEX(BASE_PRODUTOS!$M$2:$M$1006,$G465))</f>
        <v/>
      </c>
      <c r="S465" s="9" t="str">
        <f ca="1">IF($G465="","",INDEX(BASE_PRODUTOS!$N$2:$N$1006,$G465))</f>
        <v/>
      </c>
      <c r="T465" s="9" t="str">
        <f ca="1">IF($G465="","",INDEX(BASE_PRODUTOS!$D$2:$D$1006,$G465))</f>
        <v/>
      </c>
    </row>
    <row r="466" spans="7:20" ht="18" customHeight="1" x14ac:dyDescent="0.35">
      <c r="G466" t="str">
        <f ca="1">IFERROR(_xludf.aggregate(15,6,(ROW(BASE_PRODUTOS!$L$2:$L$1006)-ROW(BASE_PRODUTOS!$L$2)+1)/(BASE_PRODUTOS!$L$2:$L$1006&gt;0),ROWS($G$10:G466)),"")</f>
        <v/>
      </c>
      <c r="H466" s="9" t="str">
        <f ca="1">IF($G466="","",INDEX(BASE_PRODUTOS!$B$2:$B$1006,$G466))</f>
        <v/>
      </c>
      <c r="I466" s="9" t="str">
        <f ca="1">IF($G466="","",INDEX(BASE_PRODUTOS!$L$2:$L$1006,$G466))</f>
        <v/>
      </c>
      <c r="J466" s="9" t="str">
        <f ca="1">IF($G466="","",INDEX(BASE_PRODUTOS!$A$2:$A$1006,$G466))</f>
        <v/>
      </c>
      <c r="K466" s="9" t="str">
        <f ca="1">IF($G466="","",INDEX(BASE_PRODUTOS!$C$2:$C$1006,$G466))</f>
        <v/>
      </c>
      <c r="L466" s="9" t="str">
        <f ca="1">IF($G466="","",INDEX(BASE_PRODUTOS!$E$2:$E$1006,$G466))</f>
        <v/>
      </c>
      <c r="M466" s="9" t="str">
        <f ca="1">IF($G466="","",INDEX(BASE_PRODUTOS!$F$2:$F$1006,$G466))</f>
        <v/>
      </c>
      <c r="N466" s="9" t="str">
        <f ca="1">IF($G466="","",INDEX(BASE_PRODUTOS!$G$2:$G$1006,$G466))</f>
        <v/>
      </c>
      <c r="O466" s="9" t="str">
        <f ca="1">IF($G466="","",INDEX(BASE_PRODUTOS!$H$2:$H$1006,$G466))</f>
        <v/>
      </c>
      <c r="P466" s="9" t="str">
        <f ca="1">IF($G466="","",INDEX(BASE_PRODUTOS!$I$2:$I$1006,$G466))</f>
        <v/>
      </c>
      <c r="Q466" s="9" t="str">
        <f ca="1">IF($G466="","",INDEX(BASE_PRODUTOS!$J$2:$J$1006,$G466))</f>
        <v/>
      </c>
      <c r="R466" s="9" t="str">
        <f ca="1">IF($G466="","",INDEX(BASE_PRODUTOS!$M$2:$M$1006,$G466))</f>
        <v/>
      </c>
      <c r="S466" s="9" t="str">
        <f ca="1">IF($G466="","",INDEX(BASE_PRODUTOS!$N$2:$N$1006,$G466))</f>
        <v/>
      </c>
      <c r="T466" s="9" t="str">
        <f ca="1">IF($G466="","",INDEX(BASE_PRODUTOS!$D$2:$D$1006,$G466))</f>
        <v/>
      </c>
    </row>
    <row r="467" spans="7:20" ht="18" customHeight="1" x14ac:dyDescent="0.35">
      <c r="G467" t="str">
        <f ca="1">IFERROR(_xludf.aggregate(15,6,(ROW(BASE_PRODUTOS!$L$2:$L$1006)-ROW(BASE_PRODUTOS!$L$2)+1)/(BASE_PRODUTOS!$L$2:$L$1006&gt;0),ROWS($G$10:G467)),"")</f>
        <v/>
      </c>
      <c r="H467" s="9" t="str">
        <f ca="1">IF($G467="","",INDEX(BASE_PRODUTOS!$B$2:$B$1006,$G467))</f>
        <v/>
      </c>
      <c r="I467" s="9" t="str">
        <f ca="1">IF($G467="","",INDEX(BASE_PRODUTOS!$L$2:$L$1006,$G467))</f>
        <v/>
      </c>
      <c r="J467" s="9" t="str">
        <f ca="1">IF($G467="","",INDEX(BASE_PRODUTOS!$A$2:$A$1006,$G467))</f>
        <v/>
      </c>
      <c r="K467" s="9" t="str">
        <f ca="1">IF($G467="","",INDEX(BASE_PRODUTOS!$C$2:$C$1006,$G467))</f>
        <v/>
      </c>
      <c r="L467" s="9" t="str">
        <f ca="1">IF($G467="","",INDEX(BASE_PRODUTOS!$E$2:$E$1006,$G467))</f>
        <v/>
      </c>
      <c r="M467" s="9" t="str">
        <f ca="1">IF($G467="","",INDEX(BASE_PRODUTOS!$F$2:$F$1006,$G467))</f>
        <v/>
      </c>
      <c r="N467" s="9" t="str">
        <f ca="1">IF($G467="","",INDEX(BASE_PRODUTOS!$G$2:$G$1006,$G467))</f>
        <v/>
      </c>
      <c r="O467" s="9" t="str">
        <f ca="1">IF($G467="","",INDEX(BASE_PRODUTOS!$H$2:$H$1006,$G467))</f>
        <v/>
      </c>
      <c r="P467" s="9" t="str">
        <f ca="1">IF($G467="","",INDEX(BASE_PRODUTOS!$I$2:$I$1006,$G467))</f>
        <v/>
      </c>
      <c r="Q467" s="9" t="str">
        <f ca="1">IF($G467="","",INDEX(BASE_PRODUTOS!$J$2:$J$1006,$G467))</f>
        <v/>
      </c>
      <c r="R467" s="9" t="str">
        <f ca="1">IF($G467="","",INDEX(BASE_PRODUTOS!$M$2:$M$1006,$G467))</f>
        <v/>
      </c>
      <c r="S467" s="9" t="str">
        <f ca="1">IF($G467="","",INDEX(BASE_PRODUTOS!$N$2:$N$1006,$G467))</f>
        <v/>
      </c>
      <c r="T467" s="9" t="str">
        <f ca="1">IF($G467="","",INDEX(BASE_PRODUTOS!$D$2:$D$1006,$G467))</f>
        <v/>
      </c>
    </row>
    <row r="468" spans="7:20" ht="18" customHeight="1" x14ac:dyDescent="0.35">
      <c r="G468" t="str">
        <f ca="1">IFERROR(_xludf.aggregate(15,6,(ROW(BASE_PRODUTOS!$L$2:$L$1006)-ROW(BASE_PRODUTOS!$L$2)+1)/(BASE_PRODUTOS!$L$2:$L$1006&gt;0),ROWS($G$10:G468)),"")</f>
        <v/>
      </c>
      <c r="H468" s="9" t="str">
        <f ca="1">IF($G468="","",INDEX(BASE_PRODUTOS!$B$2:$B$1006,$G468))</f>
        <v/>
      </c>
      <c r="I468" s="9" t="str">
        <f ca="1">IF($G468="","",INDEX(BASE_PRODUTOS!$L$2:$L$1006,$G468))</f>
        <v/>
      </c>
      <c r="J468" s="9" t="str">
        <f ca="1">IF($G468="","",INDEX(BASE_PRODUTOS!$A$2:$A$1006,$G468))</f>
        <v/>
      </c>
      <c r="K468" s="9" t="str">
        <f ca="1">IF($G468="","",INDEX(BASE_PRODUTOS!$C$2:$C$1006,$G468))</f>
        <v/>
      </c>
      <c r="L468" s="9" t="str">
        <f ca="1">IF($G468="","",INDEX(BASE_PRODUTOS!$E$2:$E$1006,$G468))</f>
        <v/>
      </c>
      <c r="M468" s="9" t="str">
        <f ca="1">IF($G468="","",INDEX(BASE_PRODUTOS!$F$2:$F$1006,$G468))</f>
        <v/>
      </c>
      <c r="N468" s="9" t="str">
        <f ca="1">IF($G468="","",INDEX(BASE_PRODUTOS!$G$2:$G$1006,$G468))</f>
        <v/>
      </c>
      <c r="O468" s="9" t="str">
        <f ca="1">IF($G468="","",INDEX(BASE_PRODUTOS!$H$2:$H$1006,$G468))</f>
        <v/>
      </c>
      <c r="P468" s="9" t="str">
        <f ca="1">IF($G468="","",INDEX(BASE_PRODUTOS!$I$2:$I$1006,$G468))</f>
        <v/>
      </c>
      <c r="Q468" s="9" t="str">
        <f ca="1">IF($G468="","",INDEX(BASE_PRODUTOS!$J$2:$J$1006,$G468))</f>
        <v/>
      </c>
      <c r="R468" s="9" t="str">
        <f ca="1">IF($G468="","",INDEX(BASE_PRODUTOS!$M$2:$M$1006,$G468))</f>
        <v/>
      </c>
      <c r="S468" s="9" t="str">
        <f ca="1">IF($G468="","",INDEX(BASE_PRODUTOS!$N$2:$N$1006,$G468))</f>
        <v/>
      </c>
      <c r="T468" s="9" t="str">
        <f ca="1">IF($G468="","",INDEX(BASE_PRODUTOS!$D$2:$D$1006,$G468))</f>
        <v/>
      </c>
    </row>
    <row r="469" spans="7:20" ht="18" customHeight="1" x14ac:dyDescent="0.35">
      <c r="G469" t="str">
        <f ca="1">IFERROR(_xludf.aggregate(15,6,(ROW(BASE_PRODUTOS!$L$2:$L$1006)-ROW(BASE_PRODUTOS!$L$2)+1)/(BASE_PRODUTOS!$L$2:$L$1006&gt;0),ROWS($G$10:G469)),"")</f>
        <v/>
      </c>
      <c r="H469" s="9" t="str">
        <f ca="1">IF($G469="","",INDEX(BASE_PRODUTOS!$B$2:$B$1006,$G469))</f>
        <v/>
      </c>
      <c r="I469" s="9" t="str">
        <f ca="1">IF($G469="","",INDEX(BASE_PRODUTOS!$L$2:$L$1006,$G469))</f>
        <v/>
      </c>
      <c r="J469" s="9" t="str">
        <f ca="1">IF($G469="","",INDEX(BASE_PRODUTOS!$A$2:$A$1006,$G469))</f>
        <v/>
      </c>
      <c r="K469" s="9" t="str">
        <f ca="1">IF($G469="","",INDEX(BASE_PRODUTOS!$C$2:$C$1006,$G469))</f>
        <v/>
      </c>
      <c r="L469" s="9" t="str">
        <f ca="1">IF($G469="","",INDEX(BASE_PRODUTOS!$E$2:$E$1006,$G469))</f>
        <v/>
      </c>
      <c r="M469" s="9" t="str">
        <f ca="1">IF($G469="","",INDEX(BASE_PRODUTOS!$F$2:$F$1006,$G469))</f>
        <v/>
      </c>
      <c r="N469" s="9" t="str">
        <f ca="1">IF($G469="","",INDEX(BASE_PRODUTOS!$G$2:$G$1006,$G469))</f>
        <v/>
      </c>
      <c r="O469" s="9" t="str">
        <f ca="1">IF($G469="","",INDEX(BASE_PRODUTOS!$H$2:$H$1006,$G469))</f>
        <v/>
      </c>
      <c r="P469" s="9" t="str">
        <f ca="1">IF($G469="","",INDEX(BASE_PRODUTOS!$I$2:$I$1006,$G469))</f>
        <v/>
      </c>
      <c r="Q469" s="9" t="str">
        <f ca="1">IF($G469="","",INDEX(BASE_PRODUTOS!$J$2:$J$1006,$G469))</f>
        <v/>
      </c>
      <c r="R469" s="9" t="str">
        <f ca="1">IF($G469="","",INDEX(BASE_PRODUTOS!$M$2:$M$1006,$G469))</f>
        <v/>
      </c>
      <c r="S469" s="9" t="str">
        <f ca="1">IF($G469="","",INDEX(BASE_PRODUTOS!$N$2:$N$1006,$G469))</f>
        <v/>
      </c>
      <c r="T469" s="9" t="str">
        <f ca="1">IF($G469="","",INDEX(BASE_PRODUTOS!$D$2:$D$1006,$G469))</f>
        <v/>
      </c>
    </row>
    <row r="470" spans="7:20" ht="18" customHeight="1" x14ac:dyDescent="0.35">
      <c r="G470" t="str">
        <f ca="1">IFERROR(_xludf.aggregate(15,6,(ROW(BASE_PRODUTOS!$L$2:$L$1006)-ROW(BASE_PRODUTOS!$L$2)+1)/(BASE_PRODUTOS!$L$2:$L$1006&gt;0),ROWS($G$10:G470)),"")</f>
        <v/>
      </c>
      <c r="H470" s="9" t="str">
        <f ca="1">IF($G470="","",INDEX(BASE_PRODUTOS!$B$2:$B$1006,$G470))</f>
        <v/>
      </c>
      <c r="I470" s="9" t="str">
        <f ca="1">IF($G470="","",INDEX(BASE_PRODUTOS!$L$2:$L$1006,$G470))</f>
        <v/>
      </c>
      <c r="J470" s="9" t="str">
        <f ca="1">IF($G470="","",INDEX(BASE_PRODUTOS!$A$2:$A$1006,$G470))</f>
        <v/>
      </c>
      <c r="K470" s="9" t="str">
        <f ca="1">IF($G470="","",INDEX(BASE_PRODUTOS!$C$2:$C$1006,$G470))</f>
        <v/>
      </c>
      <c r="L470" s="9" t="str">
        <f ca="1">IF($G470="","",INDEX(BASE_PRODUTOS!$E$2:$E$1006,$G470))</f>
        <v/>
      </c>
      <c r="M470" s="9" t="str">
        <f ca="1">IF($G470="","",INDEX(BASE_PRODUTOS!$F$2:$F$1006,$G470))</f>
        <v/>
      </c>
      <c r="N470" s="9" t="str">
        <f ca="1">IF($G470="","",INDEX(BASE_PRODUTOS!$G$2:$G$1006,$G470))</f>
        <v/>
      </c>
      <c r="O470" s="9" t="str">
        <f ca="1">IF($G470="","",INDEX(BASE_PRODUTOS!$H$2:$H$1006,$G470))</f>
        <v/>
      </c>
      <c r="P470" s="9" t="str">
        <f ca="1">IF($G470="","",INDEX(BASE_PRODUTOS!$I$2:$I$1006,$G470))</f>
        <v/>
      </c>
      <c r="Q470" s="9" t="str">
        <f ca="1">IF($G470="","",INDEX(BASE_PRODUTOS!$J$2:$J$1006,$G470))</f>
        <v/>
      </c>
      <c r="R470" s="9" t="str">
        <f ca="1">IF($G470="","",INDEX(BASE_PRODUTOS!$M$2:$M$1006,$G470))</f>
        <v/>
      </c>
      <c r="S470" s="9" t="str">
        <f ca="1">IF($G470="","",INDEX(BASE_PRODUTOS!$N$2:$N$1006,$G470))</f>
        <v/>
      </c>
      <c r="T470" s="9" t="str">
        <f ca="1">IF($G470="","",INDEX(BASE_PRODUTOS!$D$2:$D$1006,$G470))</f>
        <v/>
      </c>
    </row>
    <row r="471" spans="7:20" ht="18" customHeight="1" x14ac:dyDescent="0.35">
      <c r="G471" t="str">
        <f ca="1">IFERROR(_xludf.aggregate(15,6,(ROW(BASE_PRODUTOS!$L$2:$L$1006)-ROW(BASE_PRODUTOS!$L$2)+1)/(BASE_PRODUTOS!$L$2:$L$1006&gt;0),ROWS($G$10:G471)),"")</f>
        <v/>
      </c>
      <c r="H471" s="9" t="str">
        <f ca="1">IF($G471="","",INDEX(BASE_PRODUTOS!$B$2:$B$1006,$G471))</f>
        <v/>
      </c>
      <c r="I471" s="9" t="str">
        <f ca="1">IF($G471="","",INDEX(BASE_PRODUTOS!$L$2:$L$1006,$G471))</f>
        <v/>
      </c>
      <c r="J471" s="9" t="str">
        <f ca="1">IF($G471="","",INDEX(BASE_PRODUTOS!$A$2:$A$1006,$G471))</f>
        <v/>
      </c>
      <c r="K471" s="9" t="str">
        <f ca="1">IF($G471="","",INDEX(BASE_PRODUTOS!$C$2:$C$1006,$G471))</f>
        <v/>
      </c>
      <c r="L471" s="9" t="str">
        <f ca="1">IF($G471="","",INDEX(BASE_PRODUTOS!$E$2:$E$1006,$G471))</f>
        <v/>
      </c>
      <c r="M471" s="9" t="str">
        <f ca="1">IF($G471="","",INDEX(BASE_PRODUTOS!$F$2:$F$1006,$G471))</f>
        <v/>
      </c>
      <c r="N471" s="9" t="str">
        <f ca="1">IF($G471="","",INDEX(BASE_PRODUTOS!$G$2:$G$1006,$G471))</f>
        <v/>
      </c>
      <c r="O471" s="9" t="str">
        <f ca="1">IF($G471="","",INDEX(BASE_PRODUTOS!$H$2:$H$1006,$G471))</f>
        <v/>
      </c>
      <c r="P471" s="9" t="str">
        <f ca="1">IF($G471="","",INDEX(BASE_PRODUTOS!$I$2:$I$1006,$G471))</f>
        <v/>
      </c>
      <c r="Q471" s="9" t="str">
        <f ca="1">IF($G471="","",INDEX(BASE_PRODUTOS!$J$2:$J$1006,$G471))</f>
        <v/>
      </c>
      <c r="R471" s="9" t="str">
        <f ca="1">IF($G471="","",INDEX(BASE_PRODUTOS!$M$2:$M$1006,$G471))</f>
        <v/>
      </c>
      <c r="S471" s="9" t="str">
        <f ca="1">IF($G471="","",INDEX(BASE_PRODUTOS!$N$2:$N$1006,$G471))</f>
        <v/>
      </c>
      <c r="T471" s="9" t="str">
        <f ca="1">IF($G471="","",INDEX(BASE_PRODUTOS!$D$2:$D$1006,$G471))</f>
        <v/>
      </c>
    </row>
    <row r="472" spans="7:20" ht="18" customHeight="1" x14ac:dyDescent="0.35">
      <c r="G472" t="str">
        <f ca="1">IFERROR(_xludf.aggregate(15,6,(ROW(BASE_PRODUTOS!$L$2:$L$1006)-ROW(BASE_PRODUTOS!$L$2)+1)/(BASE_PRODUTOS!$L$2:$L$1006&gt;0),ROWS($G$10:G472)),"")</f>
        <v/>
      </c>
      <c r="H472" s="9" t="str">
        <f ca="1">IF($G472="","",INDEX(BASE_PRODUTOS!$B$2:$B$1006,$G472))</f>
        <v/>
      </c>
      <c r="I472" s="9" t="str">
        <f ca="1">IF($G472="","",INDEX(BASE_PRODUTOS!$L$2:$L$1006,$G472))</f>
        <v/>
      </c>
      <c r="J472" s="9" t="str">
        <f ca="1">IF($G472="","",INDEX(BASE_PRODUTOS!$A$2:$A$1006,$G472))</f>
        <v/>
      </c>
      <c r="K472" s="9" t="str">
        <f ca="1">IF($G472="","",INDEX(BASE_PRODUTOS!$C$2:$C$1006,$G472))</f>
        <v/>
      </c>
      <c r="L472" s="9" t="str">
        <f ca="1">IF($G472="","",INDEX(BASE_PRODUTOS!$E$2:$E$1006,$G472))</f>
        <v/>
      </c>
      <c r="M472" s="9" t="str">
        <f ca="1">IF($G472="","",INDEX(BASE_PRODUTOS!$F$2:$F$1006,$G472))</f>
        <v/>
      </c>
      <c r="N472" s="9" t="str">
        <f ca="1">IF($G472="","",INDEX(BASE_PRODUTOS!$G$2:$G$1006,$G472))</f>
        <v/>
      </c>
      <c r="O472" s="9" t="str">
        <f ca="1">IF($G472="","",INDEX(BASE_PRODUTOS!$H$2:$H$1006,$G472))</f>
        <v/>
      </c>
      <c r="P472" s="9" t="str">
        <f ca="1">IF($G472="","",INDEX(BASE_PRODUTOS!$I$2:$I$1006,$G472))</f>
        <v/>
      </c>
      <c r="Q472" s="9" t="str">
        <f ca="1">IF($G472="","",INDEX(BASE_PRODUTOS!$J$2:$J$1006,$G472))</f>
        <v/>
      </c>
      <c r="R472" s="9" t="str">
        <f ca="1">IF($G472="","",INDEX(BASE_PRODUTOS!$M$2:$M$1006,$G472))</f>
        <v/>
      </c>
      <c r="S472" s="9" t="str">
        <f ca="1">IF($G472="","",INDEX(BASE_PRODUTOS!$N$2:$N$1006,$G472))</f>
        <v/>
      </c>
      <c r="T472" s="9" t="str">
        <f ca="1">IF($G472="","",INDEX(BASE_PRODUTOS!$D$2:$D$1006,$G472))</f>
        <v/>
      </c>
    </row>
    <row r="473" spans="7:20" ht="18" customHeight="1" x14ac:dyDescent="0.35">
      <c r="G473" t="str">
        <f ca="1">IFERROR(_xludf.aggregate(15,6,(ROW(BASE_PRODUTOS!$L$2:$L$1006)-ROW(BASE_PRODUTOS!$L$2)+1)/(BASE_PRODUTOS!$L$2:$L$1006&gt;0),ROWS($G$10:G473)),"")</f>
        <v/>
      </c>
      <c r="H473" s="9" t="str">
        <f ca="1">IF($G473="","",INDEX(BASE_PRODUTOS!$B$2:$B$1006,$G473))</f>
        <v/>
      </c>
      <c r="I473" s="9" t="str">
        <f ca="1">IF($G473="","",INDEX(BASE_PRODUTOS!$L$2:$L$1006,$G473))</f>
        <v/>
      </c>
      <c r="J473" s="9" t="str">
        <f ca="1">IF($G473="","",INDEX(BASE_PRODUTOS!$A$2:$A$1006,$G473))</f>
        <v/>
      </c>
      <c r="K473" s="9" t="str">
        <f ca="1">IF($G473="","",INDEX(BASE_PRODUTOS!$C$2:$C$1006,$G473))</f>
        <v/>
      </c>
      <c r="L473" s="9" t="str">
        <f ca="1">IF($G473="","",INDEX(BASE_PRODUTOS!$E$2:$E$1006,$G473))</f>
        <v/>
      </c>
      <c r="M473" s="9" t="str">
        <f ca="1">IF($G473="","",INDEX(BASE_PRODUTOS!$F$2:$F$1006,$G473))</f>
        <v/>
      </c>
      <c r="N473" s="9" t="str">
        <f ca="1">IF($G473="","",INDEX(BASE_PRODUTOS!$G$2:$G$1006,$G473))</f>
        <v/>
      </c>
      <c r="O473" s="9" t="str">
        <f ca="1">IF($G473="","",INDEX(BASE_PRODUTOS!$H$2:$H$1006,$G473))</f>
        <v/>
      </c>
      <c r="P473" s="9" t="str">
        <f ca="1">IF($G473="","",INDEX(BASE_PRODUTOS!$I$2:$I$1006,$G473))</f>
        <v/>
      </c>
      <c r="Q473" s="9" t="str">
        <f ca="1">IF($G473="","",INDEX(BASE_PRODUTOS!$J$2:$J$1006,$G473))</f>
        <v/>
      </c>
      <c r="R473" s="9" t="str">
        <f ca="1">IF($G473="","",INDEX(BASE_PRODUTOS!$M$2:$M$1006,$G473))</f>
        <v/>
      </c>
      <c r="S473" s="9" t="str">
        <f ca="1">IF($G473="","",INDEX(BASE_PRODUTOS!$N$2:$N$1006,$G473))</f>
        <v/>
      </c>
      <c r="T473" s="9" t="str">
        <f ca="1">IF($G473="","",INDEX(BASE_PRODUTOS!$D$2:$D$1006,$G473))</f>
        <v/>
      </c>
    </row>
    <row r="474" spans="7:20" ht="18" customHeight="1" x14ac:dyDescent="0.35">
      <c r="G474" t="str">
        <f ca="1">IFERROR(_xludf.aggregate(15,6,(ROW(BASE_PRODUTOS!$L$2:$L$1006)-ROW(BASE_PRODUTOS!$L$2)+1)/(BASE_PRODUTOS!$L$2:$L$1006&gt;0),ROWS($G$10:G474)),"")</f>
        <v/>
      </c>
      <c r="H474" s="9" t="str">
        <f ca="1">IF($G474="","",INDEX(BASE_PRODUTOS!$B$2:$B$1006,$G474))</f>
        <v/>
      </c>
      <c r="I474" s="9" t="str">
        <f ca="1">IF($G474="","",INDEX(BASE_PRODUTOS!$L$2:$L$1006,$G474))</f>
        <v/>
      </c>
      <c r="J474" s="9" t="str">
        <f ca="1">IF($G474="","",INDEX(BASE_PRODUTOS!$A$2:$A$1006,$G474))</f>
        <v/>
      </c>
      <c r="K474" s="9" t="str">
        <f ca="1">IF($G474="","",INDEX(BASE_PRODUTOS!$C$2:$C$1006,$G474))</f>
        <v/>
      </c>
      <c r="L474" s="9" t="str">
        <f ca="1">IF($G474="","",INDEX(BASE_PRODUTOS!$E$2:$E$1006,$G474))</f>
        <v/>
      </c>
      <c r="M474" s="9" t="str">
        <f ca="1">IF($G474="","",INDEX(BASE_PRODUTOS!$F$2:$F$1006,$G474))</f>
        <v/>
      </c>
      <c r="N474" s="9" t="str">
        <f ca="1">IF($G474="","",INDEX(BASE_PRODUTOS!$G$2:$G$1006,$G474))</f>
        <v/>
      </c>
      <c r="O474" s="9" t="str">
        <f ca="1">IF($G474="","",INDEX(BASE_PRODUTOS!$H$2:$H$1006,$G474))</f>
        <v/>
      </c>
      <c r="P474" s="9" t="str">
        <f ca="1">IF($G474="","",INDEX(BASE_PRODUTOS!$I$2:$I$1006,$G474))</f>
        <v/>
      </c>
      <c r="Q474" s="9" t="str">
        <f ca="1">IF($G474="","",INDEX(BASE_PRODUTOS!$J$2:$J$1006,$G474))</f>
        <v/>
      </c>
      <c r="R474" s="9" t="str">
        <f ca="1">IF($G474="","",INDEX(BASE_PRODUTOS!$M$2:$M$1006,$G474))</f>
        <v/>
      </c>
      <c r="S474" s="9" t="str">
        <f ca="1">IF($G474="","",INDEX(BASE_PRODUTOS!$N$2:$N$1006,$G474))</f>
        <v/>
      </c>
      <c r="T474" s="9" t="str">
        <f ca="1">IF($G474="","",INDEX(BASE_PRODUTOS!$D$2:$D$1006,$G474))</f>
        <v/>
      </c>
    </row>
    <row r="475" spans="7:20" ht="18" customHeight="1" x14ac:dyDescent="0.35">
      <c r="G475" t="str">
        <f ca="1">IFERROR(_xludf.aggregate(15,6,(ROW(BASE_PRODUTOS!$L$2:$L$1006)-ROW(BASE_PRODUTOS!$L$2)+1)/(BASE_PRODUTOS!$L$2:$L$1006&gt;0),ROWS($G$10:G475)),"")</f>
        <v/>
      </c>
      <c r="H475" s="9" t="str">
        <f ca="1">IF($G475="","",INDEX(BASE_PRODUTOS!$B$2:$B$1006,$G475))</f>
        <v/>
      </c>
      <c r="I475" s="9" t="str">
        <f ca="1">IF($G475="","",INDEX(BASE_PRODUTOS!$L$2:$L$1006,$G475))</f>
        <v/>
      </c>
      <c r="J475" s="9" t="str">
        <f ca="1">IF($G475="","",INDEX(BASE_PRODUTOS!$A$2:$A$1006,$G475))</f>
        <v/>
      </c>
      <c r="K475" s="9" t="str">
        <f ca="1">IF($G475="","",INDEX(BASE_PRODUTOS!$C$2:$C$1006,$G475))</f>
        <v/>
      </c>
      <c r="L475" s="9" t="str">
        <f ca="1">IF($G475="","",INDEX(BASE_PRODUTOS!$E$2:$E$1006,$G475))</f>
        <v/>
      </c>
      <c r="M475" s="9" t="str">
        <f ca="1">IF($G475="","",INDEX(BASE_PRODUTOS!$F$2:$F$1006,$G475))</f>
        <v/>
      </c>
      <c r="N475" s="9" t="str">
        <f ca="1">IF($G475="","",INDEX(BASE_PRODUTOS!$G$2:$G$1006,$G475))</f>
        <v/>
      </c>
      <c r="O475" s="9" t="str">
        <f ca="1">IF($G475="","",INDEX(BASE_PRODUTOS!$H$2:$H$1006,$G475))</f>
        <v/>
      </c>
      <c r="P475" s="9" t="str">
        <f ca="1">IF($G475="","",INDEX(BASE_PRODUTOS!$I$2:$I$1006,$G475))</f>
        <v/>
      </c>
      <c r="Q475" s="9" t="str">
        <f ca="1">IF($G475="","",INDEX(BASE_PRODUTOS!$J$2:$J$1006,$G475))</f>
        <v/>
      </c>
      <c r="R475" s="9" t="str">
        <f ca="1">IF($G475="","",INDEX(BASE_PRODUTOS!$M$2:$M$1006,$G475))</f>
        <v/>
      </c>
      <c r="S475" s="9" t="str">
        <f ca="1">IF($G475="","",INDEX(BASE_PRODUTOS!$N$2:$N$1006,$G475))</f>
        <v/>
      </c>
      <c r="T475" s="9" t="str">
        <f ca="1">IF($G475="","",INDEX(BASE_PRODUTOS!$D$2:$D$1006,$G475))</f>
        <v/>
      </c>
    </row>
    <row r="476" spans="7:20" ht="18" customHeight="1" x14ac:dyDescent="0.35">
      <c r="G476" t="str">
        <f ca="1">IFERROR(_xludf.aggregate(15,6,(ROW(BASE_PRODUTOS!$L$2:$L$1006)-ROW(BASE_PRODUTOS!$L$2)+1)/(BASE_PRODUTOS!$L$2:$L$1006&gt;0),ROWS($G$10:G476)),"")</f>
        <v/>
      </c>
      <c r="H476" s="9" t="str">
        <f ca="1">IF($G476="","",INDEX(BASE_PRODUTOS!$B$2:$B$1006,$G476))</f>
        <v/>
      </c>
      <c r="I476" s="9" t="str">
        <f ca="1">IF($G476="","",INDEX(BASE_PRODUTOS!$L$2:$L$1006,$G476))</f>
        <v/>
      </c>
      <c r="J476" s="9" t="str">
        <f ca="1">IF($G476="","",INDEX(BASE_PRODUTOS!$A$2:$A$1006,$G476))</f>
        <v/>
      </c>
      <c r="K476" s="9" t="str">
        <f ca="1">IF($G476="","",INDEX(BASE_PRODUTOS!$C$2:$C$1006,$G476))</f>
        <v/>
      </c>
      <c r="L476" s="9" t="str">
        <f ca="1">IF($G476="","",INDEX(BASE_PRODUTOS!$E$2:$E$1006,$G476))</f>
        <v/>
      </c>
      <c r="M476" s="9" t="str">
        <f ca="1">IF($G476="","",INDEX(BASE_PRODUTOS!$F$2:$F$1006,$G476))</f>
        <v/>
      </c>
      <c r="N476" s="9" t="str">
        <f ca="1">IF($G476="","",INDEX(BASE_PRODUTOS!$G$2:$G$1006,$G476))</f>
        <v/>
      </c>
      <c r="O476" s="9" t="str">
        <f ca="1">IF($G476="","",INDEX(BASE_PRODUTOS!$H$2:$H$1006,$G476))</f>
        <v/>
      </c>
      <c r="P476" s="9" t="str">
        <f ca="1">IF($G476="","",INDEX(BASE_PRODUTOS!$I$2:$I$1006,$G476))</f>
        <v/>
      </c>
      <c r="Q476" s="9" t="str">
        <f ca="1">IF($G476="","",INDEX(BASE_PRODUTOS!$J$2:$J$1006,$G476))</f>
        <v/>
      </c>
      <c r="R476" s="9" t="str">
        <f ca="1">IF($G476="","",INDEX(BASE_PRODUTOS!$M$2:$M$1006,$G476))</f>
        <v/>
      </c>
      <c r="S476" s="9" t="str">
        <f ca="1">IF($G476="","",INDEX(BASE_PRODUTOS!$N$2:$N$1006,$G476))</f>
        <v/>
      </c>
      <c r="T476" s="9" t="str">
        <f ca="1">IF($G476="","",INDEX(BASE_PRODUTOS!$D$2:$D$1006,$G476))</f>
        <v/>
      </c>
    </row>
    <row r="477" spans="7:20" ht="18" customHeight="1" x14ac:dyDescent="0.35">
      <c r="G477" t="str">
        <f ca="1">IFERROR(_xludf.aggregate(15,6,(ROW(BASE_PRODUTOS!$L$2:$L$1006)-ROW(BASE_PRODUTOS!$L$2)+1)/(BASE_PRODUTOS!$L$2:$L$1006&gt;0),ROWS($G$10:G477)),"")</f>
        <v/>
      </c>
      <c r="H477" s="9" t="str">
        <f ca="1">IF($G477="","",INDEX(BASE_PRODUTOS!$B$2:$B$1006,$G477))</f>
        <v/>
      </c>
      <c r="I477" s="9" t="str">
        <f ca="1">IF($G477="","",INDEX(BASE_PRODUTOS!$L$2:$L$1006,$G477))</f>
        <v/>
      </c>
      <c r="J477" s="9" t="str">
        <f ca="1">IF($G477="","",INDEX(BASE_PRODUTOS!$A$2:$A$1006,$G477))</f>
        <v/>
      </c>
      <c r="K477" s="9" t="str">
        <f ca="1">IF($G477="","",INDEX(BASE_PRODUTOS!$C$2:$C$1006,$G477))</f>
        <v/>
      </c>
      <c r="L477" s="9" t="str">
        <f ca="1">IF($G477="","",INDEX(BASE_PRODUTOS!$E$2:$E$1006,$G477))</f>
        <v/>
      </c>
      <c r="M477" s="9" t="str">
        <f ca="1">IF($G477="","",INDEX(BASE_PRODUTOS!$F$2:$F$1006,$G477))</f>
        <v/>
      </c>
      <c r="N477" s="9" t="str">
        <f ca="1">IF($G477="","",INDEX(BASE_PRODUTOS!$G$2:$G$1006,$G477))</f>
        <v/>
      </c>
      <c r="O477" s="9" t="str">
        <f ca="1">IF($G477="","",INDEX(BASE_PRODUTOS!$H$2:$H$1006,$G477))</f>
        <v/>
      </c>
      <c r="P477" s="9" t="str">
        <f ca="1">IF($G477="","",INDEX(BASE_PRODUTOS!$I$2:$I$1006,$G477))</f>
        <v/>
      </c>
      <c r="Q477" s="9" t="str">
        <f ca="1">IF($G477="","",INDEX(BASE_PRODUTOS!$J$2:$J$1006,$G477))</f>
        <v/>
      </c>
      <c r="R477" s="9" t="str">
        <f ca="1">IF($G477="","",INDEX(BASE_PRODUTOS!$M$2:$M$1006,$G477))</f>
        <v/>
      </c>
      <c r="S477" s="9" t="str">
        <f ca="1">IF($G477="","",INDEX(BASE_PRODUTOS!$N$2:$N$1006,$G477))</f>
        <v/>
      </c>
      <c r="T477" s="9" t="str">
        <f ca="1">IF($G477="","",INDEX(BASE_PRODUTOS!$D$2:$D$1006,$G477))</f>
        <v/>
      </c>
    </row>
    <row r="478" spans="7:20" ht="18" customHeight="1" x14ac:dyDescent="0.35">
      <c r="G478" t="str">
        <f ca="1">IFERROR(_xludf.aggregate(15,6,(ROW(BASE_PRODUTOS!$L$2:$L$1006)-ROW(BASE_PRODUTOS!$L$2)+1)/(BASE_PRODUTOS!$L$2:$L$1006&gt;0),ROWS($G$10:G478)),"")</f>
        <v/>
      </c>
      <c r="H478" s="9" t="str">
        <f ca="1">IF($G478="","",INDEX(BASE_PRODUTOS!$B$2:$B$1006,$G478))</f>
        <v/>
      </c>
      <c r="I478" s="9" t="str">
        <f ca="1">IF($G478="","",INDEX(BASE_PRODUTOS!$L$2:$L$1006,$G478))</f>
        <v/>
      </c>
      <c r="J478" s="9" t="str">
        <f ca="1">IF($G478="","",INDEX(BASE_PRODUTOS!$A$2:$A$1006,$G478))</f>
        <v/>
      </c>
      <c r="K478" s="9" t="str">
        <f ca="1">IF($G478="","",INDEX(BASE_PRODUTOS!$C$2:$C$1006,$G478))</f>
        <v/>
      </c>
      <c r="L478" s="9" t="str">
        <f ca="1">IF($G478="","",INDEX(BASE_PRODUTOS!$E$2:$E$1006,$G478))</f>
        <v/>
      </c>
      <c r="M478" s="9" t="str">
        <f ca="1">IF($G478="","",INDEX(BASE_PRODUTOS!$F$2:$F$1006,$G478))</f>
        <v/>
      </c>
      <c r="N478" s="9" t="str">
        <f ca="1">IF($G478="","",INDEX(BASE_PRODUTOS!$G$2:$G$1006,$G478))</f>
        <v/>
      </c>
      <c r="O478" s="9" t="str">
        <f ca="1">IF($G478="","",INDEX(BASE_PRODUTOS!$H$2:$H$1006,$G478))</f>
        <v/>
      </c>
      <c r="P478" s="9" t="str">
        <f ca="1">IF($G478="","",INDEX(BASE_PRODUTOS!$I$2:$I$1006,$G478))</f>
        <v/>
      </c>
      <c r="Q478" s="9" t="str">
        <f ca="1">IF($G478="","",INDEX(BASE_PRODUTOS!$J$2:$J$1006,$G478))</f>
        <v/>
      </c>
      <c r="R478" s="9" t="str">
        <f ca="1">IF($G478="","",INDEX(BASE_PRODUTOS!$M$2:$M$1006,$G478))</f>
        <v/>
      </c>
      <c r="S478" s="9" t="str">
        <f ca="1">IF($G478="","",INDEX(BASE_PRODUTOS!$N$2:$N$1006,$G478))</f>
        <v/>
      </c>
      <c r="T478" s="9" t="str">
        <f ca="1">IF($G478="","",INDEX(BASE_PRODUTOS!$D$2:$D$1006,$G478))</f>
        <v/>
      </c>
    </row>
    <row r="479" spans="7:20" ht="18" customHeight="1" x14ac:dyDescent="0.35">
      <c r="G479" t="str">
        <f ca="1">IFERROR(_xludf.aggregate(15,6,(ROW(BASE_PRODUTOS!$L$2:$L$1006)-ROW(BASE_PRODUTOS!$L$2)+1)/(BASE_PRODUTOS!$L$2:$L$1006&gt;0),ROWS($G$10:G479)),"")</f>
        <v/>
      </c>
      <c r="H479" s="9" t="str">
        <f ca="1">IF($G479="","",INDEX(BASE_PRODUTOS!$B$2:$B$1006,$G479))</f>
        <v/>
      </c>
      <c r="I479" s="9" t="str">
        <f ca="1">IF($G479="","",INDEX(BASE_PRODUTOS!$L$2:$L$1006,$G479))</f>
        <v/>
      </c>
      <c r="J479" s="9" t="str">
        <f ca="1">IF($G479="","",INDEX(BASE_PRODUTOS!$A$2:$A$1006,$G479))</f>
        <v/>
      </c>
      <c r="K479" s="9" t="str">
        <f ca="1">IF($G479="","",INDEX(BASE_PRODUTOS!$C$2:$C$1006,$G479))</f>
        <v/>
      </c>
      <c r="L479" s="9" t="str">
        <f ca="1">IF($G479="","",INDEX(BASE_PRODUTOS!$E$2:$E$1006,$G479))</f>
        <v/>
      </c>
      <c r="M479" s="9" t="str">
        <f ca="1">IF($G479="","",INDEX(BASE_PRODUTOS!$F$2:$F$1006,$G479))</f>
        <v/>
      </c>
      <c r="N479" s="9" t="str">
        <f ca="1">IF($G479="","",INDEX(BASE_PRODUTOS!$G$2:$G$1006,$G479))</f>
        <v/>
      </c>
      <c r="O479" s="9" t="str">
        <f ca="1">IF($G479="","",INDEX(BASE_PRODUTOS!$H$2:$H$1006,$G479))</f>
        <v/>
      </c>
      <c r="P479" s="9" t="str">
        <f ca="1">IF($G479="","",INDEX(BASE_PRODUTOS!$I$2:$I$1006,$G479))</f>
        <v/>
      </c>
      <c r="Q479" s="9" t="str">
        <f ca="1">IF($G479="","",INDEX(BASE_PRODUTOS!$J$2:$J$1006,$G479))</f>
        <v/>
      </c>
      <c r="R479" s="9" t="str">
        <f ca="1">IF($G479="","",INDEX(BASE_PRODUTOS!$M$2:$M$1006,$G479))</f>
        <v/>
      </c>
      <c r="S479" s="9" t="str">
        <f ca="1">IF($G479="","",INDEX(BASE_PRODUTOS!$N$2:$N$1006,$G479))</f>
        <v/>
      </c>
      <c r="T479" s="9" t="str">
        <f ca="1">IF($G479="","",INDEX(BASE_PRODUTOS!$D$2:$D$1006,$G479))</f>
        <v/>
      </c>
    </row>
    <row r="480" spans="7:20" ht="18" customHeight="1" x14ac:dyDescent="0.35">
      <c r="G480" t="str">
        <f ca="1">IFERROR(_xludf.aggregate(15,6,(ROW(BASE_PRODUTOS!$L$2:$L$1006)-ROW(BASE_PRODUTOS!$L$2)+1)/(BASE_PRODUTOS!$L$2:$L$1006&gt;0),ROWS($G$10:G480)),"")</f>
        <v/>
      </c>
      <c r="H480" s="9" t="str">
        <f ca="1">IF($G480="","",INDEX(BASE_PRODUTOS!$B$2:$B$1006,$G480))</f>
        <v/>
      </c>
      <c r="I480" s="9" t="str">
        <f ca="1">IF($G480="","",INDEX(BASE_PRODUTOS!$L$2:$L$1006,$G480))</f>
        <v/>
      </c>
      <c r="J480" s="9" t="str">
        <f ca="1">IF($G480="","",INDEX(BASE_PRODUTOS!$A$2:$A$1006,$G480))</f>
        <v/>
      </c>
      <c r="K480" s="9" t="str">
        <f ca="1">IF($G480="","",INDEX(BASE_PRODUTOS!$C$2:$C$1006,$G480))</f>
        <v/>
      </c>
      <c r="L480" s="9" t="str">
        <f ca="1">IF($G480="","",INDEX(BASE_PRODUTOS!$E$2:$E$1006,$G480))</f>
        <v/>
      </c>
      <c r="M480" s="9" t="str">
        <f ca="1">IF($G480="","",INDEX(BASE_PRODUTOS!$F$2:$F$1006,$G480))</f>
        <v/>
      </c>
      <c r="N480" s="9" t="str">
        <f ca="1">IF($G480="","",INDEX(BASE_PRODUTOS!$G$2:$G$1006,$G480))</f>
        <v/>
      </c>
      <c r="O480" s="9" t="str">
        <f ca="1">IF($G480="","",INDEX(BASE_PRODUTOS!$H$2:$H$1006,$G480))</f>
        <v/>
      </c>
      <c r="P480" s="9" t="str">
        <f ca="1">IF($G480="","",INDEX(BASE_PRODUTOS!$I$2:$I$1006,$G480))</f>
        <v/>
      </c>
      <c r="Q480" s="9" t="str">
        <f ca="1">IF($G480="","",INDEX(BASE_PRODUTOS!$J$2:$J$1006,$G480))</f>
        <v/>
      </c>
      <c r="R480" s="9" t="str">
        <f ca="1">IF($G480="","",INDEX(BASE_PRODUTOS!$M$2:$M$1006,$G480))</f>
        <v/>
      </c>
      <c r="S480" s="9" t="str">
        <f ca="1">IF($G480="","",INDEX(BASE_PRODUTOS!$N$2:$N$1006,$G480))</f>
        <v/>
      </c>
      <c r="T480" s="9" t="str">
        <f ca="1">IF($G480="","",INDEX(BASE_PRODUTOS!$D$2:$D$1006,$G480))</f>
        <v/>
      </c>
    </row>
    <row r="481" spans="7:20" ht="18" customHeight="1" x14ac:dyDescent="0.35">
      <c r="G481" t="str">
        <f ca="1">IFERROR(_xludf.aggregate(15,6,(ROW(BASE_PRODUTOS!$L$2:$L$1006)-ROW(BASE_PRODUTOS!$L$2)+1)/(BASE_PRODUTOS!$L$2:$L$1006&gt;0),ROWS($G$10:G481)),"")</f>
        <v/>
      </c>
      <c r="H481" s="9" t="str">
        <f ca="1">IF($G481="","",INDEX(BASE_PRODUTOS!$B$2:$B$1006,$G481))</f>
        <v/>
      </c>
      <c r="I481" s="9" t="str">
        <f ca="1">IF($G481="","",INDEX(BASE_PRODUTOS!$L$2:$L$1006,$G481))</f>
        <v/>
      </c>
      <c r="J481" s="9" t="str">
        <f ca="1">IF($G481="","",INDEX(BASE_PRODUTOS!$A$2:$A$1006,$G481))</f>
        <v/>
      </c>
      <c r="K481" s="9" t="str">
        <f ca="1">IF($G481="","",INDEX(BASE_PRODUTOS!$C$2:$C$1006,$G481))</f>
        <v/>
      </c>
      <c r="L481" s="9" t="str">
        <f ca="1">IF($G481="","",INDEX(BASE_PRODUTOS!$E$2:$E$1006,$G481))</f>
        <v/>
      </c>
      <c r="M481" s="9" t="str">
        <f ca="1">IF($G481="","",INDEX(BASE_PRODUTOS!$F$2:$F$1006,$G481))</f>
        <v/>
      </c>
      <c r="N481" s="9" t="str">
        <f ca="1">IF($G481="","",INDEX(BASE_PRODUTOS!$G$2:$G$1006,$G481))</f>
        <v/>
      </c>
      <c r="O481" s="9" t="str">
        <f ca="1">IF($G481="","",INDEX(BASE_PRODUTOS!$H$2:$H$1006,$G481))</f>
        <v/>
      </c>
      <c r="P481" s="9" t="str">
        <f ca="1">IF($G481="","",INDEX(BASE_PRODUTOS!$I$2:$I$1006,$G481))</f>
        <v/>
      </c>
      <c r="Q481" s="9" t="str">
        <f ca="1">IF($G481="","",INDEX(BASE_PRODUTOS!$J$2:$J$1006,$G481))</f>
        <v/>
      </c>
      <c r="R481" s="9" t="str">
        <f ca="1">IF($G481="","",INDEX(BASE_PRODUTOS!$M$2:$M$1006,$G481))</f>
        <v/>
      </c>
      <c r="S481" s="9" t="str">
        <f ca="1">IF($G481="","",INDEX(BASE_PRODUTOS!$N$2:$N$1006,$G481))</f>
        <v/>
      </c>
      <c r="T481" s="9" t="str">
        <f ca="1">IF($G481="","",INDEX(BASE_PRODUTOS!$D$2:$D$1006,$G481))</f>
        <v/>
      </c>
    </row>
    <row r="482" spans="7:20" ht="18" customHeight="1" x14ac:dyDescent="0.35">
      <c r="G482" t="str">
        <f ca="1">IFERROR(_xludf.aggregate(15,6,(ROW(BASE_PRODUTOS!$L$2:$L$1006)-ROW(BASE_PRODUTOS!$L$2)+1)/(BASE_PRODUTOS!$L$2:$L$1006&gt;0),ROWS($G$10:G482)),"")</f>
        <v/>
      </c>
      <c r="H482" s="9" t="str">
        <f ca="1">IF($G482="","",INDEX(BASE_PRODUTOS!$B$2:$B$1006,$G482))</f>
        <v/>
      </c>
      <c r="I482" s="9" t="str">
        <f ca="1">IF($G482="","",INDEX(BASE_PRODUTOS!$L$2:$L$1006,$G482))</f>
        <v/>
      </c>
      <c r="J482" s="9" t="str">
        <f ca="1">IF($G482="","",INDEX(BASE_PRODUTOS!$A$2:$A$1006,$G482))</f>
        <v/>
      </c>
      <c r="K482" s="9" t="str">
        <f ca="1">IF($G482="","",INDEX(BASE_PRODUTOS!$C$2:$C$1006,$G482))</f>
        <v/>
      </c>
      <c r="L482" s="9" t="str">
        <f ca="1">IF($G482="","",INDEX(BASE_PRODUTOS!$E$2:$E$1006,$G482))</f>
        <v/>
      </c>
      <c r="M482" s="9" t="str">
        <f ca="1">IF($G482="","",INDEX(BASE_PRODUTOS!$F$2:$F$1006,$G482))</f>
        <v/>
      </c>
      <c r="N482" s="9" t="str">
        <f ca="1">IF($G482="","",INDEX(BASE_PRODUTOS!$G$2:$G$1006,$G482))</f>
        <v/>
      </c>
      <c r="O482" s="9" t="str">
        <f ca="1">IF($G482="","",INDEX(BASE_PRODUTOS!$H$2:$H$1006,$G482))</f>
        <v/>
      </c>
      <c r="P482" s="9" t="str">
        <f ca="1">IF($G482="","",INDEX(BASE_PRODUTOS!$I$2:$I$1006,$G482))</f>
        <v/>
      </c>
      <c r="Q482" s="9" t="str">
        <f ca="1">IF($G482="","",INDEX(BASE_PRODUTOS!$J$2:$J$1006,$G482))</f>
        <v/>
      </c>
      <c r="R482" s="9" t="str">
        <f ca="1">IF($G482="","",INDEX(BASE_PRODUTOS!$M$2:$M$1006,$G482))</f>
        <v/>
      </c>
      <c r="S482" s="9" t="str">
        <f ca="1">IF($G482="","",INDEX(BASE_PRODUTOS!$N$2:$N$1006,$G482))</f>
        <v/>
      </c>
      <c r="T482" s="9" t="str">
        <f ca="1">IF($G482="","",INDEX(BASE_PRODUTOS!$D$2:$D$1006,$G482))</f>
        <v/>
      </c>
    </row>
    <row r="483" spans="7:20" ht="18" customHeight="1" x14ac:dyDescent="0.35">
      <c r="G483" t="str">
        <f ca="1">IFERROR(_xludf.aggregate(15,6,(ROW(BASE_PRODUTOS!$L$2:$L$1006)-ROW(BASE_PRODUTOS!$L$2)+1)/(BASE_PRODUTOS!$L$2:$L$1006&gt;0),ROWS($G$10:G483)),"")</f>
        <v/>
      </c>
      <c r="H483" s="9" t="str">
        <f ca="1">IF($G483="","",INDEX(BASE_PRODUTOS!$B$2:$B$1006,$G483))</f>
        <v/>
      </c>
      <c r="I483" s="9" t="str">
        <f ca="1">IF($G483="","",INDEX(BASE_PRODUTOS!$L$2:$L$1006,$G483))</f>
        <v/>
      </c>
      <c r="J483" s="9" t="str">
        <f ca="1">IF($G483="","",INDEX(BASE_PRODUTOS!$A$2:$A$1006,$G483))</f>
        <v/>
      </c>
      <c r="K483" s="9" t="str">
        <f ca="1">IF($G483="","",INDEX(BASE_PRODUTOS!$C$2:$C$1006,$G483))</f>
        <v/>
      </c>
      <c r="L483" s="9" t="str">
        <f ca="1">IF($G483="","",INDEX(BASE_PRODUTOS!$E$2:$E$1006,$G483))</f>
        <v/>
      </c>
      <c r="M483" s="9" t="str">
        <f ca="1">IF($G483="","",INDEX(BASE_PRODUTOS!$F$2:$F$1006,$G483))</f>
        <v/>
      </c>
      <c r="N483" s="9" t="str">
        <f ca="1">IF($G483="","",INDEX(BASE_PRODUTOS!$G$2:$G$1006,$G483))</f>
        <v/>
      </c>
      <c r="O483" s="9" t="str">
        <f ca="1">IF($G483="","",INDEX(BASE_PRODUTOS!$H$2:$H$1006,$G483))</f>
        <v/>
      </c>
      <c r="P483" s="9" t="str">
        <f ca="1">IF($G483="","",INDEX(BASE_PRODUTOS!$I$2:$I$1006,$G483))</f>
        <v/>
      </c>
      <c r="Q483" s="9" t="str">
        <f ca="1">IF($G483="","",INDEX(BASE_PRODUTOS!$J$2:$J$1006,$G483))</f>
        <v/>
      </c>
      <c r="R483" s="9" t="str">
        <f ca="1">IF($G483="","",INDEX(BASE_PRODUTOS!$M$2:$M$1006,$G483))</f>
        <v/>
      </c>
      <c r="S483" s="9" t="str">
        <f ca="1">IF($G483="","",INDEX(BASE_PRODUTOS!$N$2:$N$1006,$G483))</f>
        <v/>
      </c>
      <c r="T483" s="9" t="str">
        <f ca="1">IF($G483="","",INDEX(BASE_PRODUTOS!$D$2:$D$1006,$G483))</f>
        <v/>
      </c>
    </row>
    <row r="484" spans="7:20" ht="18" customHeight="1" x14ac:dyDescent="0.35">
      <c r="G484" t="str">
        <f ca="1">IFERROR(_xludf.aggregate(15,6,(ROW(BASE_PRODUTOS!$L$2:$L$1006)-ROW(BASE_PRODUTOS!$L$2)+1)/(BASE_PRODUTOS!$L$2:$L$1006&gt;0),ROWS($G$10:G484)),"")</f>
        <v/>
      </c>
      <c r="H484" s="9" t="str">
        <f ca="1">IF($G484="","",INDEX(BASE_PRODUTOS!$B$2:$B$1006,$G484))</f>
        <v/>
      </c>
      <c r="I484" s="9" t="str">
        <f ca="1">IF($G484="","",INDEX(BASE_PRODUTOS!$L$2:$L$1006,$G484))</f>
        <v/>
      </c>
      <c r="J484" s="9" t="str">
        <f ca="1">IF($G484="","",INDEX(BASE_PRODUTOS!$A$2:$A$1006,$G484))</f>
        <v/>
      </c>
      <c r="K484" s="9" t="str">
        <f ca="1">IF($G484="","",INDEX(BASE_PRODUTOS!$C$2:$C$1006,$G484))</f>
        <v/>
      </c>
      <c r="L484" s="9" t="str">
        <f ca="1">IF($G484="","",INDEX(BASE_PRODUTOS!$E$2:$E$1006,$G484))</f>
        <v/>
      </c>
      <c r="M484" s="9" t="str">
        <f ca="1">IF($G484="","",INDEX(BASE_PRODUTOS!$F$2:$F$1006,$G484))</f>
        <v/>
      </c>
      <c r="N484" s="9" t="str">
        <f ca="1">IF($G484="","",INDEX(BASE_PRODUTOS!$G$2:$G$1006,$G484))</f>
        <v/>
      </c>
      <c r="O484" s="9" t="str">
        <f ca="1">IF($G484="","",INDEX(BASE_PRODUTOS!$H$2:$H$1006,$G484))</f>
        <v/>
      </c>
      <c r="P484" s="9" t="str">
        <f ca="1">IF($G484="","",INDEX(BASE_PRODUTOS!$I$2:$I$1006,$G484))</f>
        <v/>
      </c>
      <c r="Q484" s="9" t="str">
        <f ca="1">IF($G484="","",INDEX(BASE_PRODUTOS!$J$2:$J$1006,$G484))</f>
        <v/>
      </c>
      <c r="R484" s="9" t="str">
        <f ca="1">IF($G484="","",INDEX(BASE_PRODUTOS!$M$2:$M$1006,$G484))</f>
        <v/>
      </c>
      <c r="S484" s="9" t="str">
        <f ca="1">IF($G484="","",INDEX(BASE_PRODUTOS!$N$2:$N$1006,$G484))</f>
        <v/>
      </c>
      <c r="T484" s="9" t="str">
        <f ca="1">IF($G484="","",INDEX(BASE_PRODUTOS!$D$2:$D$1006,$G484))</f>
        <v/>
      </c>
    </row>
    <row r="485" spans="7:20" ht="18" customHeight="1" x14ac:dyDescent="0.35">
      <c r="G485" t="str">
        <f ca="1">IFERROR(_xludf.aggregate(15,6,(ROW(BASE_PRODUTOS!$L$2:$L$1006)-ROW(BASE_PRODUTOS!$L$2)+1)/(BASE_PRODUTOS!$L$2:$L$1006&gt;0),ROWS($G$10:G485)),"")</f>
        <v/>
      </c>
      <c r="H485" s="9" t="str">
        <f ca="1">IF($G485="","",INDEX(BASE_PRODUTOS!$B$2:$B$1006,$G485))</f>
        <v/>
      </c>
      <c r="I485" s="9" t="str">
        <f ca="1">IF($G485="","",INDEX(BASE_PRODUTOS!$L$2:$L$1006,$G485))</f>
        <v/>
      </c>
      <c r="J485" s="9" t="str">
        <f ca="1">IF($G485="","",INDEX(BASE_PRODUTOS!$A$2:$A$1006,$G485))</f>
        <v/>
      </c>
      <c r="K485" s="9" t="str">
        <f ca="1">IF($G485="","",INDEX(BASE_PRODUTOS!$C$2:$C$1006,$G485))</f>
        <v/>
      </c>
      <c r="L485" s="9" t="str">
        <f ca="1">IF($G485="","",INDEX(BASE_PRODUTOS!$E$2:$E$1006,$G485))</f>
        <v/>
      </c>
      <c r="M485" s="9" t="str">
        <f ca="1">IF($G485="","",INDEX(BASE_PRODUTOS!$F$2:$F$1006,$G485))</f>
        <v/>
      </c>
      <c r="N485" s="9" t="str">
        <f ca="1">IF($G485="","",INDEX(BASE_PRODUTOS!$G$2:$G$1006,$G485))</f>
        <v/>
      </c>
      <c r="O485" s="9" t="str">
        <f ca="1">IF($G485="","",INDEX(BASE_PRODUTOS!$H$2:$H$1006,$G485))</f>
        <v/>
      </c>
      <c r="P485" s="9" t="str">
        <f ca="1">IF($G485="","",INDEX(BASE_PRODUTOS!$I$2:$I$1006,$G485))</f>
        <v/>
      </c>
      <c r="Q485" s="9" t="str">
        <f ca="1">IF($G485="","",INDEX(BASE_PRODUTOS!$J$2:$J$1006,$G485))</f>
        <v/>
      </c>
      <c r="R485" s="9" t="str">
        <f ca="1">IF($G485="","",INDEX(BASE_PRODUTOS!$M$2:$M$1006,$G485))</f>
        <v/>
      </c>
      <c r="S485" s="9" t="str">
        <f ca="1">IF($G485="","",INDEX(BASE_PRODUTOS!$N$2:$N$1006,$G485))</f>
        <v/>
      </c>
      <c r="T485" s="9" t="str">
        <f ca="1">IF($G485="","",INDEX(BASE_PRODUTOS!$D$2:$D$1006,$G485))</f>
        <v/>
      </c>
    </row>
    <row r="486" spans="7:20" ht="18" customHeight="1" x14ac:dyDescent="0.35">
      <c r="G486" t="str">
        <f ca="1">IFERROR(_xludf.aggregate(15,6,(ROW(BASE_PRODUTOS!$L$2:$L$1006)-ROW(BASE_PRODUTOS!$L$2)+1)/(BASE_PRODUTOS!$L$2:$L$1006&gt;0),ROWS($G$10:G486)),"")</f>
        <v/>
      </c>
      <c r="H486" s="9" t="str">
        <f ca="1">IF($G486="","",INDEX(BASE_PRODUTOS!$B$2:$B$1006,$G486))</f>
        <v/>
      </c>
      <c r="I486" s="9" t="str">
        <f ca="1">IF($G486="","",INDEX(BASE_PRODUTOS!$L$2:$L$1006,$G486))</f>
        <v/>
      </c>
      <c r="J486" s="9" t="str">
        <f ca="1">IF($G486="","",INDEX(BASE_PRODUTOS!$A$2:$A$1006,$G486))</f>
        <v/>
      </c>
      <c r="K486" s="9" t="str">
        <f ca="1">IF($G486="","",INDEX(BASE_PRODUTOS!$C$2:$C$1006,$G486))</f>
        <v/>
      </c>
      <c r="L486" s="9" t="str">
        <f ca="1">IF($G486="","",INDEX(BASE_PRODUTOS!$E$2:$E$1006,$G486))</f>
        <v/>
      </c>
      <c r="M486" s="9" t="str">
        <f ca="1">IF($G486="","",INDEX(BASE_PRODUTOS!$F$2:$F$1006,$G486))</f>
        <v/>
      </c>
      <c r="N486" s="9" t="str">
        <f ca="1">IF($G486="","",INDEX(BASE_PRODUTOS!$G$2:$G$1006,$G486))</f>
        <v/>
      </c>
      <c r="O486" s="9" t="str">
        <f ca="1">IF($G486="","",INDEX(BASE_PRODUTOS!$H$2:$H$1006,$G486))</f>
        <v/>
      </c>
      <c r="P486" s="9" t="str">
        <f ca="1">IF($G486="","",INDEX(BASE_PRODUTOS!$I$2:$I$1006,$G486))</f>
        <v/>
      </c>
      <c r="Q486" s="9" t="str">
        <f ca="1">IF($G486="","",INDEX(BASE_PRODUTOS!$J$2:$J$1006,$G486))</f>
        <v/>
      </c>
      <c r="R486" s="9" t="str">
        <f ca="1">IF($G486="","",INDEX(BASE_PRODUTOS!$M$2:$M$1006,$G486))</f>
        <v/>
      </c>
      <c r="S486" s="9" t="str">
        <f ca="1">IF($G486="","",INDEX(BASE_PRODUTOS!$N$2:$N$1006,$G486))</f>
        <v/>
      </c>
      <c r="T486" s="9" t="str">
        <f ca="1">IF($G486="","",INDEX(BASE_PRODUTOS!$D$2:$D$1006,$G486))</f>
        <v/>
      </c>
    </row>
    <row r="487" spans="7:20" ht="18" customHeight="1" x14ac:dyDescent="0.35">
      <c r="G487" t="str">
        <f ca="1">IFERROR(_xludf.aggregate(15,6,(ROW(BASE_PRODUTOS!$L$2:$L$1006)-ROW(BASE_PRODUTOS!$L$2)+1)/(BASE_PRODUTOS!$L$2:$L$1006&gt;0),ROWS($G$10:G487)),"")</f>
        <v/>
      </c>
      <c r="H487" s="9" t="str">
        <f ca="1">IF($G487="","",INDEX(BASE_PRODUTOS!$B$2:$B$1006,$G487))</f>
        <v/>
      </c>
      <c r="I487" s="9" t="str">
        <f ca="1">IF($G487="","",INDEX(BASE_PRODUTOS!$L$2:$L$1006,$G487))</f>
        <v/>
      </c>
      <c r="J487" s="9" t="str">
        <f ca="1">IF($G487="","",INDEX(BASE_PRODUTOS!$A$2:$A$1006,$G487))</f>
        <v/>
      </c>
      <c r="K487" s="9" t="str">
        <f ca="1">IF($G487="","",INDEX(BASE_PRODUTOS!$C$2:$C$1006,$G487))</f>
        <v/>
      </c>
      <c r="L487" s="9" t="str">
        <f ca="1">IF($G487="","",INDEX(BASE_PRODUTOS!$E$2:$E$1006,$G487))</f>
        <v/>
      </c>
      <c r="M487" s="9" t="str">
        <f ca="1">IF($G487="","",INDEX(BASE_PRODUTOS!$F$2:$F$1006,$G487))</f>
        <v/>
      </c>
      <c r="N487" s="9" t="str">
        <f ca="1">IF($G487="","",INDEX(BASE_PRODUTOS!$G$2:$G$1006,$G487))</f>
        <v/>
      </c>
      <c r="O487" s="9" t="str">
        <f ca="1">IF($G487="","",INDEX(BASE_PRODUTOS!$H$2:$H$1006,$G487))</f>
        <v/>
      </c>
      <c r="P487" s="9" t="str">
        <f ca="1">IF($G487="","",INDEX(BASE_PRODUTOS!$I$2:$I$1006,$G487))</f>
        <v/>
      </c>
      <c r="Q487" s="9" t="str">
        <f ca="1">IF($G487="","",INDEX(BASE_PRODUTOS!$J$2:$J$1006,$G487))</f>
        <v/>
      </c>
      <c r="R487" s="9" t="str">
        <f ca="1">IF($G487="","",INDEX(BASE_PRODUTOS!$M$2:$M$1006,$G487))</f>
        <v/>
      </c>
      <c r="S487" s="9" t="str">
        <f ca="1">IF($G487="","",INDEX(BASE_PRODUTOS!$N$2:$N$1006,$G487))</f>
        <v/>
      </c>
      <c r="T487" s="9" t="str">
        <f ca="1">IF($G487="","",INDEX(BASE_PRODUTOS!$D$2:$D$1006,$G487))</f>
        <v/>
      </c>
    </row>
    <row r="488" spans="7:20" ht="18" customHeight="1" x14ac:dyDescent="0.35">
      <c r="G488" t="str">
        <f ca="1">IFERROR(_xludf.aggregate(15,6,(ROW(BASE_PRODUTOS!$L$2:$L$1006)-ROW(BASE_PRODUTOS!$L$2)+1)/(BASE_PRODUTOS!$L$2:$L$1006&gt;0),ROWS($G$10:G488)),"")</f>
        <v/>
      </c>
      <c r="H488" s="9" t="str">
        <f ca="1">IF($G488="","",INDEX(BASE_PRODUTOS!$B$2:$B$1006,$G488))</f>
        <v/>
      </c>
      <c r="I488" s="9" t="str">
        <f ca="1">IF($G488="","",INDEX(BASE_PRODUTOS!$L$2:$L$1006,$G488))</f>
        <v/>
      </c>
      <c r="J488" s="9" t="str">
        <f ca="1">IF($G488="","",INDEX(BASE_PRODUTOS!$A$2:$A$1006,$G488))</f>
        <v/>
      </c>
      <c r="K488" s="9" t="str">
        <f ca="1">IF($G488="","",INDEX(BASE_PRODUTOS!$C$2:$C$1006,$G488))</f>
        <v/>
      </c>
      <c r="L488" s="9" t="str">
        <f ca="1">IF($G488="","",INDEX(BASE_PRODUTOS!$E$2:$E$1006,$G488))</f>
        <v/>
      </c>
      <c r="M488" s="9" t="str">
        <f ca="1">IF($G488="","",INDEX(BASE_PRODUTOS!$F$2:$F$1006,$G488))</f>
        <v/>
      </c>
      <c r="N488" s="9" t="str">
        <f ca="1">IF($G488="","",INDEX(BASE_PRODUTOS!$G$2:$G$1006,$G488))</f>
        <v/>
      </c>
      <c r="O488" s="9" t="str">
        <f ca="1">IF($G488="","",INDEX(BASE_PRODUTOS!$H$2:$H$1006,$G488))</f>
        <v/>
      </c>
      <c r="P488" s="9" t="str">
        <f ca="1">IF($G488="","",INDEX(BASE_PRODUTOS!$I$2:$I$1006,$G488))</f>
        <v/>
      </c>
      <c r="Q488" s="9" t="str">
        <f ca="1">IF($G488="","",INDEX(BASE_PRODUTOS!$J$2:$J$1006,$G488))</f>
        <v/>
      </c>
      <c r="R488" s="9" t="str">
        <f ca="1">IF($G488="","",INDEX(BASE_PRODUTOS!$M$2:$M$1006,$G488))</f>
        <v/>
      </c>
      <c r="S488" s="9" t="str">
        <f ca="1">IF($G488="","",INDEX(BASE_PRODUTOS!$N$2:$N$1006,$G488))</f>
        <v/>
      </c>
      <c r="T488" s="9" t="str">
        <f ca="1">IF($G488="","",INDEX(BASE_PRODUTOS!$D$2:$D$1006,$G488))</f>
        <v/>
      </c>
    </row>
    <row r="489" spans="7:20" ht="18" customHeight="1" x14ac:dyDescent="0.35">
      <c r="G489" t="str">
        <f ca="1">IFERROR(_xludf.aggregate(15,6,(ROW(BASE_PRODUTOS!$L$2:$L$1006)-ROW(BASE_PRODUTOS!$L$2)+1)/(BASE_PRODUTOS!$L$2:$L$1006&gt;0),ROWS($G$10:G489)),"")</f>
        <v/>
      </c>
      <c r="H489" s="9" t="str">
        <f ca="1">IF($G489="","",INDEX(BASE_PRODUTOS!$B$2:$B$1006,$G489))</f>
        <v/>
      </c>
      <c r="I489" s="9" t="str">
        <f ca="1">IF($G489="","",INDEX(BASE_PRODUTOS!$L$2:$L$1006,$G489))</f>
        <v/>
      </c>
      <c r="J489" s="9" t="str">
        <f ca="1">IF($G489="","",INDEX(BASE_PRODUTOS!$A$2:$A$1006,$G489))</f>
        <v/>
      </c>
      <c r="K489" s="9" t="str">
        <f ca="1">IF($G489="","",INDEX(BASE_PRODUTOS!$C$2:$C$1006,$G489))</f>
        <v/>
      </c>
      <c r="L489" s="9" t="str">
        <f ca="1">IF($G489="","",INDEX(BASE_PRODUTOS!$E$2:$E$1006,$G489))</f>
        <v/>
      </c>
      <c r="M489" s="9" t="str">
        <f ca="1">IF($G489="","",INDEX(BASE_PRODUTOS!$F$2:$F$1006,$G489))</f>
        <v/>
      </c>
      <c r="N489" s="9" t="str">
        <f ca="1">IF($G489="","",INDEX(BASE_PRODUTOS!$G$2:$G$1006,$G489))</f>
        <v/>
      </c>
      <c r="O489" s="9" t="str">
        <f ca="1">IF($G489="","",INDEX(BASE_PRODUTOS!$H$2:$H$1006,$G489))</f>
        <v/>
      </c>
      <c r="P489" s="9" t="str">
        <f ca="1">IF($G489="","",INDEX(BASE_PRODUTOS!$I$2:$I$1006,$G489))</f>
        <v/>
      </c>
      <c r="Q489" s="9" t="str">
        <f ca="1">IF($G489="","",INDEX(BASE_PRODUTOS!$J$2:$J$1006,$G489))</f>
        <v/>
      </c>
      <c r="R489" s="9" t="str">
        <f ca="1">IF($G489="","",INDEX(BASE_PRODUTOS!$M$2:$M$1006,$G489))</f>
        <v/>
      </c>
      <c r="S489" s="9" t="str">
        <f ca="1">IF($G489="","",INDEX(BASE_PRODUTOS!$N$2:$N$1006,$G489))</f>
        <v/>
      </c>
      <c r="T489" s="9" t="str">
        <f ca="1">IF($G489="","",INDEX(BASE_PRODUTOS!$D$2:$D$1006,$G489))</f>
        <v/>
      </c>
    </row>
    <row r="490" spans="7:20" ht="18" customHeight="1" x14ac:dyDescent="0.35">
      <c r="G490" t="str">
        <f ca="1">IFERROR(_xludf.aggregate(15,6,(ROW(BASE_PRODUTOS!$L$2:$L$1006)-ROW(BASE_PRODUTOS!$L$2)+1)/(BASE_PRODUTOS!$L$2:$L$1006&gt;0),ROWS($G$10:G490)),"")</f>
        <v/>
      </c>
      <c r="H490" s="9" t="str">
        <f ca="1">IF($G490="","",INDEX(BASE_PRODUTOS!$B$2:$B$1006,$G490))</f>
        <v/>
      </c>
      <c r="I490" s="9" t="str">
        <f ca="1">IF($G490="","",INDEX(BASE_PRODUTOS!$L$2:$L$1006,$G490))</f>
        <v/>
      </c>
      <c r="J490" s="9" t="str">
        <f ca="1">IF($G490="","",INDEX(BASE_PRODUTOS!$A$2:$A$1006,$G490))</f>
        <v/>
      </c>
      <c r="K490" s="9" t="str">
        <f ca="1">IF($G490="","",INDEX(BASE_PRODUTOS!$C$2:$C$1006,$G490))</f>
        <v/>
      </c>
      <c r="L490" s="9" t="str">
        <f ca="1">IF($G490="","",INDEX(BASE_PRODUTOS!$E$2:$E$1006,$G490))</f>
        <v/>
      </c>
      <c r="M490" s="9" t="str">
        <f ca="1">IF($G490="","",INDEX(BASE_PRODUTOS!$F$2:$F$1006,$G490))</f>
        <v/>
      </c>
      <c r="N490" s="9" t="str">
        <f ca="1">IF($G490="","",INDEX(BASE_PRODUTOS!$G$2:$G$1006,$G490))</f>
        <v/>
      </c>
      <c r="O490" s="9" t="str">
        <f ca="1">IF($G490="","",INDEX(BASE_PRODUTOS!$H$2:$H$1006,$G490))</f>
        <v/>
      </c>
      <c r="P490" s="9" t="str">
        <f ca="1">IF($G490="","",INDEX(BASE_PRODUTOS!$I$2:$I$1006,$G490))</f>
        <v/>
      </c>
      <c r="Q490" s="9" t="str">
        <f ca="1">IF($G490="","",INDEX(BASE_PRODUTOS!$J$2:$J$1006,$G490))</f>
        <v/>
      </c>
      <c r="R490" s="9" t="str">
        <f ca="1">IF($G490="","",INDEX(BASE_PRODUTOS!$M$2:$M$1006,$G490))</f>
        <v/>
      </c>
      <c r="S490" s="9" t="str">
        <f ca="1">IF($G490="","",INDEX(BASE_PRODUTOS!$N$2:$N$1006,$G490))</f>
        <v/>
      </c>
      <c r="T490" s="9" t="str">
        <f ca="1">IF($G490="","",INDEX(BASE_PRODUTOS!$D$2:$D$1006,$G490))</f>
        <v/>
      </c>
    </row>
    <row r="491" spans="7:20" ht="18" customHeight="1" x14ac:dyDescent="0.35">
      <c r="G491" t="str">
        <f ca="1">IFERROR(_xludf.aggregate(15,6,(ROW(BASE_PRODUTOS!$L$2:$L$1006)-ROW(BASE_PRODUTOS!$L$2)+1)/(BASE_PRODUTOS!$L$2:$L$1006&gt;0),ROWS($G$10:G491)),"")</f>
        <v/>
      </c>
      <c r="H491" s="9" t="str">
        <f ca="1">IF($G491="","",INDEX(BASE_PRODUTOS!$B$2:$B$1006,$G491))</f>
        <v/>
      </c>
      <c r="I491" s="9" t="str">
        <f ca="1">IF($G491="","",INDEX(BASE_PRODUTOS!$L$2:$L$1006,$G491))</f>
        <v/>
      </c>
      <c r="J491" s="9" t="str">
        <f ca="1">IF($G491="","",INDEX(BASE_PRODUTOS!$A$2:$A$1006,$G491))</f>
        <v/>
      </c>
      <c r="K491" s="9" t="str">
        <f ca="1">IF($G491="","",INDEX(BASE_PRODUTOS!$C$2:$C$1006,$G491))</f>
        <v/>
      </c>
      <c r="L491" s="9" t="str">
        <f ca="1">IF($G491="","",INDEX(BASE_PRODUTOS!$E$2:$E$1006,$G491))</f>
        <v/>
      </c>
      <c r="M491" s="9" t="str">
        <f ca="1">IF($G491="","",INDEX(BASE_PRODUTOS!$F$2:$F$1006,$G491))</f>
        <v/>
      </c>
      <c r="N491" s="9" t="str">
        <f ca="1">IF($G491="","",INDEX(BASE_PRODUTOS!$G$2:$G$1006,$G491))</f>
        <v/>
      </c>
      <c r="O491" s="9" t="str">
        <f ca="1">IF($G491="","",INDEX(BASE_PRODUTOS!$H$2:$H$1006,$G491))</f>
        <v/>
      </c>
      <c r="P491" s="9" t="str">
        <f ca="1">IF($G491="","",INDEX(BASE_PRODUTOS!$I$2:$I$1006,$G491))</f>
        <v/>
      </c>
      <c r="Q491" s="9" t="str">
        <f ca="1">IF($G491="","",INDEX(BASE_PRODUTOS!$J$2:$J$1006,$G491))</f>
        <v/>
      </c>
      <c r="R491" s="9" t="str">
        <f ca="1">IF($G491="","",INDEX(BASE_PRODUTOS!$M$2:$M$1006,$G491))</f>
        <v/>
      </c>
      <c r="S491" s="9" t="str">
        <f ca="1">IF($G491="","",INDEX(BASE_PRODUTOS!$N$2:$N$1006,$G491))</f>
        <v/>
      </c>
      <c r="T491" s="9" t="str">
        <f ca="1">IF($G491="","",INDEX(BASE_PRODUTOS!$D$2:$D$1006,$G491))</f>
        <v/>
      </c>
    </row>
    <row r="492" spans="7:20" ht="18" customHeight="1" x14ac:dyDescent="0.35">
      <c r="G492" t="str">
        <f ca="1">IFERROR(_xludf.aggregate(15,6,(ROW(BASE_PRODUTOS!$L$2:$L$1006)-ROW(BASE_PRODUTOS!$L$2)+1)/(BASE_PRODUTOS!$L$2:$L$1006&gt;0),ROWS($G$10:G492)),"")</f>
        <v/>
      </c>
      <c r="H492" s="9" t="str">
        <f ca="1">IF($G492="","",INDEX(BASE_PRODUTOS!$B$2:$B$1006,$G492))</f>
        <v/>
      </c>
      <c r="I492" s="9" t="str">
        <f ca="1">IF($G492="","",INDEX(BASE_PRODUTOS!$L$2:$L$1006,$G492))</f>
        <v/>
      </c>
      <c r="J492" s="9" t="str">
        <f ca="1">IF($G492="","",INDEX(BASE_PRODUTOS!$A$2:$A$1006,$G492))</f>
        <v/>
      </c>
      <c r="K492" s="9" t="str">
        <f ca="1">IF($G492="","",INDEX(BASE_PRODUTOS!$C$2:$C$1006,$G492))</f>
        <v/>
      </c>
      <c r="L492" s="9" t="str">
        <f ca="1">IF($G492="","",INDEX(BASE_PRODUTOS!$E$2:$E$1006,$G492))</f>
        <v/>
      </c>
      <c r="M492" s="9" t="str">
        <f ca="1">IF($G492="","",INDEX(BASE_PRODUTOS!$F$2:$F$1006,$G492))</f>
        <v/>
      </c>
      <c r="N492" s="9" t="str">
        <f ca="1">IF($G492="","",INDEX(BASE_PRODUTOS!$G$2:$G$1006,$G492))</f>
        <v/>
      </c>
      <c r="O492" s="9" t="str">
        <f ca="1">IF($G492="","",INDEX(BASE_PRODUTOS!$H$2:$H$1006,$G492))</f>
        <v/>
      </c>
      <c r="P492" s="9" t="str">
        <f ca="1">IF($G492="","",INDEX(BASE_PRODUTOS!$I$2:$I$1006,$G492))</f>
        <v/>
      </c>
      <c r="Q492" s="9" t="str">
        <f ca="1">IF($G492="","",INDEX(BASE_PRODUTOS!$J$2:$J$1006,$G492))</f>
        <v/>
      </c>
      <c r="R492" s="9" t="str">
        <f ca="1">IF($G492="","",INDEX(BASE_PRODUTOS!$M$2:$M$1006,$G492))</f>
        <v/>
      </c>
      <c r="S492" s="9" t="str">
        <f ca="1">IF($G492="","",INDEX(BASE_PRODUTOS!$N$2:$N$1006,$G492))</f>
        <v/>
      </c>
      <c r="T492" s="9" t="str">
        <f ca="1">IF($G492="","",INDEX(BASE_PRODUTOS!$D$2:$D$1006,$G492))</f>
        <v/>
      </c>
    </row>
    <row r="493" spans="7:20" ht="18" customHeight="1" x14ac:dyDescent="0.35">
      <c r="G493" t="str">
        <f ca="1">IFERROR(_xludf.aggregate(15,6,(ROW(BASE_PRODUTOS!$L$2:$L$1006)-ROW(BASE_PRODUTOS!$L$2)+1)/(BASE_PRODUTOS!$L$2:$L$1006&gt;0),ROWS($G$10:G493)),"")</f>
        <v/>
      </c>
      <c r="H493" s="9" t="str">
        <f ca="1">IF($G493="","",INDEX(BASE_PRODUTOS!$B$2:$B$1006,$G493))</f>
        <v/>
      </c>
      <c r="I493" s="9" t="str">
        <f ca="1">IF($G493="","",INDEX(BASE_PRODUTOS!$L$2:$L$1006,$G493))</f>
        <v/>
      </c>
      <c r="J493" s="9" t="str">
        <f ca="1">IF($G493="","",INDEX(BASE_PRODUTOS!$A$2:$A$1006,$G493))</f>
        <v/>
      </c>
      <c r="K493" s="9" t="str">
        <f ca="1">IF($G493="","",INDEX(BASE_PRODUTOS!$C$2:$C$1006,$G493))</f>
        <v/>
      </c>
      <c r="L493" s="9" t="str">
        <f ca="1">IF($G493="","",INDEX(BASE_PRODUTOS!$E$2:$E$1006,$G493))</f>
        <v/>
      </c>
      <c r="M493" s="9" t="str">
        <f ca="1">IF($G493="","",INDEX(BASE_PRODUTOS!$F$2:$F$1006,$G493))</f>
        <v/>
      </c>
      <c r="N493" s="9" t="str">
        <f ca="1">IF($G493="","",INDEX(BASE_PRODUTOS!$G$2:$G$1006,$G493))</f>
        <v/>
      </c>
      <c r="O493" s="9" t="str">
        <f ca="1">IF($G493="","",INDEX(BASE_PRODUTOS!$H$2:$H$1006,$G493))</f>
        <v/>
      </c>
      <c r="P493" s="9" t="str">
        <f ca="1">IF($G493="","",INDEX(BASE_PRODUTOS!$I$2:$I$1006,$G493))</f>
        <v/>
      </c>
      <c r="Q493" s="9" t="str">
        <f ca="1">IF($G493="","",INDEX(BASE_PRODUTOS!$J$2:$J$1006,$G493))</f>
        <v/>
      </c>
      <c r="R493" s="9" t="str">
        <f ca="1">IF($G493="","",INDEX(BASE_PRODUTOS!$M$2:$M$1006,$G493))</f>
        <v/>
      </c>
      <c r="S493" s="9" t="str">
        <f ca="1">IF($G493="","",INDEX(BASE_PRODUTOS!$N$2:$N$1006,$G493))</f>
        <v/>
      </c>
      <c r="T493" s="9" t="str">
        <f ca="1">IF($G493="","",INDEX(BASE_PRODUTOS!$D$2:$D$1006,$G493))</f>
        <v/>
      </c>
    </row>
    <row r="494" spans="7:20" ht="18" customHeight="1" x14ac:dyDescent="0.35">
      <c r="G494" t="str">
        <f ca="1">IFERROR(_xludf.aggregate(15,6,(ROW(BASE_PRODUTOS!$L$2:$L$1006)-ROW(BASE_PRODUTOS!$L$2)+1)/(BASE_PRODUTOS!$L$2:$L$1006&gt;0),ROWS($G$10:G494)),"")</f>
        <v/>
      </c>
      <c r="H494" s="9" t="str">
        <f ca="1">IF($G494="","",INDEX(BASE_PRODUTOS!$B$2:$B$1006,$G494))</f>
        <v/>
      </c>
      <c r="I494" s="9" t="str">
        <f ca="1">IF($G494="","",INDEX(BASE_PRODUTOS!$L$2:$L$1006,$G494))</f>
        <v/>
      </c>
      <c r="J494" s="9" t="str">
        <f ca="1">IF($G494="","",INDEX(BASE_PRODUTOS!$A$2:$A$1006,$G494))</f>
        <v/>
      </c>
      <c r="K494" s="9" t="str">
        <f ca="1">IF($G494="","",INDEX(BASE_PRODUTOS!$C$2:$C$1006,$G494))</f>
        <v/>
      </c>
      <c r="L494" s="9" t="str">
        <f ca="1">IF($G494="","",INDEX(BASE_PRODUTOS!$E$2:$E$1006,$G494))</f>
        <v/>
      </c>
      <c r="M494" s="9" t="str">
        <f ca="1">IF($G494="","",INDEX(BASE_PRODUTOS!$F$2:$F$1006,$G494))</f>
        <v/>
      </c>
      <c r="N494" s="9" t="str">
        <f ca="1">IF($G494="","",INDEX(BASE_PRODUTOS!$G$2:$G$1006,$G494))</f>
        <v/>
      </c>
      <c r="O494" s="9" t="str">
        <f ca="1">IF($G494="","",INDEX(BASE_PRODUTOS!$H$2:$H$1006,$G494))</f>
        <v/>
      </c>
      <c r="P494" s="9" t="str">
        <f ca="1">IF($G494="","",INDEX(BASE_PRODUTOS!$I$2:$I$1006,$G494))</f>
        <v/>
      </c>
      <c r="Q494" s="9" t="str">
        <f ca="1">IF($G494="","",INDEX(BASE_PRODUTOS!$J$2:$J$1006,$G494))</f>
        <v/>
      </c>
      <c r="R494" s="9" t="str">
        <f ca="1">IF($G494="","",INDEX(BASE_PRODUTOS!$M$2:$M$1006,$G494))</f>
        <v/>
      </c>
      <c r="S494" s="9" t="str">
        <f ca="1">IF($G494="","",INDEX(BASE_PRODUTOS!$N$2:$N$1006,$G494))</f>
        <v/>
      </c>
      <c r="T494" s="9" t="str">
        <f ca="1">IF($G494="","",INDEX(BASE_PRODUTOS!$D$2:$D$1006,$G494))</f>
        <v/>
      </c>
    </row>
    <row r="495" spans="7:20" ht="18" customHeight="1" x14ac:dyDescent="0.35">
      <c r="G495" t="str">
        <f ca="1">IFERROR(_xludf.aggregate(15,6,(ROW(BASE_PRODUTOS!$L$2:$L$1006)-ROW(BASE_PRODUTOS!$L$2)+1)/(BASE_PRODUTOS!$L$2:$L$1006&gt;0),ROWS($G$10:G495)),"")</f>
        <v/>
      </c>
      <c r="H495" s="9" t="str">
        <f ca="1">IF($G495="","",INDEX(BASE_PRODUTOS!$B$2:$B$1006,$G495))</f>
        <v/>
      </c>
      <c r="I495" s="9" t="str">
        <f ca="1">IF($G495="","",INDEX(BASE_PRODUTOS!$L$2:$L$1006,$G495))</f>
        <v/>
      </c>
      <c r="J495" s="9" t="str">
        <f ca="1">IF($G495="","",INDEX(BASE_PRODUTOS!$A$2:$A$1006,$G495))</f>
        <v/>
      </c>
      <c r="K495" s="9" t="str">
        <f ca="1">IF($G495="","",INDEX(BASE_PRODUTOS!$C$2:$C$1006,$G495))</f>
        <v/>
      </c>
      <c r="L495" s="9" t="str">
        <f ca="1">IF($G495="","",INDEX(BASE_PRODUTOS!$E$2:$E$1006,$G495))</f>
        <v/>
      </c>
      <c r="M495" s="9" t="str">
        <f ca="1">IF($G495="","",INDEX(BASE_PRODUTOS!$F$2:$F$1006,$G495))</f>
        <v/>
      </c>
      <c r="N495" s="9" t="str">
        <f ca="1">IF($G495="","",INDEX(BASE_PRODUTOS!$G$2:$G$1006,$G495))</f>
        <v/>
      </c>
      <c r="O495" s="9" t="str">
        <f ca="1">IF($G495="","",INDEX(BASE_PRODUTOS!$H$2:$H$1006,$G495))</f>
        <v/>
      </c>
      <c r="P495" s="9" t="str">
        <f ca="1">IF($G495="","",INDEX(BASE_PRODUTOS!$I$2:$I$1006,$G495))</f>
        <v/>
      </c>
      <c r="Q495" s="9" t="str">
        <f ca="1">IF($G495="","",INDEX(BASE_PRODUTOS!$J$2:$J$1006,$G495))</f>
        <v/>
      </c>
      <c r="R495" s="9" t="str">
        <f ca="1">IF($G495="","",INDEX(BASE_PRODUTOS!$M$2:$M$1006,$G495))</f>
        <v/>
      </c>
      <c r="S495" s="9" t="str">
        <f ca="1">IF($G495="","",INDEX(BASE_PRODUTOS!$N$2:$N$1006,$G495))</f>
        <v/>
      </c>
      <c r="T495" s="9" t="str">
        <f ca="1">IF($G495="","",INDEX(BASE_PRODUTOS!$D$2:$D$1006,$G495))</f>
        <v/>
      </c>
    </row>
    <row r="496" spans="7:20" ht="18" customHeight="1" x14ac:dyDescent="0.35">
      <c r="G496" t="str">
        <f ca="1">IFERROR(_xludf.aggregate(15,6,(ROW(BASE_PRODUTOS!$L$2:$L$1006)-ROW(BASE_PRODUTOS!$L$2)+1)/(BASE_PRODUTOS!$L$2:$L$1006&gt;0),ROWS($G$10:G496)),"")</f>
        <v/>
      </c>
      <c r="H496" s="9" t="str">
        <f ca="1">IF($G496="","",INDEX(BASE_PRODUTOS!$B$2:$B$1006,$G496))</f>
        <v/>
      </c>
      <c r="I496" s="9" t="str">
        <f ca="1">IF($G496="","",INDEX(BASE_PRODUTOS!$L$2:$L$1006,$G496))</f>
        <v/>
      </c>
      <c r="J496" s="9" t="str">
        <f ca="1">IF($G496="","",INDEX(BASE_PRODUTOS!$A$2:$A$1006,$G496))</f>
        <v/>
      </c>
      <c r="K496" s="9" t="str">
        <f ca="1">IF($G496="","",INDEX(BASE_PRODUTOS!$C$2:$C$1006,$G496))</f>
        <v/>
      </c>
      <c r="L496" s="9" t="str">
        <f ca="1">IF($G496="","",INDEX(BASE_PRODUTOS!$E$2:$E$1006,$G496))</f>
        <v/>
      </c>
      <c r="M496" s="9" t="str">
        <f ca="1">IF($G496="","",INDEX(BASE_PRODUTOS!$F$2:$F$1006,$G496))</f>
        <v/>
      </c>
      <c r="N496" s="9" t="str">
        <f ca="1">IF($G496="","",INDEX(BASE_PRODUTOS!$G$2:$G$1006,$G496))</f>
        <v/>
      </c>
      <c r="O496" s="9" t="str">
        <f ca="1">IF($G496="","",INDEX(BASE_PRODUTOS!$H$2:$H$1006,$G496))</f>
        <v/>
      </c>
      <c r="P496" s="9" t="str">
        <f ca="1">IF($G496="","",INDEX(BASE_PRODUTOS!$I$2:$I$1006,$G496))</f>
        <v/>
      </c>
      <c r="Q496" s="9" t="str">
        <f ca="1">IF($G496="","",INDEX(BASE_PRODUTOS!$J$2:$J$1006,$G496))</f>
        <v/>
      </c>
      <c r="R496" s="9" t="str">
        <f ca="1">IF($G496="","",INDEX(BASE_PRODUTOS!$M$2:$M$1006,$G496))</f>
        <v/>
      </c>
      <c r="S496" s="9" t="str">
        <f ca="1">IF($G496="","",INDEX(BASE_PRODUTOS!$N$2:$N$1006,$G496))</f>
        <v/>
      </c>
      <c r="T496" s="9" t="str">
        <f ca="1">IF($G496="","",INDEX(BASE_PRODUTOS!$D$2:$D$1006,$G496))</f>
        <v/>
      </c>
    </row>
    <row r="497" spans="7:20" ht="18" customHeight="1" x14ac:dyDescent="0.35">
      <c r="G497" t="str">
        <f ca="1">IFERROR(_xludf.aggregate(15,6,(ROW(BASE_PRODUTOS!$L$2:$L$1006)-ROW(BASE_PRODUTOS!$L$2)+1)/(BASE_PRODUTOS!$L$2:$L$1006&gt;0),ROWS($G$10:G497)),"")</f>
        <v/>
      </c>
      <c r="H497" s="9" t="str">
        <f ca="1">IF($G497="","",INDEX(BASE_PRODUTOS!$B$2:$B$1006,$G497))</f>
        <v/>
      </c>
      <c r="I497" s="9" t="str">
        <f ca="1">IF($G497="","",INDEX(BASE_PRODUTOS!$L$2:$L$1006,$G497))</f>
        <v/>
      </c>
      <c r="J497" s="9" t="str">
        <f ca="1">IF($G497="","",INDEX(BASE_PRODUTOS!$A$2:$A$1006,$G497))</f>
        <v/>
      </c>
      <c r="K497" s="9" t="str">
        <f ca="1">IF($G497="","",INDEX(BASE_PRODUTOS!$C$2:$C$1006,$G497))</f>
        <v/>
      </c>
      <c r="L497" s="9" t="str">
        <f ca="1">IF($G497="","",INDEX(BASE_PRODUTOS!$E$2:$E$1006,$G497))</f>
        <v/>
      </c>
      <c r="M497" s="9" t="str">
        <f ca="1">IF($G497="","",INDEX(BASE_PRODUTOS!$F$2:$F$1006,$G497))</f>
        <v/>
      </c>
      <c r="N497" s="9" t="str">
        <f ca="1">IF($G497="","",INDEX(BASE_PRODUTOS!$G$2:$G$1006,$G497))</f>
        <v/>
      </c>
      <c r="O497" s="9" t="str">
        <f ca="1">IF($G497="","",INDEX(BASE_PRODUTOS!$H$2:$H$1006,$G497))</f>
        <v/>
      </c>
      <c r="P497" s="9" t="str">
        <f ca="1">IF($G497="","",INDEX(BASE_PRODUTOS!$I$2:$I$1006,$G497))</f>
        <v/>
      </c>
      <c r="Q497" s="9" t="str">
        <f ca="1">IF($G497="","",INDEX(BASE_PRODUTOS!$J$2:$J$1006,$G497))</f>
        <v/>
      </c>
      <c r="R497" s="9" t="str">
        <f ca="1">IF($G497="","",INDEX(BASE_PRODUTOS!$M$2:$M$1006,$G497))</f>
        <v/>
      </c>
      <c r="S497" s="9" t="str">
        <f ca="1">IF($G497="","",INDEX(BASE_PRODUTOS!$N$2:$N$1006,$G497))</f>
        <v/>
      </c>
      <c r="T497" s="9" t="str">
        <f ca="1">IF($G497="","",INDEX(BASE_PRODUTOS!$D$2:$D$1006,$G497))</f>
        <v/>
      </c>
    </row>
    <row r="498" spans="7:20" ht="18" customHeight="1" x14ac:dyDescent="0.35">
      <c r="G498" t="str">
        <f ca="1">IFERROR(_xludf.aggregate(15,6,(ROW(BASE_PRODUTOS!$L$2:$L$1006)-ROW(BASE_PRODUTOS!$L$2)+1)/(BASE_PRODUTOS!$L$2:$L$1006&gt;0),ROWS($G$10:G498)),"")</f>
        <v/>
      </c>
      <c r="H498" s="9" t="str">
        <f ca="1">IF($G498="","",INDEX(BASE_PRODUTOS!$B$2:$B$1006,$G498))</f>
        <v/>
      </c>
      <c r="I498" s="9" t="str">
        <f ca="1">IF($G498="","",INDEX(BASE_PRODUTOS!$L$2:$L$1006,$G498))</f>
        <v/>
      </c>
      <c r="J498" s="9" t="str">
        <f ca="1">IF($G498="","",INDEX(BASE_PRODUTOS!$A$2:$A$1006,$G498))</f>
        <v/>
      </c>
      <c r="K498" s="9" t="str">
        <f ca="1">IF($G498="","",INDEX(BASE_PRODUTOS!$C$2:$C$1006,$G498))</f>
        <v/>
      </c>
      <c r="L498" s="9" t="str">
        <f ca="1">IF($G498="","",INDEX(BASE_PRODUTOS!$E$2:$E$1006,$G498))</f>
        <v/>
      </c>
      <c r="M498" s="9" t="str">
        <f ca="1">IF($G498="","",INDEX(BASE_PRODUTOS!$F$2:$F$1006,$G498))</f>
        <v/>
      </c>
      <c r="N498" s="9" t="str">
        <f ca="1">IF($G498="","",INDEX(BASE_PRODUTOS!$G$2:$G$1006,$G498))</f>
        <v/>
      </c>
      <c r="O498" s="9" t="str">
        <f ca="1">IF($G498="","",INDEX(BASE_PRODUTOS!$H$2:$H$1006,$G498))</f>
        <v/>
      </c>
      <c r="P498" s="9" t="str">
        <f ca="1">IF($G498="","",INDEX(BASE_PRODUTOS!$I$2:$I$1006,$G498))</f>
        <v/>
      </c>
      <c r="Q498" s="9" t="str">
        <f ca="1">IF($G498="","",INDEX(BASE_PRODUTOS!$J$2:$J$1006,$G498))</f>
        <v/>
      </c>
      <c r="R498" s="9" t="str">
        <f ca="1">IF($G498="","",INDEX(BASE_PRODUTOS!$M$2:$M$1006,$G498))</f>
        <v/>
      </c>
      <c r="S498" s="9" t="str">
        <f ca="1">IF($G498="","",INDEX(BASE_PRODUTOS!$N$2:$N$1006,$G498))</f>
        <v/>
      </c>
      <c r="T498" s="9" t="str">
        <f ca="1">IF($G498="","",INDEX(BASE_PRODUTOS!$D$2:$D$1006,$G498))</f>
        <v/>
      </c>
    </row>
    <row r="499" spans="7:20" ht="18" customHeight="1" x14ac:dyDescent="0.35">
      <c r="G499" t="str">
        <f ca="1">IFERROR(_xludf.aggregate(15,6,(ROW(BASE_PRODUTOS!$L$2:$L$1006)-ROW(BASE_PRODUTOS!$L$2)+1)/(BASE_PRODUTOS!$L$2:$L$1006&gt;0),ROWS($G$10:G499)),"")</f>
        <v/>
      </c>
      <c r="H499" s="9" t="str">
        <f ca="1">IF($G499="","",INDEX(BASE_PRODUTOS!$B$2:$B$1006,$G499))</f>
        <v/>
      </c>
      <c r="I499" s="9" t="str">
        <f ca="1">IF($G499="","",INDEX(BASE_PRODUTOS!$L$2:$L$1006,$G499))</f>
        <v/>
      </c>
      <c r="J499" s="9" t="str">
        <f ca="1">IF($G499="","",INDEX(BASE_PRODUTOS!$A$2:$A$1006,$G499))</f>
        <v/>
      </c>
      <c r="K499" s="9" t="str">
        <f ca="1">IF($G499="","",INDEX(BASE_PRODUTOS!$C$2:$C$1006,$G499))</f>
        <v/>
      </c>
      <c r="L499" s="9" t="str">
        <f ca="1">IF($G499="","",INDEX(BASE_PRODUTOS!$E$2:$E$1006,$G499))</f>
        <v/>
      </c>
      <c r="M499" s="9" t="str">
        <f ca="1">IF($G499="","",INDEX(BASE_PRODUTOS!$F$2:$F$1006,$G499))</f>
        <v/>
      </c>
      <c r="N499" s="9" t="str">
        <f ca="1">IF($G499="","",INDEX(BASE_PRODUTOS!$G$2:$G$1006,$G499))</f>
        <v/>
      </c>
      <c r="O499" s="9" t="str">
        <f ca="1">IF($G499="","",INDEX(BASE_PRODUTOS!$H$2:$H$1006,$G499))</f>
        <v/>
      </c>
      <c r="P499" s="9" t="str">
        <f ca="1">IF($G499="","",INDEX(BASE_PRODUTOS!$I$2:$I$1006,$G499))</f>
        <v/>
      </c>
      <c r="Q499" s="9" t="str">
        <f ca="1">IF($G499="","",INDEX(BASE_PRODUTOS!$J$2:$J$1006,$G499))</f>
        <v/>
      </c>
      <c r="R499" s="9" t="str">
        <f ca="1">IF($G499="","",INDEX(BASE_PRODUTOS!$M$2:$M$1006,$G499))</f>
        <v/>
      </c>
      <c r="S499" s="9" t="str">
        <f ca="1">IF($G499="","",INDEX(BASE_PRODUTOS!$N$2:$N$1006,$G499))</f>
        <v/>
      </c>
      <c r="T499" s="9" t="str">
        <f ca="1">IF($G499="","",INDEX(BASE_PRODUTOS!$D$2:$D$1006,$G499))</f>
        <v/>
      </c>
    </row>
    <row r="500" spans="7:20" ht="18" customHeight="1" x14ac:dyDescent="0.35">
      <c r="G500" t="str">
        <f ca="1">IFERROR(_xludf.aggregate(15,6,(ROW(BASE_PRODUTOS!$L$2:$L$1006)-ROW(BASE_PRODUTOS!$L$2)+1)/(BASE_PRODUTOS!$L$2:$L$1006&gt;0),ROWS($G$10:G500)),"")</f>
        <v/>
      </c>
      <c r="H500" s="9" t="str">
        <f ca="1">IF($G500="","",INDEX(BASE_PRODUTOS!$B$2:$B$1006,$G500))</f>
        <v/>
      </c>
      <c r="I500" s="9" t="str">
        <f ca="1">IF($G500="","",INDEX(BASE_PRODUTOS!$L$2:$L$1006,$G500))</f>
        <v/>
      </c>
      <c r="J500" s="9" t="str">
        <f ca="1">IF($G500="","",INDEX(BASE_PRODUTOS!$A$2:$A$1006,$G500))</f>
        <v/>
      </c>
      <c r="K500" s="9" t="str">
        <f ca="1">IF($G500="","",INDEX(BASE_PRODUTOS!$C$2:$C$1006,$G500))</f>
        <v/>
      </c>
      <c r="L500" s="9" t="str">
        <f ca="1">IF($G500="","",INDEX(BASE_PRODUTOS!$E$2:$E$1006,$G500))</f>
        <v/>
      </c>
      <c r="M500" s="9" t="str">
        <f ca="1">IF($G500="","",INDEX(BASE_PRODUTOS!$F$2:$F$1006,$G500))</f>
        <v/>
      </c>
      <c r="N500" s="9" t="str">
        <f ca="1">IF($G500="","",INDEX(BASE_PRODUTOS!$G$2:$G$1006,$G500))</f>
        <v/>
      </c>
      <c r="O500" s="9" t="str">
        <f ca="1">IF($G500="","",INDEX(BASE_PRODUTOS!$H$2:$H$1006,$G500))</f>
        <v/>
      </c>
      <c r="P500" s="9" t="str">
        <f ca="1">IF($G500="","",INDEX(BASE_PRODUTOS!$I$2:$I$1006,$G500))</f>
        <v/>
      </c>
      <c r="Q500" s="9" t="str">
        <f ca="1">IF($G500="","",INDEX(BASE_PRODUTOS!$J$2:$J$1006,$G500))</f>
        <v/>
      </c>
      <c r="R500" s="9" t="str">
        <f ca="1">IF($G500="","",INDEX(BASE_PRODUTOS!$M$2:$M$1006,$G500))</f>
        <v/>
      </c>
      <c r="S500" s="9" t="str">
        <f ca="1">IF($G500="","",INDEX(BASE_PRODUTOS!$N$2:$N$1006,$G500))</f>
        <v/>
      </c>
      <c r="T500" s="9" t="str">
        <f ca="1">IF($G500="","",INDEX(BASE_PRODUTOS!$D$2:$D$1006,$G500))</f>
        <v/>
      </c>
    </row>
    <row r="501" spans="7:20" ht="18" customHeight="1" x14ac:dyDescent="0.35">
      <c r="G501" t="str">
        <f ca="1">IFERROR(_xludf.aggregate(15,6,(ROW(BASE_PRODUTOS!$L$2:$L$1006)-ROW(BASE_PRODUTOS!$L$2)+1)/(BASE_PRODUTOS!$L$2:$L$1006&gt;0),ROWS($G$10:G501)),"")</f>
        <v/>
      </c>
      <c r="H501" s="9" t="str">
        <f ca="1">IF($G501="","",INDEX(BASE_PRODUTOS!$B$2:$B$1006,$G501))</f>
        <v/>
      </c>
      <c r="I501" s="9" t="str">
        <f ca="1">IF($G501="","",INDEX(BASE_PRODUTOS!$L$2:$L$1006,$G501))</f>
        <v/>
      </c>
      <c r="J501" s="9" t="str">
        <f ca="1">IF($G501="","",INDEX(BASE_PRODUTOS!$A$2:$A$1006,$G501))</f>
        <v/>
      </c>
      <c r="K501" s="9" t="str">
        <f ca="1">IF($G501="","",INDEX(BASE_PRODUTOS!$C$2:$C$1006,$G501))</f>
        <v/>
      </c>
      <c r="L501" s="9" t="str">
        <f ca="1">IF($G501="","",INDEX(BASE_PRODUTOS!$E$2:$E$1006,$G501))</f>
        <v/>
      </c>
      <c r="M501" s="9" t="str">
        <f ca="1">IF($G501="","",INDEX(BASE_PRODUTOS!$F$2:$F$1006,$G501))</f>
        <v/>
      </c>
      <c r="N501" s="9" t="str">
        <f ca="1">IF($G501="","",INDEX(BASE_PRODUTOS!$G$2:$G$1006,$G501))</f>
        <v/>
      </c>
      <c r="O501" s="9" t="str">
        <f ca="1">IF($G501="","",INDEX(BASE_PRODUTOS!$H$2:$H$1006,$G501))</f>
        <v/>
      </c>
      <c r="P501" s="9" t="str">
        <f ca="1">IF($G501="","",INDEX(BASE_PRODUTOS!$I$2:$I$1006,$G501))</f>
        <v/>
      </c>
      <c r="Q501" s="9" t="str">
        <f ca="1">IF($G501="","",INDEX(BASE_PRODUTOS!$J$2:$J$1006,$G501))</f>
        <v/>
      </c>
      <c r="R501" s="9" t="str">
        <f ca="1">IF($G501="","",INDEX(BASE_PRODUTOS!$M$2:$M$1006,$G501))</f>
        <v/>
      </c>
      <c r="S501" s="9" t="str">
        <f ca="1">IF($G501="","",INDEX(BASE_PRODUTOS!$N$2:$N$1006,$G501))</f>
        <v/>
      </c>
      <c r="T501" s="9" t="str">
        <f ca="1">IF($G501="","",INDEX(BASE_PRODUTOS!$D$2:$D$1006,$G501))</f>
        <v/>
      </c>
    </row>
    <row r="502" spans="7:20" ht="18" customHeight="1" x14ac:dyDescent="0.35">
      <c r="G502" t="str">
        <f ca="1">IFERROR(_xludf.aggregate(15,6,(ROW(BASE_PRODUTOS!$L$2:$L$1006)-ROW(BASE_PRODUTOS!$L$2)+1)/(BASE_PRODUTOS!$L$2:$L$1006&gt;0),ROWS($G$10:G502)),"")</f>
        <v/>
      </c>
      <c r="H502" s="9" t="str">
        <f ca="1">IF($G502="","",INDEX(BASE_PRODUTOS!$B$2:$B$1006,$G502))</f>
        <v/>
      </c>
      <c r="I502" s="9" t="str">
        <f ca="1">IF($G502="","",INDEX(BASE_PRODUTOS!$L$2:$L$1006,$G502))</f>
        <v/>
      </c>
      <c r="J502" s="9" t="str">
        <f ca="1">IF($G502="","",INDEX(BASE_PRODUTOS!$A$2:$A$1006,$G502))</f>
        <v/>
      </c>
      <c r="K502" s="9" t="str">
        <f ca="1">IF($G502="","",INDEX(BASE_PRODUTOS!$C$2:$C$1006,$G502))</f>
        <v/>
      </c>
      <c r="L502" s="9" t="str">
        <f ca="1">IF($G502="","",INDEX(BASE_PRODUTOS!$E$2:$E$1006,$G502))</f>
        <v/>
      </c>
      <c r="M502" s="9" t="str">
        <f ca="1">IF($G502="","",INDEX(BASE_PRODUTOS!$F$2:$F$1006,$G502))</f>
        <v/>
      </c>
      <c r="N502" s="9" t="str">
        <f ca="1">IF($G502="","",INDEX(BASE_PRODUTOS!$G$2:$G$1006,$G502))</f>
        <v/>
      </c>
      <c r="O502" s="9" t="str">
        <f ca="1">IF($G502="","",INDEX(BASE_PRODUTOS!$H$2:$H$1006,$G502))</f>
        <v/>
      </c>
      <c r="P502" s="9" t="str">
        <f ca="1">IF($G502="","",INDEX(BASE_PRODUTOS!$I$2:$I$1006,$G502))</f>
        <v/>
      </c>
      <c r="Q502" s="9" t="str">
        <f ca="1">IF($G502="","",INDEX(BASE_PRODUTOS!$J$2:$J$1006,$G502))</f>
        <v/>
      </c>
      <c r="R502" s="9" t="str">
        <f ca="1">IF($G502="","",INDEX(BASE_PRODUTOS!$M$2:$M$1006,$G502))</f>
        <v/>
      </c>
      <c r="S502" s="9" t="str">
        <f ca="1">IF($G502="","",INDEX(BASE_PRODUTOS!$N$2:$N$1006,$G502))</f>
        <v/>
      </c>
      <c r="T502" s="9" t="str">
        <f ca="1">IF($G502="","",INDEX(BASE_PRODUTOS!$D$2:$D$1006,$G502))</f>
        <v/>
      </c>
    </row>
    <row r="503" spans="7:20" ht="18" customHeight="1" x14ac:dyDescent="0.35">
      <c r="G503" t="str">
        <f ca="1">IFERROR(_xludf.aggregate(15,6,(ROW(BASE_PRODUTOS!$L$2:$L$1006)-ROW(BASE_PRODUTOS!$L$2)+1)/(BASE_PRODUTOS!$L$2:$L$1006&gt;0),ROWS($G$10:G503)),"")</f>
        <v/>
      </c>
      <c r="H503" s="9" t="str">
        <f ca="1">IF($G503="","",INDEX(BASE_PRODUTOS!$B$2:$B$1006,$G503))</f>
        <v/>
      </c>
      <c r="I503" s="9" t="str">
        <f ca="1">IF($G503="","",INDEX(BASE_PRODUTOS!$L$2:$L$1006,$G503))</f>
        <v/>
      </c>
      <c r="J503" s="9" t="str">
        <f ca="1">IF($G503="","",INDEX(BASE_PRODUTOS!$A$2:$A$1006,$G503))</f>
        <v/>
      </c>
      <c r="K503" s="9" t="str">
        <f ca="1">IF($G503="","",INDEX(BASE_PRODUTOS!$C$2:$C$1006,$G503))</f>
        <v/>
      </c>
      <c r="L503" s="9" t="str">
        <f ca="1">IF($G503="","",INDEX(BASE_PRODUTOS!$E$2:$E$1006,$G503))</f>
        <v/>
      </c>
      <c r="M503" s="9" t="str">
        <f ca="1">IF($G503="","",INDEX(BASE_PRODUTOS!$F$2:$F$1006,$G503))</f>
        <v/>
      </c>
      <c r="N503" s="9" t="str">
        <f ca="1">IF($G503="","",INDEX(BASE_PRODUTOS!$G$2:$G$1006,$G503))</f>
        <v/>
      </c>
      <c r="O503" s="9" t="str">
        <f ca="1">IF($G503="","",INDEX(BASE_PRODUTOS!$H$2:$H$1006,$G503))</f>
        <v/>
      </c>
      <c r="P503" s="9" t="str">
        <f ca="1">IF($G503="","",INDEX(BASE_PRODUTOS!$I$2:$I$1006,$G503))</f>
        <v/>
      </c>
      <c r="Q503" s="9" t="str">
        <f ca="1">IF($G503="","",INDEX(BASE_PRODUTOS!$J$2:$J$1006,$G503))</f>
        <v/>
      </c>
      <c r="R503" s="9" t="str">
        <f ca="1">IF($G503="","",INDEX(BASE_PRODUTOS!$M$2:$M$1006,$G503))</f>
        <v/>
      </c>
      <c r="S503" s="9" t="str">
        <f ca="1">IF($G503="","",INDEX(BASE_PRODUTOS!$N$2:$N$1006,$G503))</f>
        <v/>
      </c>
      <c r="T503" s="9" t="str">
        <f ca="1">IF($G503="","",INDEX(BASE_PRODUTOS!$D$2:$D$1006,$G503))</f>
        <v/>
      </c>
    </row>
    <row r="504" spans="7:20" ht="18" customHeight="1" x14ac:dyDescent="0.35">
      <c r="G504" t="str">
        <f ca="1">IFERROR(_xludf.aggregate(15,6,(ROW(BASE_PRODUTOS!$L$2:$L$1006)-ROW(BASE_PRODUTOS!$L$2)+1)/(BASE_PRODUTOS!$L$2:$L$1006&gt;0),ROWS($G$10:G504)),"")</f>
        <v/>
      </c>
      <c r="H504" s="9" t="str">
        <f ca="1">IF($G504="","",INDEX(BASE_PRODUTOS!$B$2:$B$1006,$G504))</f>
        <v/>
      </c>
      <c r="I504" s="9" t="str">
        <f ca="1">IF($G504="","",INDEX(BASE_PRODUTOS!$L$2:$L$1006,$G504))</f>
        <v/>
      </c>
      <c r="J504" s="9" t="str">
        <f ca="1">IF($G504="","",INDEX(BASE_PRODUTOS!$A$2:$A$1006,$G504))</f>
        <v/>
      </c>
      <c r="K504" s="9" t="str">
        <f ca="1">IF($G504="","",INDEX(BASE_PRODUTOS!$C$2:$C$1006,$G504))</f>
        <v/>
      </c>
      <c r="L504" s="9" t="str">
        <f ca="1">IF($G504="","",INDEX(BASE_PRODUTOS!$E$2:$E$1006,$G504))</f>
        <v/>
      </c>
      <c r="M504" s="9" t="str">
        <f ca="1">IF($G504="","",INDEX(BASE_PRODUTOS!$F$2:$F$1006,$G504))</f>
        <v/>
      </c>
      <c r="N504" s="9" t="str">
        <f ca="1">IF($G504="","",INDEX(BASE_PRODUTOS!$G$2:$G$1006,$G504))</f>
        <v/>
      </c>
      <c r="O504" s="9" t="str">
        <f ca="1">IF($G504="","",INDEX(BASE_PRODUTOS!$H$2:$H$1006,$G504))</f>
        <v/>
      </c>
      <c r="P504" s="9" t="str">
        <f ca="1">IF($G504="","",INDEX(BASE_PRODUTOS!$I$2:$I$1006,$G504))</f>
        <v/>
      </c>
      <c r="Q504" s="9" t="str">
        <f ca="1">IF($G504="","",INDEX(BASE_PRODUTOS!$J$2:$J$1006,$G504))</f>
        <v/>
      </c>
      <c r="R504" s="9" t="str">
        <f ca="1">IF($G504="","",INDEX(BASE_PRODUTOS!$M$2:$M$1006,$G504))</f>
        <v/>
      </c>
      <c r="S504" s="9" t="str">
        <f ca="1">IF($G504="","",INDEX(BASE_PRODUTOS!$N$2:$N$1006,$G504))</f>
        <v/>
      </c>
      <c r="T504" s="9" t="str">
        <f ca="1">IF($G504="","",INDEX(BASE_PRODUTOS!$D$2:$D$1006,$G504))</f>
        <v/>
      </c>
    </row>
    <row r="505" spans="7:20" ht="18" customHeight="1" x14ac:dyDescent="0.35">
      <c r="G505" t="str">
        <f ca="1">IFERROR(_xludf.aggregate(15,6,(ROW(BASE_PRODUTOS!$L$2:$L$1006)-ROW(BASE_PRODUTOS!$L$2)+1)/(BASE_PRODUTOS!$L$2:$L$1006&gt;0),ROWS($G$10:G505)),"")</f>
        <v/>
      </c>
      <c r="H505" s="9" t="str">
        <f ca="1">IF($G505="","",INDEX(BASE_PRODUTOS!$B$2:$B$1006,$G505))</f>
        <v/>
      </c>
      <c r="I505" s="9" t="str">
        <f ca="1">IF($G505="","",INDEX(BASE_PRODUTOS!$L$2:$L$1006,$G505))</f>
        <v/>
      </c>
      <c r="J505" s="9" t="str">
        <f ca="1">IF($G505="","",INDEX(BASE_PRODUTOS!$A$2:$A$1006,$G505))</f>
        <v/>
      </c>
      <c r="K505" s="9" t="str">
        <f ca="1">IF($G505="","",INDEX(BASE_PRODUTOS!$C$2:$C$1006,$G505))</f>
        <v/>
      </c>
      <c r="L505" s="9" t="str">
        <f ca="1">IF($G505="","",INDEX(BASE_PRODUTOS!$E$2:$E$1006,$G505))</f>
        <v/>
      </c>
      <c r="M505" s="9" t="str">
        <f ca="1">IF($G505="","",INDEX(BASE_PRODUTOS!$F$2:$F$1006,$G505))</f>
        <v/>
      </c>
      <c r="N505" s="9" t="str">
        <f ca="1">IF($G505="","",INDEX(BASE_PRODUTOS!$G$2:$G$1006,$G505))</f>
        <v/>
      </c>
      <c r="O505" s="9" t="str">
        <f ca="1">IF($G505="","",INDEX(BASE_PRODUTOS!$H$2:$H$1006,$G505))</f>
        <v/>
      </c>
      <c r="P505" s="9" t="str">
        <f ca="1">IF($G505="","",INDEX(BASE_PRODUTOS!$I$2:$I$1006,$G505))</f>
        <v/>
      </c>
      <c r="Q505" s="9" t="str">
        <f ca="1">IF($G505="","",INDEX(BASE_PRODUTOS!$J$2:$J$1006,$G505))</f>
        <v/>
      </c>
      <c r="R505" s="9" t="str">
        <f ca="1">IF($G505="","",INDEX(BASE_PRODUTOS!$M$2:$M$1006,$G505))</f>
        <v/>
      </c>
      <c r="S505" s="9" t="str">
        <f ca="1">IF($G505="","",INDEX(BASE_PRODUTOS!$N$2:$N$1006,$G505))</f>
        <v/>
      </c>
      <c r="T505" s="9" t="str">
        <f ca="1">IF($G505="","",INDEX(BASE_PRODUTOS!$D$2:$D$1006,$G505))</f>
        <v/>
      </c>
    </row>
    <row r="506" spans="7:20" ht="18" customHeight="1" x14ac:dyDescent="0.35">
      <c r="G506" t="str">
        <f ca="1">IFERROR(_xludf.aggregate(15,6,(ROW(BASE_PRODUTOS!$L$2:$L$1006)-ROW(BASE_PRODUTOS!$L$2)+1)/(BASE_PRODUTOS!$L$2:$L$1006&gt;0),ROWS($G$10:G506)),"")</f>
        <v/>
      </c>
      <c r="H506" s="9" t="str">
        <f ca="1">IF($G506="","",INDEX(BASE_PRODUTOS!$B$2:$B$1006,$G506))</f>
        <v/>
      </c>
      <c r="I506" s="9" t="str">
        <f ca="1">IF($G506="","",INDEX(BASE_PRODUTOS!$L$2:$L$1006,$G506))</f>
        <v/>
      </c>
      <c r="J506" s="9" t="str">
        <f ca="1">IF($G506="","",INDEX(BASE_PRODUTOS!$A$2:$A$1006,$G506))</f>
        <v/>
      </c>
      <c r="K506" s="9" t="str">
        <f ca="1">IF($G506="","",INDEX(BASE_PRODUTOS!$C$2:$C$1006,$G506))</f>
        <v/>
      </c>
      <c r="L506" s="9" t="str">
        <f ca="1">IF($G506="","",INDEX(BASE_PRODUTOS!$E$2:$E$1006,$G506))</f>
        <v/>
      </c>
      <c r="M506" s="9" t="str">
        <f ca="1">IF($G506="","",INDEX(BASE_PRODUTOS!$F$2:$F$1006,$G506))</f>
        <v/>
      </c>
      <c r="N506" s="9" t="str">
        <f ca="1">IF($G506="","",INDEX(BASE_PRODUTOS!$G$2:$G$1006,$G506))</f>
        <v/>
      </c>
      <c r="O506" s="9" t="str">
        <f ca="1">IF($G506="","",INDEX(BASE_PRODUTOS!$H$2:$H$1006,$G506))</f>
        <v/>
      </c>
      <c r="P506" s="9" t="str">
        <f ca="1">IF($G506="","",INDEX(BASE_PRODUTOS!$I$2:$I$1006,$G506))</f>
        <v/>
      </c>
      <c r="Q506" s="9" t="str">
        <f ca="1">IF($G506="","",INDEX(BASE_PRODUTOS!$J$2:$J$1006,$G506))</f>
        <v/>
      </c>
      <c r="R506" s="9" t="str">
        <f ca="1">IF($G506="","",INDEX(BASE_PRODUTOS!$M$2:$M$1006,$G506))</f>
        <v/>
      </c>
      <c r="S506" s="9" t="str">
        <f ca="1">IF($G506="","",INDEX(BASE_PRODUTOS!$N$2:$N$1006,$G506))</f>
        <v/>
      </c>
      <c r="T506" s="9" t="str">
        <f ca="1">IF($G506="","",INDEX(BASE_PRODUTOS!$D$2:$D$1006,$G506))</f>
        <v/>
      </c>
    </row>
    <row r="507" spans="7:20" ht="18" customHeight="1" x14ac:dyDescent="0.35">
      <c r="G507" t="str">
        <f ca="1">IFERROR(_xludf.aggregate(15,6,(ROW(BASE_PRODUTOS!$L$2:$L$1006)-ROW(BASE_PRODUTOS!$L$2)+1)/(BASE_PRODUTOS!$L$2:$L$1006&gt;0),ROWS($G$10:G507)),"")</f>
        <v/>
      </c>
      <c r="H507" s="9" t="str">
        <f ca="1">IF($G507="","",INDEX(BASE_PRODUTOS!$B$2:$B$1006,$G507))</f>
        <v/>
      </c>
      <c r="I507" s="9" t="str">
        <f ca="1">IF($G507="","",INDEX(BASE_PRODUTOS!$L$2:$L$1006,$G507))</f>
        <v/>
      </c>
      <c r="J507" s="9" t="str">
        <f ca="1">IF($G507="","",INDEX(BASE_PRODUTOS!$A$2:$A$1006,$G507))</f>
        <v/>
      </c>
      <c r="K507" s="9" t="str">
        <f ca="1">IF($G507="","",INDEX(BASE_PRODUTOS!$C$2:$C$1006,$G507))</f>
        <v/>
      </c>
      <c r="L507" s="9" t="str">
        <f ca="1">IF($G507="","",INDEX(BASE_PRODUTOS!$E$2:$E$1006,$G507))</f>
        <v/>
      </c>
      <c r="M507" s="9" t="str">
        <f ca="1">IF($G507="","",INDEX(BASE_PRODUTOS!$F$2:$F$1006,$G507))</f>
        <v/>
      </c>
      <c r="N507" s="9" t="str">
        <f ca="1">IF($G507="","",INDEX(BASE_PRODUTOS!$G$2:$G$1006,$G507))</f>
        <v/>
      </c>
      <c r="O507" s="9" t="str">
        <f ca="1">IF($G507="","",INDEX(BASE_PRODUTOS!$H$2:$H$1006,$G507))</f>
        <v/>
      </c>
      <c r="P507" s="9" t="str">
        <f ca="1">IF($G507="","",INDEX(BASE_PRODUTOS!$I$2:$I$1006,$G507))</f>
        <v/>
      </c>
      <c r="Q507" s="9" t="str">
        <f ca="1">IF($G507="","",INDEX(BASE_PRODUTOS!$J$2:$J$1006,$G507))</f>
        <v/>
      </c>
      <c r="R507" s="9" t="str">
        <f ca="1">IF($G507="","",INDEX(BASE_PRODUTOS!$M$2:$M$1006,$G507))</f>
        <v/>
      </c>
      <c r="S507" s="9" t="str">
        <f ca="1">IF($G507="","",INDEX(BASE_PRODUTOS!$N$2:$N$1006,$G507))</f>
        <v/>
      </c>
      <c r="T507" s="9" t="str">
        <f ca="1">IF($G507="","",INDEX(BASE_PRODUTOS!$D$2:$D$1006,$G507))</f>
        <v/>
      </c>
    </row>
    <row r="508" spans="7:20" ht="18" customHeight="1" x14ac:dyDescent="0.35">
      <c r="G508" t="str">
        <f ca="1">IFERROR(_xludf.aggregate(15,6,(ROW(BASE_PRODUTOS!$L$2:$L$1006)-ROW(BASE_PRODUTOS!$L$2)+1)/(BASE_PRODUTOS!$L$2:$L$1006&gt;0),ROWS($G$10:G508)),"")</f>
        <v/>
      </c>
      <c r="H508" s="9" t="str">
        <f ca="1">IF($G508="","",INDEX(BASE_PRODUTOS!$B$2:$B$1006,$G508))</f>
        <v/>
      </c>
      <c r="I508" s="9" t="str">
        <f ca="1">IF($G508="","",INDEX(BASE_PRODUTOS!$L$2:$L$1006,$G508))</f>
        <v/>
      </c>
      <c r="J508" s="9" t="str">
        <f ca="1">IF($G508="","",INDEX(BASE_PRODUTOS!$A$2:$A$1006,$G508))</f>
        <v/>
      </c>
      <c r="K508" s="9" t="str">
        <f ca="1">IF($G508="","",INDEX(BASE_PRODUTOS!$C$2:$C$1006,$G508))</f>
        <v/>
      </c>
      <c r="L508" s="9" t="str">
        <f ca="1">IF($G508="","",INDEX(BASE_PRODUTOS!$E$2:$E$1006,$G508))</f>
        <v/>
      </c>
      <c r="M508" s="9" t="str">
        <f ca="1">IF($G508="","",INDEX(BASE_PRODUTOS!$F$2:$F$1006,$G508))</f>
        <v/>
      </c>
      <c r="N508" s="9" t="str">
        <f ca="1">IF($G508="","",INDEX(BASE_PRODUTOS!$G$2:$G$1006,$G508))</f>
        <v/>
      </c>
      <c r="O508" s="9" t="str">
        <f ca="1">IF($G508="","",INDEX(BASE_PRODUTOS!$H$2:$H$1006,$G508))</f>
        <v/>
      </c>
      <c r="P508" s="9" t="str">
        <f ca="1">IF($G508="","",INDEX(BASE_PRODUTOS!$I$2:$I$1006,$G508))</f>
        <v/>
      </c>
      <c r="Q508" s="9" t="str">
        <f ca="1">IF($G508="","",INDEX(BASE_PRODUTOS!$J$2:$J$1006,$G508))</f>
        <v/>
      </c>
      <c r="R508" s="9" t="str">
        <f ca="1">IF($G508="","",INDEX(BASE_PRODUTOS!$M$2:$M$1006,$G508))</f>
        <v/>
      </c>
      <c r="S508" s="9" t="str">
        <f ca="1">IF($G508="","",INDEX(BASE_PRODUTOS!$N$2:$N$1006,$G508))</f>
        <v/>
      </c>
      <c r="T508" s="9" t="str">
        <f ca="1">IF($G508="","",INDEX(BASE_PRODUTOS!$D$2:$D$1006,$G508))</f>
        <v/>
      </c>
    </row>
    <row r="509" spans="7:20" ht="18" customHeight="1" x14ac:dyDescent="0.35">
      <c r="G509" t="str">
        <f ca="1">IFERROR(_xludf.aggregate(15,6,(ROW(BASE_PRODUTOS!$L$2:$L$1006)-ROW(BASE_PRODUTOS!$L$2)+1)/(BASE_PRODUTOS!$L$2:$L$1006&gt;0),ROWS($G$10:G509)),"")</f>
        <v/>
      </c>
      <c r="H509" s="9" t="str">
        <f ca="1">IF($G509="","",INDEX(BASE_PRODUTOS!$B$2:$B$1006,$G509))</f>
        <v/>
      </c>
      <c r="I509" s="9" t="str">
        <f ca="1">IF($G509="","",INDEX(BASE_PRODUTOS!$L$2:$L$1006,$G509))</f>
        <v/>
      </c>
      <c r="J509" s="9" t="str">
        <f ca="1">IF($G509="","",INDEX(BASE_PRODUTOS!$A$2:$A$1006,$G509))</f>
        <v/>
      </c>
      <c r="K509" s="9" t="str">
        <f ca="1">IF($G509="","",INDEX(BASE_PRODUTOS!$C$2:$C$1006,$G509))</f>
        <v/>
      </c>
      <c r="L509" s="9" t="str">
        <f ca="1">IF($G509="","",INDEX(BASE_PRODUTOS!$E$2:$E$1006,$G509))</f>
        <v/>
      </c>
      <c r="M509" s="9" t="str">
        <f ca="1">IF($G509="","",INDEX(BASE_PRODUTOS!$F$2:$F$1006,$G509))</f>
        <v/>
      </c>
      <c r="N509" s="9" t="str">
        <f ca="1">IF($G509="","",INDEX(BASE_PRODUTOS!$G$2:$G$1006,$G509))</f>
        <v/>
      </c>
      <c r="O509" s="9" t="str">
        <f ca="1">IF($G509="","",INDEX(BASE_PRODUTOS!$H$2:$H$1006,$G509))</f>
        <v/>
      </c>
      <c r="P509" s="9" t="str">
        <f ca="1">IF($G509="","",INDEX(BASE_PRODUTOS!$I$2:$I$1006,$G509))</f>
        <v/>
      </c>
      <c r="Q509" s="9" t="str">
        <f ca="1">IF($G509="","",INDEX(BASE_PRODUTOS!$J$2:$J$1006,$G509))</f>
        <v/>
      </c>
      <c r="R509" s="9" t="str">
        <f ca="1">IF($G509="","",INDEX(BASE_PRODUTOS!$M$2:$M$1006,$G509))</f>
        <v/>
      </c>
      <c r="S509" s="9" t="str">
        <f ca="1">IF($G509="","",INDEX(BASE_PRODUTOS!$N$2:$N$1006,$G509))</f>
        <v/>
      </c>
      <c r="T509" s="9" t="str">
        <f ca="1">IF($G509="","",INDEX(BASE_PRODUTOS!$D$2:$D$1006,$G509))</f>
        <v/>
      </c>
    </row>
    <row r="510" spans="7:20" ht="18" customHeight="1" x14ac:dyDescent="0.35">
      <c r="G510" t="str">
        <f ca="1">IFERROR(_xludf.aggregate(15,6,(ROW(BASE_PRODUTOS!$L$2:$L$1006)-ROW(BASE_PRODUTOS!$L$2)+1)/(BASE_PRODUTOS!$L$2:$L$1006&gt;0),ROWS($G$10:G510)),"")</f>
        <v/>
      </c>
      <c r="H510" s="9" t="str">
        <f ca="1">IF($G510="","",INDEX(BASE_PRODUTOS!$B$2:$B$1006,$G510))</f>
        <v/>
      </c>
      <c r="I510" s="9" t="str">
        <f ca="1">IF($G510="","",INDEX(BASE_PRODUTOS!$L$2:$L$1006,$G510))</f>
        <v/>
      </c>
      <c r="J510" s="9" t="str">
        <f ca="1">IF($G510="","",INDEX(BASE_PRODUTOS!$A$2:$A$1006,$G510))</f>
        <v/>
      </c>
      <c r="K510" s="9" t="str">
        <f ca="1">IF($G510="","",INDEX(BASE_PRODUTOS!$C$2:$C$1006,$G510))</f>
        <v/>
      </c>
      <c r="L510" s="9" t="str">
        <f ca="1">IF($G510="","",INDEX(BASE_PRODUTOS!$E$2:$E$1006,$G510))</f>
        <v/>
      </c>
      <c r="M510" s="9" t="str">
        <f ca="1">IF($G510="","",INDEX(BASE_PRODUTOS!$F$2:$F$1006,$G510))</f>
        <v/>
      </c>
      <c r="N510" s="9" t="str">
        <f ca="1">IF($G510="","",INDEX(BASE_PRODUTOS!$G$2:$G$1006,$G510))</f>
        <v/>
      </c>
      <c r="O510" s="9" t="str">
        <f ca="1">IF($G510="","",INDEX(BASE_PRODUTOS!$H$2:$H$1006,$G510))</f>
        <v/>
      </c>
      <c r="P510" s="9" t="str">
        <f ca="1">IF($G510="","",INDEX(BASE_PRODUTOS!$I$2:$I$1006,$G510))</f>
        <v/>
      </c>
      <c r="Q510" s="9" t="str">
        <f ca="1">IF($G510="","",INDEX(BASE_PRODUTOS!$J$2:$J$1006,$G510))</f>
        <v/>
      </c>
      <c r="R510" s="9" t="str">
        <f ca="1">IF($G510="","",INDEX(BASE_PRODUTOS!$M$2:$M$1006,$G510))</f>
        <v/>
      </c>
      <c r="S510" s="9" t="str">
        <f ca="1">IF($G510="","",INDEX(BASE_PRODUTOS!$N$2:$N$1006,$G510))</f>
        <v/>
      </c>
      <c r="T510" s="9" t="str">
        <f ca="1">IF($G510="","",INDEX(BASE_PRODUTOS!$D$2:$D$1006,$G510))</f>
        <v/>
      </c>
    </row>
    <row r="511" spans="7:20" ht="18" customHeight="1" x14ac:dyDescent="0.35">
      <c r="G511" t="str">
        <f ca="1">IFERROR(_xludf.aggregate(15,6,(ROW(BASE_PRODUTOS!$L$2:$L$1006)-ROW(BASE_PRODUTOS!$L$2)+1)/(BASE_PRODUTOS!$L$2:$L$1006&gt;0),ROWS($G$10:G511)),"")</f>
        <v/>
      </c>
      <c r="H511" s="9" t="str">
        <f ca="1">IF($G511="","",INDEX(BASE_PRODUTOS!$B$2:$B$1006,$G511))</f>
        <v/>
      </c>
      <c r="I511" s="9" t="str">
        <f ca="1">IF($G511="","",INDEX(BASE_PRODUTOS!$L$2:$L$1006,$G511))</f>
        <v/>
      </c>
      <c r="J511" s="9" t="str">
        <f ca="1">IF($G511="","",INDEX(BASE_PRODUTOS!$A$2:$A$1006,$G511))</f>
        <v/>
      </c>
      <c r="K511" s="9" t="str">
        <f ca="1">IF($G511="","",INDEX(BASE_PRODUTOS!$C$2:$C$1006,$G511))</f>
        <v/>
      </c>
      <c r="L511" s="9" t="str">
        <f ca="1">IF($G511="","",INDEX(BASE_PRODUTOS!$E$2:$E$1006,$G511))</f>
        <v/>
      </c>
      <c r="M511" s="9" t="str">
        <f ca="1">IF($G511="","",INDEX(BASE_PRODUTOS!$F$2:$F$1006,$G511))</f>
        <v/>
      </c>
      <c r="N511" s="9" t="str">
        <f ca="1">IF($G511="","",INDEX(BASE_PRODUTOS!$G$2:$G$1006,$G511))</f>
        <v/>
      </c>
      <c r="O511" s="9" t="str">
        <f ca="1">IF($G511="","",INDEX(BASE_PRODUTOS!$H$2:$H$1006,$G511))</f>
        <v/>
      </c>
      <c r="P511" s="9" t="str">
        <f ca="1">IF($G511="","",INDEX(BASE_PRODUTOS!$I$2:$I$1006,$G511))</f>
        <v/>
      </c>
      <c r="Q511" s="9" t="str">
        <f ca="1">IF($G511="","",INDEX(BASE_PRODUTOS!$J$2:$J$1006,$G511))</f>
        <v/>
      </c>
      <c r="R511" s="9" t="str">
        <f ca="1">IF($G511="","",INDEX(BASE_PRODUTOS!$M$2:$M$1006,$G511))</f>
        <v/>
      </c>
      <c r="S511" s="9" t="str">
        <f ca="1">IF($G511="","",INDEX(BASE_PRODUTOS!$N$2:$N$1006,$G511))</f>
        <v/>
      </c>
      <c r="T511" s="9" t="str">
        <f ca="1">IF($G511="","",INDEX(BASE_PRODUTOS!$D$2:$D$1006,$G511))</f>
        <v/>
      </c>
    </row>
    <row r="512" spans="7:20" ht="18" customHeight="1" x14ac:dyDescent="0.35">
      <c r="G512" t="str">
        <f ca="1">IFERROR(_xludf.aggregate(15,6,(ROW(BASE_PRODUTOS!$L$2:$L$1006)-ROW(BASE_PRODUTOS!$L$2)+1)/(BASE_PRODUTOS!$L$2:$L$1006&gt;0),ROWS($G$10:G512)),"")</f>
        <v/>
      </c>
      <c r="H512" s="9" t="str">
        <f ca="1">IF($G512="","",INDEX(BASE_PRODUTOS!$B$2:$B$1006,$G512))</f>
        <v/>
      </c>
      <c r="I512" s="9" t="str">
        <f ca="1">IF($G512="","",INDEX(BASE_PRODUTOS!$L$2:$L$1006,$G512))</f>
        <v/>
      </c>
      <c r="J512" s="9" t="str">
        <f ca="1">IF($G512="","",INDEX(BASE_PRODUTOS!$A$2:$A$1006,$G512))</f>
        <v/>
      </c>
      <c r="K512" s="9" t="str">
        <f ca="1">IF($G512="","",INDEX(BASE_PRODUTOS!$C$2:$C$1006,$G512))</f>
        <v/>
      </c>
      <c r="L512" s="9" t="str">
        <f ca="1">IF($G512="","",INDEX(BASE_PRODUTOS!$E$2:$E$1006,$G512))</f>
        <v/>
      </c>
      <c r="M512" s="9" t="str">
        <f ca="1">IF($G512="","",INDEX(BASE_PRODUTOS!$F$2:$F$1006,$G512))</f>
        <v/>
      </c>
      <c r="N512" s="9" t="str">
        <f ca="1">IF($G512="","",INDEX(BASE_PRODUTOS!$G$2:$G$1006,$G512))</f>
        <v/>
      </c>
      <c r="O512" s="9" t="str">
        <f ca="1">IF($G512="","",INDEX(BASE_PRODUTOS!$H$2:$H$1006,$G512))</f>
        <v/>
      </c>
      <c r="P512" s="9" t="str">
        <f ca="1">IF($G512="","",INDEX(BASE_PRODUTOS!$I$2:$I$1006,$G512))</f>
        <v/>
      </c>
      <c r="Q512" s="9" t="str">
        <f ca="1">IF($G512="","",INDEX(BASE_PRODUTOS!$J$2:$J$1006,$G512))</f>
        <v/>
      </c>
      <c r="R512" s="9" t="str">
        <f ca="1">IF($G512="","",INDEX(BASE_PRODUTOS!$M$2:$M$1006,$G512))</f>
        <v/>
      </c>
      <c r="S512" s="9" t="str">
        <f ca="1">IF($G512="","",INDEX(BASE_PRODUTOS!$N$2:$N$1006,$G512))</f>
        <v/>
      </c>
      <c r="T512" s="9" t="str">
        <f ca="1">IF($G512="","",INDEX(BASE_PRODUTOS!$D$2:$D$1006,$G512))</f>
        <v/>
      </c>
    </row>
    <row r="513" spans="7:20" ht="18" customHeight="1" x14ac:dyDescent="0.35">
      <c r="G513" t="str">
        <f ca="1">IFERROR(_xludf.aggregate(15,6,(ROW(BASE_PRODUTOS!$L$2:$L$1006)-ROW(BASE_PRODUTOS!$L$2)+1)/(BASE_PRODUTOS!$L$2:$L$1006&gt;0),ROWS($G$10:G513)),"")</f>
        <v/>
      </c>
      <c r="H513" s="9" t="str">
        <f ca="1">IF($G513="","",INDEX(BASE_PRODUTOS!$B$2:$B$1006,$G513))</f>
        <v/>
      </c>
      <c r="I513" s="9" t="str">
        <f ca="1">IF($G513="","",INDEX(BASE_PRODUTOS!$L$2:$L$1006,$G513))</f>
        <v/>
      </c>
      <c r="J513" s="9" t="str">
        <f ca="1">IF($G513="","",INDEX(BASE_PRODUTOS!$A$2:$A$1006,$G513))</f>
        <v/>
      </c>
      <c r="K513" s="9" t="str">
        <f ca="1">IF($G513="","",INDEX(BASE_PRODUTOS!$C$2:$C$1006,$G513))</f>
        <v/>
      </c>
      <c r="L513" s="9" t="str">
        <f ca="1">IF($G513="","",INDEX(BASE_PRODUTOS!$E$2:$E$1006,$G513))</f>
        <v/>
      </c>
      <c r="M513" s="9" t="str">
        <f ca="1">IF($G513="","",INDEX(BASE_PRODUTOS!$F$2:$F$1006,$G513))</f>
        <v/>
      </c>
      <c r="N513" s="9" t="str">
        <f ca="1">IF($G513="","",INDEX(BASE_PRODUTOS!$G$2:$G$1006,$G513))</f>
        <v/>
      </c>
      <c r="O513" s="9" t="str">
        <f ca="1">IF($G513="","",INDEX(BASE_PRODUTOS!$H$2:$H$1006,$G513))</f>
        <v/>
      </c>
      <c r="P513" s="9" t="str">
        <f ca="1">IF($G513="","",INDEX(BASE_PRODUTOS!$I$2:$I$1006,$G513))</f>
        <v/>
      </c>
      <c r="Q513" s="9" t="str">
        <f ca="1">IF($G513="","",INDEX(BASE_PRODUTOS!$J$2:$J$1006,$G513))</f>
        <v/>
      </c>
      <c r="R513" s="9" t="str">
        <f ca="1">IF($G513="","",INDEX(BASE_PRODUTOS!$M$2:$M$1006,$G513))</f>
        <v/>
      </c>
      <c r="S513" s="9" t="str">
        <f ca="1">IF($G513="","",INDEX(BASE_PRODUTOS!$N$2:$N$1006,$G513))</f>
        <v/>
      </c>
      <c r="T513" s="9" t="str">
        <f ca="1">IF($G513="","",INDEX(BASE_PRODUTOS!$D$2:$D$1006,$G513))</f>
        <v/>
      </c>
    </row>
    <row r="514" spans="7:20" ht="18" customHeight="1" x14ac:dyDescent="0.35">
      <c r="G514" t="str">
        <f ca="1">IFERROR(_xludf.aggregate(15,6,(ROW(BASE_PRODUTOS!$L$2:$L$1006)-ROW(BASE_PRODUTOS!$L$2)+1)/(BASE_PRODUTOS!$L$2:$L$1006&gt;0),ROWS($G$10:G514)),"")</f>
        <v/>
      </c>
      <c r="H514" s="9" t="str">
        <f ca="1">IF($G514="","",INDEX(BASE_PRODUTOS!$B$2:$B$1006,$G514))</f>
        <v/>
      </c>
      <c r="I514" s="9" t="str">
        <f ca="1">IF($G514="","",INDEX(BASE_PRODUTOS!$L$2:$L$1006,$G514))</f>
        <v/>
      </c>
      <c r="J514" s="9" t="str">
        <f ca="1">IF($G514="","",INDEX(BASE_PRODUTOS!$A$2:$A$1006,$G514))</f>
        <v/>
      </c>
      <c r="K514" s="9" t="str">
        <f ca="1">IF($G514="","",INDEX(BASE_PRODUTOS!$C$2:$C$1006,$G514))</f>
        <v/>
      </c>
      <c r="L514" s="9" t="str">
        <f ca="1">IF($G514="","",INDEX(BASE_PRODUTOS!$E$2:$E$1006,$G514))</f>
        <v/>
      </c>
      <c r="M514" s="9" t="str">
        <f ca="1">IF($G514="","",INDEX(BASE_PRODUTOS!$F$2:$F$1006,$G514))</f>
        <v/>
      </c>
      <c r="N514" s="9" t="str">
        <f ca="1">IF($G514="","",INDEX(BASE_PRODUTOS!$G$2:$G$1006,$G514))</f>
        <v/>
      </c>
      <c r="O514" s="9" t="str">
        <f ca="1">IF($G514="","",INDEX(BASE_PRODUTOS!$H$2:$H$1006,$G514))</f>
        <v/>
      </c>
      <c r="P514" s="9" t="str">
        <f ca="1">IF($G514="","",INDEX(BASE_PRODUTOS!$I$2:$I$1006,$G514))</f>
        <v/>
      </c>
      <c r="Q514" s="9" t="str">
        <f ca="1">IF($G514="","",INDEX(BASE_PRODUTOS!$J$2:$J$1006,$G514))</f>
        <v/>
      </c>
      <c r="R514" s="9" t="str">
        <f ca="1">IF($G514="","",INDEX(BASE_PRODUTOS!$M$2:$M$1006,$G514))</f>
        <v/>
      </c>
      <c r="S514" s="9" t="str">
        <f ca="1">IF($G514="","",INDEX(BASE_PRODUTOS!$N$2:$N$1006,$G514))</f>
        <v/>
      </c>
      <c r="T514" s="9" t="str">
        <f ca="1">IF($G514="","",INDEX(BASE_PRODUTOS!$D$2:$D$1006,$G514))</f>
        <v/>
      </c>
    </row>
    <row r="515" spans="7:20" ht="18" customHeight="1" x14ac:dyDescent="0.35">
      <c r="G515" t="str">
        <f ca="1">IFERROR(_xludf.aggregate(15,6,(ROW(BASE_PRODUTOS!$L$2:$L$1006)-ROW(BASE_PRODUTOS!$L$2)+1)/(BASE_PRODUTOS!$L$2:$L$1006&gt;0),ROWS($G$10:G515)),"")</f>
        <v/>
      </c>
      <c r="H515" s="9" t="str">
        <f ca="1">IF($G515="","",INDEX(BASE_PRODUTOS!$B$2:$B$1006,$G515))</f>
        <v/>
      </c>
      <c r="I515" s="9" t="str">
        <f ca="1">IF($G515="","",INDEX(BASE_PRODUTOS!$L$2:$L$1006,$G515))</f>
        <v/>
      </c>
      <c r="J515" s="9" t="str">
        <f ca="1">IF($G515="","",INDEX(BASE_PRODUTOS!$A$2:$A$1006,$G515))</f>
        <v/>
      </c>
      <c r="K515" s="9" t="str">
        <f ca="1">IF($G515="","",INDEX(BASE_PRODUTOS!$C$2:$C$1006,$G515))</f>
        <v/>
      </c>
      <c r="L515" s="9" t="str">
        <f ca="1">IF($G515="","",INDEX(BASE_PRODUTOS!$E$2:$E$1006,$G515))</f>
        <v/>
      </c>
      <c r="M515" s="9" t="str">
        <f ca="1">IF($G515="","",INDEX(BASE_PRODUTOS!$F$2:$F$1006,$G515))</f>
        <v/>
      </c>
      <c r="N515" s="9" t="str">
        <f ca="1">IF($G515="","",INDEX(BASE_PRODUTOS!$G$2:$G$1006,$G515))</f>
        <v/>
      </c>
      <c r="O515" s="9" t="str">
        <f ca="1">IF($G515="","",INDEX(BASE_PRODUTOS!$H$2:$H$1006,$G515))</f>
        <v/>
      </c>
      <c r="P515" s="9" t="str">
        <f ca="1">IF($G515="","",INDEX(BASE_PRODUTOS!$I$2:$I$1006,$G515))</f>
        <v/>
      </c>
      <c r="Q515" s="9" t="str">
        <f ca="1">IF($G515="","",INDEX(BASE_PRODUTOS!$J$2:$J$1006,$G515))</f>
        <v/>
      </c>
      <c r="R515" s="9" t="str">
        <f ca="1">IF($G515="","",INDEX(BASE_PRODUTOS!$M$2:$M$1006,$G515))</f>
        <v/>
      </c>
      <c r="S515" s="9" t="str">
        <f ca="1">IF($G515="","",INDEX(BASE_PRODUTOS!$N$2:$N$1006,$G515))</f>
        <v/>
      </c>
      <c r="T515" s="9" t="str">
        <f ca="1">IF($G515="","",INDEX(BASE_PRODUTOS!$D$2:$D$1006,$G515))</f>
        <v/>
      </c>
    </row>
    <row r="516" spans="7:20" ht="18" customHeight="1" x14ac:dyDescent="0.35">
      <c r="G516" t="str">
        <f ca="1">IFERROR(_xludf.aggregate(15,6,(ROW(BASE_PRODUTOS!$L$2:$L$1006)-ROW(BASE_PRODUTOS!$L$2)+1)/(BASE_PRODUTOS!$L$2:$L$1006&gt;0),ROWS($G$10:G516)),"")</f>
        <v/>
      </c>
      <c r="H516" s="9" t="str">
        <f ca="1">IF($G516="","",INDEX(BASE_PRODUTOS!$B$2:$B$1006,$G516))</f>
        <v/>
      </c>
      <c r="I516" s="9" t="str">
        <f ca="1">IF($G516="","",INDEX(BASE_PRODUTOS!$L$2:$L$1006,$G516))</f>
        <v/>
      </c>
      <c r="J516" s="9" t="str">
        <f ca="1">IF($G516="","",INDEX(BASE_PRODUTOS!$A$2:$A$1006,$G516))</f>
        <v/>
      </c>
      <c r="K516" s="9" t="str">
        <f ca="1">IF($G516="","",INDEX(BASE_PRODUTOS!$C$2:$C$1006,$G516))</f>
        <v/>
      </c>
      <c r="L516" s="9" t="str">
        <f ca="1">IF($G516="","",INDEX(BASE_PRODUTOS!$E$2:$E$1006,$G516))</f>
        <v/>
      </c>
      <c r="M516" s="9" t="str">
        <f ca="1">IF($G516="","",INDEX(BASE_PRODUTOS!$F$2:$F$1006,$G516))</f>
        <v/>
      </c>
      <c r="N516" s="9" t="str">
        <f ca="1">IF($G516="","",INDEX(BASE_PRODUTOS!$G$2:$G$1006,$G516))</f>
        <v/>
      </c>
      <c r="O516" s="9" t="str">
        <f ca="1">IF($G516="","",INDEX(BASE_PRODUTOS!$H$2:$H$1006,$G516))</f>
        <v/>
      </c>
      <c r="P516" s="9" t="str">
        <f ca="1">IF($G516="","",INDEX(BASE_PRODUTOS!$I$2:$I$1006,$G516))</f>
        <v/>
      </c>
      <c r="Q516" s="9" t="str">
        <f ca="1">IF($G516="","",INDEX(BASE_PRODUTOS!$J$2:$J$1006,$G516))</f>
        <v/>
      </c>
      <c r="R516" s="9" t="str">
        <f ca="1">IF($G516="","",INDEX(BASE_PRODUTOS!$M$2:$M$1006,$G516))</f>
        <v/>
      </c>
      <c r="S516" s="9" t="str">
        <f ca="1">IF($G516="","",INDEX(BASE_PRODUTOS!$N$2:$N$1006,$G516))</f>
        <v/>
      </c>
      <c r="T516" s="9" t="str">
        <f ca="1">IF($G516="","",INDEX(BASE_PRODUTOS!$D$2:$D$1006,$G516))</f>
        <v/>
      </c>
    </row>
    <row r="517" spans="7:20" ht="18" customHeight="1" x14ac:dyDescent="0.35">
      <c r="G517" t="str">
        <f ca="1">IFERROR(_xludf.aggregate(15,6,(ROW(BASE_PRODUTOS!$L$2:$L$1006)-ROW(BASE_PRODUTOS!$L$2)+1)/(BASE_PRODUTOS!$L$2:$L$1006&gt;0),ROWS($G$10:G517)),"")</f>
        <v/>
      </c>
      <c r="H517" s="9" t="str">
        <f ca="1">IF($G517="","",INDEX(BASE_PRODUTOS!$B$2:$B$1006,$G517))</f>
        <v/>
      </c>
      <c r="I517" s="9" t="str">
        <f ca="1">IF($G517="","",INDEX(BASE_PRODUTOS!$L$2:$L$1006,$G517))</f>
        <v/>
      </c>
      <c r="J517" s="9" t="str">
        <f ca="1">IF($G517="","",INDEX(BASE_PRODUTOS!$A$2:$A$1006,$G517))</f>
        <v/>
      </c>
      <c r="K517" s="9" t="str">
        <f ca="1">IF($G517="","",INDEX(BASE_PRODUTOS!$C$2:$C$1006,$G517))</f>
        <v/>
      </c>
      <c r="L517" s="9" t="str">
        <f ca="1">IF($G517="","",INDEX(BASE_PRODUTOS!$E$2:$E$1006,$G517))</f>
        <v/>
      </c>
      <c r="M517" s="9" t="str">
        <f ca="1">IF($G517="","",INDEX(BASE_PRODUTOS!$F$2:$F$1006,$G517))</f>
        <v/>
      </c>
      <c r="N517" s="9" t="str">
        <f ca="1">IF($G517="","",INDEX(BASE_PRODUTOS!$G$2:$G$1006,$G517))</f>
        <v/>
      </c>
      <c r="O517" s="9" t="str">
        <f ca="1">IF($G517="","",INDEX(BASE_PRODUTOS!$H$2:$H$1006,$G517))</f>
        <v/>
      </c>
      <c r="P517" s="9" t="str">
        <f ca="1">IF($G517="","",INDEX(BASE_PRODUTOS!$I$2:$I$1006,$G517))</f>
        <v/>
      </c>
      <c r="Q517" s="9" t="str">
        <f ca="1">IF($G517="","",INDEX(BASE_PRODUTOS!$J$2:$J$1006,$G517))</f>
        <v/>
      </c>
      <c r="R517" s="9" t="str">
        <f ca="1">IF($G517="","",INDEX(BASE_PRODUTOS!$M$2:$M$1006,$G517))</f>
        <v/>
      </c>
      <c r="S517" s="9" t="str">
        <f ca="1">IF($G517="","",INDEX(BASE_PRODUTOS!$N$2:$N$1006,$G517))</f>
        <v/>
      </c>
      <c r="T517" s="9" t="str">
        <f ca="1">IF($G517="","",INDEX(BASE_PRODUTOS!$D$2:$D$1006,$G517))</f>
        <v/>
      </c>
    </row>
    <row r="518" spans="7:20" ht="18" customHeight="1" x14ac:dyDescent="0.35">
      <c r="G518" t="str">
        <f ca="1">IFERROR(_xludf.aggregate(15,6,(ROW(BASE_PRODUTOS!$L$2:$L$1006)-ROW(BASE_PRODUTOS!$L$2)+1)/(BASE_PRODUTOS!$L$2:$L$1006&gt;0),ROWS($G$10:G518)),"")</f>
        <v/>
      </c>
      <c r="H518" s="9" t="str">
        <f ca="1">IF($G518="","",INDEX(BASE_PRODUTOS!$B$2:$B$1006,$G518))</f>
        <v/>
      </c>
      <c r="I518" s="9" t="str">
        <f ca="1">IF($G518="","",INDEX(BASE_PRODUTOS!$L$2:$L$1006,$G518))</f>
        <v/>
      </c>
      <c r="J518" s="9" t="str">
        <f ca="1">IF($G518="","",INDEX(BASE_PRODUTOS!$A$2:$A$1006,$G518))</f>
        <v/>
      </c>
      <c r="K518" s="9" t="str">
        <f ca="1">IF($G518="","",INDEX(BASE_PRODUTOS!$C$2:$C$1006,$G518))</f>
        <v/>
      </c>
      <c r="L518" s="9" t="str">
        <f ca="1">IF($G518="","",INDEX(BASE_PRODUTOS!$E$2:$E$1006,$G518))</f>
        <v/>
      </c>
      <c r="M518" s="9" t="str">
        <f ca="1">IF($G518="","",INDEX(BASE_PRODUTOS!$F$2:$F$1006,$G518))</f>
        <v/>
      </c>
      <c r="N518" s="9" t="str">
        <f ca="1">IF($G518="","",INDEX(BASE_PRODUTOS!$G$2:$G$1006,$G518))</f>
        <v/>
      </c>
      <c r="O518" s="9" t="str">
        <f ca="1">IF($G518="","",INDEX(BASE_PRODUTOS!$H$2:$H$1006,$G518))</f>
        <v/>
      </c>
      <c r="P518" s="9" t="str">
        <f ca="1">IF($G518="","",INDEX(BASE_PRODUTOS!$I$2:$I$1006,$G518))</f>
        <v/>
      </c>
      <c r="Q518" s="9" t="str">
        <f ca="1">IF($G518="","",INDEX(BASE_PRODUTOS!$J$2:$J$1006,$G518))</f>
        <v/>
      </c>
      <c r="R518" s="9" t="str">
        <f ca="1">IF($G518="","",INDEX(BASE_PRODUTOS!$M$2:$M$1006,$G518))</f>
        <v/>
      </c>
      <c r="S518" s="9" t="str">
        <f ca="1">IF($G518="","",INDEX(BASE_PRODUTOS!$N$2:$N$1006,$G518))</f>
        <v/>
      </c>
      <c r="T518" s="9" t="str">
        <f ca="1">IF($G518="","",INDEX(BASE_PRODUTOS!$D$2:$D$1006,$G518))</f>
        <v/>
      </c>
    </row>
    <row r="519" spans="7:20" ht="18" customHeight="1" x14ac:dyDescent="0.35">
      <c r="G519" t="str">
        <f ca="1">IFERROR(_xludf.aggregate(15,6,(ROW(BASE_PRODUTOS!$L$2:$L$1006)-ROW(BASE_PRODUTOS!$L$2)+1)/(BASE_PRODUTOS!$L$2:$L$1006&gt;0),ROWS($G$10:G519)),"")</f>
        <v/>
      </c>
      <c r="H519" s="9" t="str">
        <f ca="1">IF($G519="","",INDEX(BASE_PRODUTOS!$B$2:$B$1006,$G519))</f>
        <v/>
      </c>
      <c r="I519" s="9" t="str">
        <f ca="1">IF($G519="","",INDEX(BASE_PRODUTOS!$L$2:$L$1006,$G519))</f>
        <v/>
      </c>
      <c r="J519" s="9" t="str">
        <f ca="1">IF($G519="","",INDEX(BASE_PRODUTOS!$A$2:$A$1006,$G519))</f>
        <v/>
      </c>
      <c r="K519" s="9" t="str">
        <f ca="1">IF($G519="","",INDEX(BASE_PRODUTOS!$C$2:$C$1006,$G519))</f>
        <v/>
      </c>
      <c r="L519" s="9" t="str">
        <f ca="1">IF($G519="","",INDEX(BASE_PRODUTOS!$E$2:$E$1006,$G519))</f>
        <v/>
      </c>
      <c r="M519" s="9" t="str">
        <f ca="1">IF($G519="","",INDEX(BASE_PRODUTOS!$F$2:$F$1006,$G519))</f>
        <v/>
      </c>
      <c r="N519" s="9" t="str">
        <f ca="1">IF($G519="","",INDEX(BASE_PRODUTOS!$G$2:$G$1006,$G519))</f>
        <v/>
      </c>
      <c r="O519" s="9" t="str">
        <f ca="1">IF($G519="","",INDEX(BASE_PRODUTOS!$H$2:$H$1006,$G519))</f>
        <v/>
      </c>
      <c r="P519" s="9" t="str">
        <f ca="1">IF($G519="","",INDEX(BASE_PRODUTOS!$I$2:$I$1006,$G519))</f>
        <v/>
      </c>
      <c r="Q519" s="9" t="str">
        <f ca="1">IF($G519="","",INDEX(BASE_PRODUTOS!$J$2:$J$1006,$G519))</f>
        <v/>
      </c>
      <c r="R519" s="9" t="str">
        <f ca="1">IF($G519="","",INDEX(BASE_PRODUTOS!$M$2:$M$1006,$G519))</f>
        <v/>
      </c>
      <c r="S519" s="9" t="str">
        <f ca="1">IF($G519="","",INDEX(BASE_PRODUTOS!$N$2:$N$1006,$G519))</f>
        <v/>
      </c>
      <c r="T519" s="9" t="str">
        <f ca="1">IF($G519="","",INDEX(BASE_PRODUTOS!$D$2:$D$1006,$G519))</f>
        <v/>
      </c>
    </row>
    <row r="520" spans="7:20" ht="18" customHeight="1" x14ac:dyDescent="0.35">
      <c r="G520" t="str">
        <f ca="1">IFERROR(_xludf.aggregate(15,6,(ROW(BASE_PRODUTOS!$L$2:$L$1006)-ROW(BASE_PRODUTOS!$L$2)+1)/(BASE_PRODUTOS!$L$2:$L$1006&gt;0),ROWS($G$10:G520)),"")</f>
        <v/>
      </c>
      <c r="H520" s="9" t="str">
        <f ca="1">IF($G520="","",INDEX(BASE_PRODUTOS!$B$2:$B$1006,$G520))</f>
        <v/>
      </c>
      <c r="I520" s="9" t="str">
        <f ca="1">IF($G520="","",INDEX(BASE_PRODUTOS!$L$2:$L$1006,$G520))</f>
        <v/>
      </c>
      <c r="J520" s="9" t="str">
        <f ca="1">IF($G520="","",INDEX(BASE_PRODUTOS!$A$2:$A$1006,$G520))</f>
        <v/>
      </c>
      <c r="K520" s="9" t="str">
        <f ca="1">IF($G520="","",INDEX(BASE_PRODUTOS!$C$2:$C$1006,$G520))</f>
        <v/>
      </c>
      <c r="L520" s="9" t="str">
        <f ca="1">IF($G520="","",INDEX(BASE_PRODUTOS!$E$2:$E$1006,$G520))</f>
        <v/>
      </c>
      <c r="M520" s="9" t="str">
        <f ca="1">IF($G520="","",INDEX(BASE_PRODUTOS!$F$2:$F$1006,$G520))</f>
        <v/>
      </c>
      <c r="N520" s="9" t="str">
        <f ca="1">IF($G520="","",INDEX(BASE_PRODUTOS!$G$2:$G$1006,$G520))</f>
        <v/>
      </c>
      <c r="O520" s="9" t="str">
        <f ca="1">IF($G520="","",INDEX(BASE_PRODUTOS!$H$2:$H$1006,$G520))</f>
        <v/>
      </c>
      <c r="P520" s="9" t="str">
        <f ca="1">IF($G520="","",INDEX(BASE_PRODUTOS!$I$2:$I$1006,$G520))</f>
        <v/>
      </c>
      <c r="Q520" s="9" t="str">
        <f ca="1">IF($G520="","",INDEX(BASE_PRODUTOS!$J$2:$J$1006,$G520))</f>
        <v/>
      </c>
      <c r="R520" s="9" t="str">
        <f ca="1">IF($G520="","",INDEX(BASE_PRODUTOS!$M$2:$M$1006,$G520))</f>
        <v/>
      </c>
      <c r="S520" s="9" t="str">
        <f ca="1">IF($G520="","",INDEX(BASE_PRODUTOS!$N$2:$N$1006,$G520))</f>
        <v/>
      </c>
      <c r="T520" s="9" t="str">
        <f ca="1">IF($G520="","",INDEX(BASE_PRODUTOS!$D$2:$D$1006,$G520))</f>
        <v/>
      </c>
    </row>
    <row r="521" spans="7:20" ht="18" customHeight="1" x14ac:dyDescent="0.35">
      <c r="G521" t="str">
        <f ca="1">IFERROR(_xludf.aggregate(15,6,(ROW(BASE_PRODUTOS!$L$2:$L$1006)-ROW(BASE_PRODUTOS!$L$2)+1)/(BASE_PRODUTOS!$L$2:$L$1006&gt;0),ROWS($G$10:G521)),"")</f>
        <v/>
      </c>
      <c r="H521" s="9" t="str">
        <f ca="1">IF($G521="","",INDEX(BASE_PRODUTOS!$B$2:$B$1006,$G521))</f>
        <v/>
      </c>
      <c r="I521" s="9" t="str">
        <f ca="1">IF($G521="","",INDEX(BASE_PRODUTOS!$L$2:$L$1006,$G521))</f>
        <v/>
      </c>
      <c r="J521" s="9" t="str">
        <f ca="1">IF($G521="","",INDEX(BASE_PRODUTOS!$A$2:$A$1006,$G521))</f>
        <v/>
      </c>
      <c r="K521" s="9" t="str">
        <f ca="1">IF($G521="","",INDEX(BASE_PRODUTOS!$C$2:$C$1006,$G521))</f>
        <v/>
      </c>
      <c r="L521" s="9" t="str">
        <f ca="1">IF($G521="","",INDEX(BASE_PRODUTOS!$E$2:$E$1006,$G521))</f>
        <v/>
      </c>
      <c r="M521" s="9" t="str">
        <f ca="1">IF($G521="","",INDEX(BASE_PRODUTOS!$F$2:$F$1006,$G521))</f>
        <v/>
      </c>
      <c r="N521" s="9" t="str">
        <f ca="1">IF($G521="","",INDEX(BASE_PRODUTOS!$G$2:$G$1006,$G521))</f>
        <v/>
      </c>
      <c r="O521" s="9" t="str">
        <f ca="1">IF($G521="","",INDEX(BASE_PRODUTOS!$H$2:$H$1006,$G521))</f>
        <v/>
      </c>
      <c r="P521" s="9" t="str">
        <f ca="1">IF($G521="","",INDEX(BASE_PRODUTOS!$I$2:$I$1006,$G521))</f>
        <v/>
      </c>
      <c r="Q521" s="9" t="str">
        <f ca="1">IF($G521="","",INDEX(BASE_PRODUTOS!$J$2:$J$1006,$G521))</f>
        <v/>
      </c>
      <c r="R521" s="9" t="str">
        <f ca="1">IF($G521="","",INDEX(BASE_PRODUTOS!$M$2:$M$1006,$G521))</f>
        <v/>
      </c>
      <c r="S521" s="9" t="str">
        <f ca="1">IF($G521="","",INDEX(BASE_PRODUTOS!$N$2:$N$1006,$G521))</f>
        <v/>
      </c>
      <c r="T521" s="9" t="str">
        <f ca="1">IF($G521="","",INDEX(BASE_PRODUTOS!$D$2:$D$1006,$G521))</f>
        <v/>
      </c>
    </row>
    <row r="522" spans="7:20" ht="18" customHeight="1" x14ac:dyDescent="0.35">
      <c r="G522" t="str">
        <f ca="1">IFERROR(_xludf.aggregate(15,6,(ROW(BASE_PRODUTOS!$L$2:$L$1006)-ROW(BASE_PRODUTOS!$L$2)+1)/(BASE_PRODUTOS!$L$2:$L$1006&gt;0),ROWS($G$10:G522)),"")</f>
        <v/>
      </c>
      <c r="H522" s="9" t="str">
        <f ca="1">IF($G522="","",INDEX(BASE_PRODUTOS!$B$2:$B$1006,$G522))</f>
        <v/>
      </c>
      <c r="I522" s="9" t="str">
        <f ca="1">IF($G522="","",INDEX(BASE_PRODUTOS!$L$2:$L$1006,$G522))</f>
        <v/>
      </c>
      <c r="J522" s="9" t="str">
        <f ca="1">IF($G522="","",INDEX(BASE_PRODUTOS!$A$2:$A$1006,$G522))</f>
        <v/>
      </c>
      <c r="K522" s="9" t="str">
        <f ca="1">IF($G522="","",INDEX(BASE_PRODUTOS!$C$2:$C$1006,$G522))</f>
        <v/>
      </c>
      <c r="L522" s="9" t="str">
        <f ca="1">IF($G522="","",INDEX(BASE_PRODUTOS!$E$2:$E$1006,$G522))</f>
        <v/>
      </c>
      <c r="M522" s="9" t="str">
        <f ca="1">IF($G522="","",INDEX(BASE_PRODUTOS!$F$2:$F$1006,$G522))</f>
        <v/>
      </c>
      <c r="N522" s="9" t="str">
        <f ca="1">IF($G522="","",INDEX(BASE_PRODUTOS!$G$2:$G$1006,$G522))</f>
        <v/>
      </c>
      <c r="O522" s="9" t="str">
        <f ca="1">IF($G522="","",INDEX(BASE_PRODUTOS!$H$2:$H$1006,$G522))</f>
        <v/>
      </c>
      <c r="P522" s="9" t="str">
        <f ca="1">IF($G522="","",INDEX(BASE_PRODUTOS!$I$2:$I$1006,$G522))</f>
        <v/>
      </c>
      <c r="Q522" s="9" t="str">
        <f ca="1">IF($G522="","",INDEX(BASE_PRODUTOS!$J$2:$J$1006,$G522))</f>
        <v/>
      </c>
      <c r="R522" s="9" t="str">
        <f ca="1">IF($G522="","",INDEX(BASE_PRODUTOS!$M$2:$M$1006,$G522))</f>
        <v/>
      </c>
      <c r="S522" s="9" t="str">
        <f ca="1">IF($G522="","",INDEX(BASE_PRODUTOS!$N$2:$N$1006,$G522))</f>
        <v/>
      </c>
      <c r="T522" s="9" t="str">
        <f ca="1">IF($G522="","",INDEX(BASE_PRODUTOS!$D$2:$D$1006,$G522))</f>
        <v/>
      </c>
    </row>
    <row r="523" spans="7:20" ht="18" customHeight="1" x14ac:dyDescent="0.35">
      <c r="G523" t="str">
        <f ca="1">IFERROR(_xludf.aggregate(15,6,(ROW(BASE_PRODUTOS!$L$2:$L$1006)-ROW(BASE_PRODUTOS!$L$2)+1)/(BASE_PRODUTOS!$L$2:$L$1006&gt;0),ROWS($G$10:G523)),"")</f>
        <v/>
      </c>
      <c r="H523" s="9" t="str">
        <f ca="1">IF($G523="","",INDEX(BASE_PRODUTOS!$B$2:$B$1006,$G523))</f>
        <v/>
      </c>
      <c r="I523" s="9" t="str">
        <f ca="1">IF($G523="","",INDEX(BASE_PRODUTOS!$L$2:$L$1006,$G523))</f>
        <v/>
      </c>
      <c r="J523" s="9" t="str">
        <f ca="1">IF($G523="","",INDEX(BASE_PRODUTOS!$A$2:$A$1006,$G523))</f>
        <v/>
      </c>
      <c r="K523" s="9" t="str">
        <f ca="1">IF($G523="","",INDEX(BASE_PRODUTOS!$C$2:$C$1006,$G523))</f>
        <v/>
      </c>
      <c r="L523" s="9" t="str">
        <f ca="1">IF($G523="","",INDEX(BASE_PRODUTOS!$E$2:$E$1006,$G523))</f>
        <v/>
      </c>
      <c r="M523" s="9" t="str">
        <f ca="1">IF($G523="","",INDEX(BASE_PRODUTOS!$F$2:$F$1006,$G523))</f>
        <v/>
      </c>
      <c r="N523" s="9" t="str">
        <f ca="1">IF($G523="","",INDEX(BASE_PRODUTOS!$G$2:$G$1006,$G523))</f>
        <v/>
      </c>
      <c r="O523" s="9" t="str">
        <f ca="1">IF($G523="","",INDEX(BASE_PRODUTOS!$H$2:$H$1006,$G523))</f>
        <v/>
      </c>
      <c r="P523" s="9" t="str">
        <f ca="1">IF($G523="","",INDEX(BASE_PRODUTOS!$I$2:$I$1006,$G523))</f>
        <v/>
      </c>
      <c r="Q523" s="9" t="str">
        <f ca="1">IF($G523="","",INDEX(BASE_PRODUTOS!$J$2:$J$1006,$G523))</f>
        <v/>
      </c>
      <c r="R523" s="9" t="str">
        <f ca="1">IF($G523="","",INDEX(BASE_PRODUTOS!$M$2:$M$1006,$G523))</f>
        <v/>
      </c>
      <c r="S523" s="9" t="str">
        <f ca="1">IF($G523="","",INDEX(BASE_PRODUTOS!$N$2:$N$1006,$G523))</f>
        <v/>
      </c>
      <c r="T523" s="9" t="str">
        <f ca="1">IF($G523="","",INDEX(BASE_PRODUTOS!$D$2:$D$1006,$G523))</f>
        <v/>
      </c>
    </row>
    <row r="524" spans="7:20" ht="18" customHeight="1" x14ac:dyDescent="0.35">
      <c r="G524" t="str">
        <f ca="1">IFERROR(_xludf.aggregate(15,6,(ROW(BASE_PRODUTOS!$L$2:$L$1006)-ROW(BASE_PRODUTOS!$L$2)+1)/(BASE_PRODUTOS!$L$2:$L$1006&gt;0),ROWS($G$10:G524)),"")</f>
        <v/>
      </c>
      <c r="H524" s="9" t="str">
        <f ca="1">IF($G524="","",INDEX(BASE_PRODUTOS!$B$2:$B$1006,$G524))</f>
        <v/>
      </c>
      <c r="I524" s="9" t="str">
        <f ca="1">IF($G524="","",INDEX(BASE_PRODUTOS!$L$2:$L$1006,$G524))</f>
        <v/>
      </c>
      <c r="J524" s="9" t="str">
        <f ca="1">IF($G524="","",INDEX(BASE_PRODUTOS!$A$2:$A$1006,$G524))</f>
        <v/>
      </c>
      <c r="K524" s="9" t="str">
        <f ca="1">IF($G524="","",INDEX(BASE_PRODUTOS!$C$2:$C$1006,$G524))</f>
        <v/>
      </c>
      <c r="L524" s="9" t="str">
        <f ca="1">IF($G524="","",INDEX(BASE_PRODUTOS!$E$2:$E$1006,$G524))</f>
        <v/>
      </c>
      <c r="M524" s="9" t="str">
        <f ca="1">IF($G524="","",INDEX(BASE_PRODUTOS!$F$2:$F$1006,$G524))</f>
        <v/>
      </c>
      <c r="N524" s="9" t="str">
        <f ca="1">IF($G524="","",INDEX(BASE_PRODUTOS!$G$2:$G$1006,$G524))</f>
        <v/>
      </c>
      <c r="O524" s="9" t="str">
        <f ca="1">IF($G524="","",INDEX(BASE_PRODUTOS!$H$2:$H$1006,$G524))</f>
        <v/>
      </c>
      <c r="P524" s="9" t="str">
        <f ca="1">IF($G524="","",INDEX(BASE_PRODUTOS!$I$2:$I$1006,$G524))</f>
        <v/>
      </c>
      <c r="Q524" s="9" t="str">
        <f ca="1">IF($G524="","",INDEX(BASE_PRODUTOS!$J$2:$J$1006,$G524))</f>
        <v/>
      </c>
      <c r="R524" s="9" t="str">
        <f ca="1">IF($G524="","",INDEX(BASE_PRODUTOS!$M$2:$M$1006,$G524))</f>
        <v/>
      </c>
      <c r="S524" s="9" t="str">
        <f ca="1">IF($G524="","",INDEX(BASE_PRODUTOS!$N$2:$N$1006,$G524))</f>
        <v/>
      </c>
      <c r="T524" s="9" t="str">
        <f ca="1">IF($G524="","",INDEX(BASE_PRODUTOS!$D$2:$D$1006,$G524))</f>
        <v/>
      </c>
    </row>
    <row r="525" spans="7:20" ht="18" customHeight="1" x14ac:dyDescent="0.35">
      <c r="G525" t="str">
        <f ca="1">IFERROR(_xludf.aggregate(15,6,(ROW(BASE_PRODUTOS!$L$2:$L$1006)-ROW(BASE_PRODUTOS!$L$2)+1)/(BASE_PRODUTOS!$L$2:$L$1006&gt;0),ROWS($G$10:G525)),"")</f>
        <v/>
      </c>
      <c r="H525" s="9" t="str">
        <f ca="1">IF($G525="","",INDEX(BASE_PRODUTOS!$B$2:$B$1006,$G525))</f>
        <v/>
      </c>
      <c r="I525" s="9" t="str">
        <f ca="1">IF($G525="","",INDEX(BASE_PRODUTOS!$L$2:$L$1006,$G525))</f>
        <v/>
      </c>
      <c r="J525" s="9" t="str">
        <f ca="1">IF($G525="","",INDEX(BASE_PRODUTOS!$A$2:$A$1006,$G525))</f>
        <v/>
      </c>
      <c r="K525" s="9" t="str">
        <f ca="1">IF($G525="","",INDEX(BASE_PRODUTOS!$C$2:$C$1006,$G525))</f>
        <v/>
      </c>
      <c r="L525" s="9" t="str">
        <f ca="1">IF($G525="","",INDEX(BASE_PRODUTOS!$E$2:$E$1006,$G525))</f>
        <v/>
      </c>
      <c r="M525" s="9" t="str">
        <f ca="1">IF($G525="","",INDEX(BASE_PRODUTOS!$F$2:$F$1006,$G525))</f>
        <v/>
      </c>
      <c r="N525" s="9" t="str">
        <f ca="1">IF($G525="","",INDEX(BASE_PRODUTOS!$G$2:$G$1006,$G525))</f>
        <v/>
      </c>
      <c r="O525" s="9" t="str">
        <f ca="1">IF($G525="","",INDEX(BASE_PRODUTOS!$H$2:$H$1006,$G525))</f>
        <v/>
      </c>
      <c r="P525" s="9" t="str">
        <f ca="1">IF($G525="","",INDEX(BASE_PRODUTOS!$I$2:$I$1006,$G525))</f>
        <v/>
      </c>
      <c r="Q525" s="9" t="str">
        <f ca="1">IF($G525="","",INDEX(BASE_PRODUTOS!$J$2:$J$1006,$G525))</f>
        <v/>
      </c>
      <c r="R525" s="9" t="str">
        <f ca="1">IF($G525="","",INDEX(BASE_PRODUTOS!$M$2:$M$1006,$G525))</f>
        <v/>
      </c>
      <c r="S525" s="9" t="str">
        <f ca="1">IF($G525="","",INDEX(BASE_PRODUTOS!$N$2:$N$1006,$G525))</f>
        <v/>
      </c>
      <c r="T525" s="9" t="str">
        <f ca="1">IF($G525="","",INDEX(BASE_PRODUTOS!$D$2:$D$1006,$G525))</f>
        <v/>
      </c>
    </row>
    <row r="526" spans="7:20" ht="18" customHeight="1" x14ac:dyDescent="0.35">
      <c r="G526" t="str">
        <f ca="1">IFERROR(_xludf.aggregate(15,6,(ROW(BASE_PRODUTOS!$L$2:$L$1006)-ROW(BASE_PRODUTOS!$L$2)+1)/(BASE_PRODUTOS!$L$2:$L$1006&gt;0),ROWS($G$10:G526)),"")</f>
        <v/>
      </c>
      <c r="H526" s="9" t="str">
        <f ca="1">IF($G526="","",INDEX(BASE_PRODUTOS!$B$2:$B$1006,$G526))</f>
        <v/>
      </c>
      <c r="I526" s="9" t="str">
        <f ca="1">IF($G526="","",INDEX(BASE_PRODUTOS!$L$2:$L$1006,$G526))</f>
        <v/>
      </c>
      <c r="J526" s="9" t="str">
        <f ca="1">IF($G526="","",INDEX(BASE_PRODUTOS!$A$2:$A$1006,$G526))</f>
        <v/>
      </c>
      <c r="K526" s="9" t="str">
        <f ca="1">IF($G526="","",INDEX(BASE_PRODUTOS!$C$2:$C$1006,$G526))</f>
        <v/>
      </c>
      <c r="L526" s="9" t="str">
        <f ca="1">IF($G526="","",INDEX(BASE_PRODUTOS!$E$2:$E$1006,$G526))</f>
        <v/>
      </c>
      <c r="M526" s="9" t="str">
        <f ca="1">IF($G526="","",INDEX(BASE_PRODUTOS!$F$2:$F$1006,$G526))</f>
        <v/>
      </c>
      <c r="N526" s="9" t="str">
        <f ca="1">IF($G526="","",INDEX(BASE_PRODUTOS!$G$2:$G$1006,$G526))</f>
        <v/>
      </c>
      <c r="O526" s="9" t="str">
        <f ca="1">IF($G526="","",INDEX(BASE_PRODUTOS!$H$2:$H$1006,$G526))</f>
        <v/>
      </c>
      <c r="P526" s="9" t="str">
        <f ca="1">IF($G526="","",INDEX(BASE_PRODUTOS!$I$2:$I$1006,$G526))</f>
        <v/>
      </c>
      <c r="Q526" s="9" t="str">
        <f ca="1">IF($G526="","",INDEX(BASE_PRODUTOS!$J$2:$J$1006,$G526))</f>
        <v/>
      </c>
      <c r="R526" s="9" t="str">
        <f ca="1">IF($G526="","",INDEX(BASE_PRODUTOS!$M$2:$M$1006,$G526))</f>
        <v/>
      </c>
      <c r="S526" s="9" t="str">
        <f ca="1">IF($G526="","",INDEX(BASE_PRODUTOS!$N$2:$N$1006,$G526))</f>
        <v/>
      </c>
      <c r="T526" s="9" t="str">
        <f ca="1">IF($G526="","",INDEX(BASE_PRODUTOS!$D$2:$D$1006,$G526))</f>
        <v/>
      </c>
    </row>
    <row r="527" spans="7:20" ht="18" customHeight="1" x14ac:dyDescent="0.35">
      <c r="G527" t="str">
        <f ca="1">IFERROR(_xludf.aggregate(15,6,(ROW(BASE_PRODUTOS!$L$2:$L$1006)-ROW(BASE_PRODUTOS!$L$2)+1)/(BASE_PRODUTOS!$L$2:$L$1006&gt;0),ROWS($G$10:G527)),"")</f>
        <v/>
      </c>
      <c r="H527" s="9" t="str">
        <f ca="1">IF($G527="","",INDEX(BASE_PRODUTOS!$B$2:$B$1006,$G527))</f>
        <v/>
      </c>
      <c r="I527" s="9" t="str">
        <f ca="1">IF($G527="","",INDEX(BASE_PRODUTOS!$L$2:$L$1006,$G527))</f>
        <v/>
      </c>
      <c r="J527" s="9" t="str">
        <f ca="1">IF($G527="","",INDEX(BASE_PRODUTOS!$A$2:$A$1006,$G527))</f>
        <v/>
      </c>
      <c r="K527" s="9" t="str">
        <f ca="1">IF($G527="","",INDEX(BASE_PRODUTOS!$C$2:$C$1006,$G527))</f>
        <v/>
      </c>
      <c r="L527" s="9" t="str">
        <f ca="1">IF($G527="","",INDEX(BASE_PRODUTOS!$E$2:$E$1006,$G527))</f>
        <v/>
      </c>
      <c r="M527" s="9" t="str">
        <f ca="1">IF($G527="","",INDEX(BASE_PRODUTOS!$F$2:$F$1006,$G527))</f>
        <v/>
      </c>
      <c r="N527" s="9" t="str">
        <f ca="1">IF($G527="","",INDEX(BASE_PRODUTOS!$G$2:$G$1006,$G527))</f>
        <v/>
      </c>
      <c r="O527" s="9" t="str">
        <f ca="1">IF($G527="","",INDEX(BASE_PRODUTOS!$H$2:$H$1006,$G527))</f>
        <v/>
      </c>
      <c r="P527" s="9" t="str">
        <f ca="1">IF($G527="","",INDEX(BASE_PRODUTOS!$I$2:$I$1006,$G527))</f>
        <v/>
      </c>
      <c r="Q527" s="9" t="str">
        <f ca="1">IF($G527="","",INDEX(BASE_PRODUTOS!$J$2:$J$1006,$G527))</f>
        <v/>
      </c>
      <c r="R527" s="9" t="str">
        <f ca="1">IF($G527="","",INDEX(BASE_PRODUTOS!$M$2:$M$1006,$G527))</f>
        <v/>
      </c>
      <c r="S527" s="9" t="str">
        <f ca="1">IF($G527="","",INDEX(BASE_PRODUTOS!$N$2:$N$1006,$G527))</f>
        <v/>
      </c>
      <c r="T527" s="9" t="str">
        <f ca="1">IF($G527="","",INDEX(BASE_PRODUTOS!$D$2:$D$1006,$G527))</f>
        <v/>
      </c>
    </row>
    <row r="528" spans="7:20" ht="18" customHeight="1" x14ac:dyDescent="0.35">
      <c r="G528" t="str">
        <f ca="1">IFERROR(_xludf.aggregate(15,6,(ROW(BASE_PRODUTOS!$L$2:$L$1006)-ROW(BASE_PRODUTOS!$L$2)+1)/(BASE_PRODUTOS!$L$2:$L$1006&gt;0),ROWS($G$10:G528)),"")</f>
        <v/>
      </c>
      <c r="H528" s="9" t="str">
        <f ca="1">IF($G528="","",INDEX(BASE_PRODUTOS!$B$2:$B$1006,$G528))</f>
        <v/>
      </c>
      <c r="I528" s="9" t="str">
        <f ca="1">IF($G528="","",INDEX(BASE_PRODUTOS!$L$2:$L$1006,$G528))</f>
        <v/>
      </c>
      <c r="J528" s="9" t="str">
        <f ca="1">IF($G528="","",INDEX(BASE_PRODUTOS!$A$2:$A$1006,$G528))</f>
        <v/>
      </c>
      <c r="K528" s="9" t="str">
        <f ca="1">IF($G528="","",INDEX(BASE_PRODUTOS!$C$2:$C$1006,$G528))</f>
        <v/>
      </c>
      <c r="L528" s="9" t="str">
        <f ca="1">IF($G528="","",INDEX(BASE_PRODUTOS!$E$2:$E$1006,$G528))</f>
        <v/>
      </c>
      <c r="M528" s="9" t="str">
        <f ca="1">IF($G528="","",INDEX(BASE_PRODUTOS!$F$2:$F$1006,$G528))</f>
        <v/>
      </c>
      <c r="N528" s="9" t="str">
        <f ca="1">IF($G528="","",INDEX(BASE_PRODUTOS!$G$2:$G$1006,$G528))</f>
        <v/>
      </c>
      <c r="O528" s="9" t="str">
        <f ca="1">IF($G528="","",INDEX(BASE_PRODUTOS!$H$2:$H$1006,$G528))</f>
        <v/>
      </c>
      <c r="P528" s="9" t="str">
        <f ca="1">IF($G528="","",INDEX(BASE_PRODUTOS!$I$2:$I$1006,$G528))</f>
        <v/>
      </c>
      <c r="Q528" s="9" t="str">
        <f ca="1">IF($G528="","",INDEX(BASE_PRODUTOS!$J$2:$J$1006,$G528))</f>
        <v/>
      </c>
      <c r="R528" s="9" t="str">
        <f ca="1">IF($G528="","",INDEX(BASE_PRODUTOS!$M$2:$M$1006,$G528))</f>
        <v/>
      </c>
      <c r="S528" s="9" t="str">
        <f ca="1">IF($G528="","",INDEX(BASE_PRODUTOS!$N$2:$N$1006,$G528))</f>
        <v/>
      </c>
      <c r="T528" s="9" t="str">
        <f ca="1">IF($G528="","",INDEX(BASE_PRODUTOS!$D$2:$D$1006,$G528))</f>
        <v/>
      </c>
    </row>
    <row r="529" spans="7:20" ht="18" customHeight="1" x14ac:dyDescent="0.35">
      <c r="G529" t="str">
        <f ca="1">IFERROR(_xludf.aggregate(15,6,(ROW(BASE_PRODUTOS!$L$2:$L$1006)-ROW(BASE_PRODUTOS!$L$2)+1)/(BASE_PRODUTOS!$L$2:$L$1006&gt;0),ROWS($G$10:G529)),"")</f>
        <v/>
      </c>
      <c r="H529" s="9" t="str">
        <f ca="1">IF($G529="","",INDEX(BASE_PRODUTOS!$B$2:$B$1006,$G529))</f>
        <v/>
      </c>
      <c r="I529" s="9" t="str">
        <f ca="1">IF($G529="","",INDEX(BASE_PRODUTOS!$L$2:$L$1006,$G529))</f>
        <v/>
      </c>
      <c r="J529" s="9" t="str">
        <f ca="1">IF($G529="","",INDEX(BASE_PRODUTOS!$A$2:$A$1006,$G529))</f>
        <v/>
      </c>
      <c r="K529" s="9" t="str">
        <f ca="1">IF($G529="","",INDEX(BASE_PRODUTOS!$C$2:$C$1006,$G529))</f>
        <v/>
      </c>
      <c r="L529" s="9" t="str">
        <f ca="1">IF($G529="","",INDEX(BASE_PRODUTOS!$E$2:$E$1006,$G529))</f>
        <v/>
      </c>
      <c r="M529" s="9" t="str">
        <f ca="1">IF($G529="","",INDEX(BASE_PRODUTOS!$F$2:$F$1006,$G529))</f>
        <v/>
      </c>
      <c r="N529" s="9" t="str">
        <f ca="1">IF($G529="","",INDEX(BASE_PRODUTOS!$G$2:$G$1006,$G529))</f>
        <v/>
      </c>
      <c r="O529" s="9" t="str">
        <f ca="1">IF($G529="","",INDEX(BASE_PRODUTOS!$H$2:$H$1006,$G529))</f>
        <v/>
      </c>
      <c r="P529" s="9" t="str">
        <f ca="1">IF($G529="","",INDEX(BASE_PRODUTOS!$I$2:$I$1006,$G529))</f>
        <v/>
      </c>
      <c r="Q529" s="9" t="str">
        <f ca="1">IF($G529="","",INDEX(BASE_PRODUTOS!$J$2:$J$1006,$G529))</f>
        <v/>
      </c>
      <c r="R529" s="9" t="str">
        <f ca="1">IF($G529="","",INDEX(BASE_PRODUTOS!$M$2:$M$1006,$G529))</f>
        <v/>
      </c>
      <c r="S529" s="9" t="str">
        <f ca="1">IF($G529="","",INDEX(BASE_PRODUTOS!$N$2:$N$1006,$G529))</f>
        <v/>
      </c>
      <c r="T529" s="9" t="str">
        <f ca="1">IF($G529="","",INDEX(BASE_PRODUTOS!$D$2:$D$1006,$G529))</f>
        <v/>
      </c>
    </row>
    <row r="530" spans="7:20" ht="18" customHeight="1" x14ac:dyDescent="0.35">
      <c r="G530" t="str">
        <f ca="1">IFERROR(_xludf.aggregate(15,6,(ROW(BASE_PRODUTOS!$L$2:$L$1006)-ROW(BASE_PRODUTOS!$L$2)+1)/(BASE_PRODUTOS!$L$2:$L$1006&gt;0),ROWS($G$10:G530)),"")</f>
        <v/>
      </c>
      <c r="H530" s="9" t="str">
        <f ca="1">IF($G530="","",INDEX(BASE_PRODUTOS!$B$2:$B$1006,$G530))</f>
        <v/>
      </c>
      <c r="I530" s="9" t="str">
        <f ca="1">IF($G530="","",INDEX(BASE_PRODUTOS!$L$2:$L$1006,$G530))</f>
        <v/>
      </c>
      <c r="J530" s="9" t="str">
        <f ca="1">IF($G530="","",INDEX(BASE_PRODUTOS!$A$2:$A$1006,$G530))</f>
        <v/>
      </c>
      <c r="K530" s="9" t="str">
        <f ca="1">IF($G530="","",INDEX(BASE_PRODUTOS!$C$2:$C$1006,$G530))</f>
        <v/>
      </c>
      <c r="L530" s="9" t="str">
        <f ca="1">IF($G530="","",INDEX(BASE_PRODUTOS!$E$2:$E$1006,$G530))</f>
        <v/>
      </c>
      <c r="M530" s="9" t="str">
        <f ca="1">IF($G530="","",INDEX(BASE_PRODUTOS!$F$2:$F$1006,$G530))</f>
        <v/>
      </c>
      <c r="N530" s="9" t="str">
        <f ca="1">IF($G530="","",INDEX(BASE_PRODUTOS!$G$2:$G$1006,$G530))</f>
        <v/>
      </c>
      <c r="O530" s="9" t="str">
        <f ca="1">IF($G530="","",INDEX(BASE_PRODUTOS!$H$2:$H$1006,$G530))</f>
        <v/>
      </c>
      <c r="P530" s="9" t="str">
        <f ca="1">IF($G530="","",INDEX(BASE_PRODUTOS!$I$2:$I$1006,$G530))</f>
        <v/>
      </c>
      <c r="Q530" s="9" t="str">
        <f ca="1">IF($G530="","",INDEX(BASE_PRODUTOS!$J$2:$J$1006,$G530))</f>
        <v/>
      </c>
      <c r="R530" s="9" t="str">
        <f ca="1">IF($G530="","",INDEX(BASE_PRODUTOS!$M$2:$M$1006,$G530))</f>
        <v/>
      </c>
      <c r="S530" s="9" t="str">
        <f ca="1">IF($G530="","",INDEX(BASE_PRODUTOS!$N$2:$N$1006,$G530))</f>
        <v/>
      </c>
      <c r="T530" s="9" t="str">
        <f ca="1">IF($G530="","",INDEX(BASE_PRODUTOS!$D$2:$D$1006,$G530))</f>
        <v/>
      </c>
    </row>
    <row r="531" spans="7:20" ht="18" customHeight="1" x14ac:dyDescent="0.35">
      <c r="G531" t="str">
        <f ca="1">IFERROR(_xludf.aggregate(15,6,(ROW(BASE_PRODUTOS!$L$2:$L$1006)-ROW(BASE_PRODUTOS!$L$2)+1)/(BASE_PRODUTOS!$L$2:$L$1006&gt;0),ROWS($G$10:G531)),"")</f>
        <v/>
      </c>
      <c r="H531" s="9" t="str">
        <f ca="1">IF($G531="","",INDEX(BASE_PRODUTOS!$B$2:$B$1006,$G531))</f>
        <v/>
      </c>
      <c r="I531" s="9" t="str">
        <f ca="1">IF($G531="","",INDEX(BASE_PRODUTOS!$L$2:$L$1006,$G531))</f>
        <v/>
      </c>
      <c r="J531" s="9" t="str">
        <f ca="1">IF($G531="","",INDEX(BASE_PRODUTOS!$A$2:$A$1006,$G531))</f>
        <v/>
      </c>
      <c r="K531" s="9" t="str">
        <f ca="1">IF($G531="","",INDEX(BASE_PRODUTOS!$C$2:$C$1006,$G531))</f>
        <v/>
      </c>
      <c r="L531" s="9" t="str">
        <f ca="1">IF($G531="","",INDEX(BASE_PRODUTOS!$E$2:$E$1006,$G531))</f>
        <v/>
      </c>
      <c r="M531" s="9" t="str">
        <f ca="1">IF($G531="","",INDEX(BASE_PRODUTOS!$F$2:$F$1006,$G531))</f>
        <v/>
      </c>
      <c r="N531" s="9" t="str">
        <f ca="1">IF($G531="","",INDEX(BASE_PRODUTOS!$G$2:$G$1006,$G531))</f>
        <v/>
      </c>
      <c r="O531" s="9" t="str">
        <f ca="1">IF($G531="","",INDEX(BASE_PRODUTOS!$H$2:$H$1006,$G531))</f>
        <v/>
      </c>
      <c r="P531" s="9" t="str">
        <f ca="1">IF($G531="","",INDEX(BASE_PRODUTOS!$I$2:$I$1006,$G531))</f>
        <v/>
      </c>
      <c r="Q531" s="9" t="str">
        <f ca="1">IF($G531="","",INDEX(BASE_PRODUTOS!$J$2:$J$1006,$G531))</f>
        <v/>
      </c>
      <c r="R531" s="9" t="str">
        <f ca="1">IF($G531="","",INDEX(BASE_PRODUTOS!$M$2:$M$1006,$G531))</f>
        <v/>
      </c>
      <c r="S531" s="9" t="str">
        <f ca="1">IF($G531="","",INDEX(BASE_PRODUTOS!$N$2:$N$1006,$G531))</f>
        <v/>
      </c>
      <c r="T531" s="9" t="str">
        <f ca="1">IF($G531="","",INDEX(BASE_PRODUTOS!$D$2:$D$1006,$G531))</f>
        <v/>
      </c>
    </row>
    <row r="532" spans="7:20" ht="18" customHeight="1" x14ac:dyDescent="0.35">
      <c r="G532" t="str">
        <f ca="1">IFERROR(_xludf.aggregate(15,6,(ROW(BASE_PRODUTOS!$L$2:$L$1006)-ROW(BASE_PRODUTOS!$L$2)+1)/(BASE_PRODUTOS!$L$2:$L$1006&gt;0),ROWS($G$10:G532)),"")</f>
        <v/>
      </c>
      <c r="H532" s="9" t="str">
        <f ca="1">IF($G532="","",INDEX(BASE_PRODUTOS!$B$2:$B$1006,$G532))</f>
        <v/>
      </c>
      <c r="I532" s="9" t="str">
        <f ca="1">IF($G532="","",INDEX(BASE_PRODUTOS!$L$2:$L$1006,$G532))</f>
        <v/>
      </c>
      <c r="J532" s="9" t="str">
        <f ca="1">IF($G532="","",INDEX(BASE_PRODUTOS!$A$2:$A$1006,$G532))</f>
        <v/>
      </c>
      <c r="K532" s="9" t="str">
        <f ca="1">IF($G532="","",INDEX(BASE_PRODUTOS!$C$2:$C$1006,$G532))</f>
        <v/>
      </c>
      <c r="L532" s="9" t="str">
        <f ca="1">IF($G532="","",INDEX(BASE_PRODUTOS!$E$2:$E$1006,$G532))</f>
        <v/>
      </c>
      <c r="M532" s="9" t="str">
        <f ca="1">IF($G532="","",INDEX(BASE_PRODUTOS!$F$2:$F$1006,$G532))</f>
        <v/>
      </c>
      <c r="N532" s="9" t="str">
        <f ca="1">IF($G532="","",INDEX(BASE_PRODUTOS!$G$2:$G$1006,$G532))</f>
        <v/>
      </c>
      <c r="O532" s="9" t="str">
        <f ca="1">IF($G532="","",INDEX(BASE_PRODUTOS!$H$2:$H$1006,$G532))</f>
        <v/>
      </c>
      <c r="P532" s="9" t="str">
        <f ca="1">IF($G532="","",INDEX(BASE_PRODUTOS!$I$2:$I$1006,$G532))</f>
        <v/>
      </c>
      <c r="Q532" s="9" t="str">
        <f ca="1">IF($G532="","",INDEX(BASE_PRODUTOS!$J$2:$J$1006,$G532))</f>
        <v/>
      </c>
      <c r="R532" s="9" t="str">
        <f ca="1">IF($G532="","",INDEX(BASE_PRODUTOS!$M$2:$M$1006,$G532))</f>
        <v/>
      </c>
      <c r="S532" s="9" t="str">
        <f ca="1">IF($G532="","",INDEX(BASE_PRODUTOS!$N$2:$N$1006,$G532))</f>
        <v/>
      </c>
      <c r="T532" s="9" t="str">
        <f ca="1">IF($G532="","",INDEX(BASE_PRODUTOS!$D$2:$D$1006,$G532))</f>
        <v/>
      </c>
    </row>
    <row r="533" spans="7:20" ht="18" customHeight="1" x14ac:dyDescent="0.35">
      <c r="G533" t="str">
        <f ca="1">IFERROR(_xludf.aggregate(15,6,(ROW(BASE_PRODUTOS!$L$2:$L$1006)-ROW(BASE_PRODUTOS!$L$2)+1)/(BASE_PRODUTOS!$L$2:$L$1006&gt;0),ROWS($G$10:G533)),"")</f>
        <v/>
      </c>
      <c r="H533" s="9" t="str">
        <f ca="1">IF($G533="","",INDEX(BASE_PRODUTOS!$B$2:$B$1006,$G533))</f>
        <v/>
      </c>
      <c r="I533" s="9" t="str">
        <f ca="1">IF($G533="","",INDEX(BASE_PRODUTOS!$L$2:$L$1006,$G533))</f>
        <v/>
      </c>
      <c r="J533" s="9" t="str">
        <f ca="1">IF($G533="","",INDEX(BASE_PRODUTOS!$A$2:$A$1006,$G533))</f>
        <v/>
      </c>
      <c r="K533" s="9" t="str">
        <f ca="1">IF($G533="","",INDEX(BASE_PRODUTOS!$C$2:$C$1006,$G533))</f>
        <v/>
      </c>
      <c r="L533" s="9" t="str">
        <f ca="1">IF($G533="","",INDEX(BASE_PRODUTOS!$E$2:$E$1006,$G533))</f>
        <v/>
      </c>
      <c r="M533" s="9" t="str">
        <f ca="1">IF($G533="","",INDEX(BASE_PRODUTOS!$F$2:$F$1006,$G533))</f>
        <v/>
      </c>
      <c r="N533" s="9" t="str">
        <f ca="1">IF($G533="","",INDEX(BASE_PRODUTOS!$G$2:$G$1006,$G533))</f>
        <v/>
      </c>
      <c r="O533" s="9" t="str">
        <f ca="1">IF($G533="","",INDEX(BASE_PRODUTOS!$H$2:$H$1006,$G533))</f>
        <v/>
      </c>
      <c r="P533" s="9" t="str">
        <f ca="1">IF($G533="","",INDEX(BASE_PRODUTOS!$I$2:$I$1006,$G533))</f>
        <v/>
      </c>
      <c r="Q533" s="9" t="str">
        <f ca="1">IF($G533="","",INDEX(BASE_PRODUTOS!$J$2:$J$1006,$G533))</f>
        <v/>
      </c>
      <c r="R533" s="9" t="str">
        <f ca="1">IF($G533="","",INDEX(BASE_PRODUTOS!$M$2:$M$1006,$G533))</f>
        <v/>
      </c>
      <c r="S533" s="9" t="str">
        <f ca="1">IF($G533="","",INDEX(BASE_PRODUTOS!$N$2:$N$1006,$G533))</f>
        <v/>
      </c>
      <c r="T533" s="9" t="str">
        <f ca="1">IF($G533="","",INDEX(BASE_PRODUTOS!$D$2:$D$1006,$G533))</f>
        <v/>
      </c>
    </row>
    <row r="534" spans="7:20" ht="18" customHeight="1" x14ac:dyDescent="0.35">
      <c r="G534" t="str">
        <f ca="1">IFERROR(_xludf.aggregate(15,6,(ROW(BASE_PRODUTOS!$L$2:$L$1006)-ROW(BASE_PRODUTOS!$L$2)+1)/(BASE_PRODUTOS!$L$2:$L$1006&gt;0),ROWS($G$10:G534)),"")</f>
        <v/>
      </c>
      <c r="H534" s="9" t="str">
        <f ca="1">IF($G534="","",INDEX(BASE_PRODUTOS!$B$2:$B$1006,$G534))</f>
        <v/>
      </c>
      <c r="I534" s="9" t="str">
        <f ca="1">IF($G534="","",INDEX(BASE_PRODUTOS!$L$2:$L$1006,$G534))</f>
        <v/>
      </c>
      <c r="J534" s="9" t="str">
        <f ca="1">IF($G534="","",INDEX(BASE_PRODUTOS!$A$2:$A$1006,$G534))</f>
        <v/>
      </c>
      <c r="K534" s="9" t="str">
        <f ca="1">IF($G534="","",INDEX(BASE_PRODUTOS!$C$2:$C$1006,$G534))</f>
        <v/>
      </c>
      <c r="L534" s="9" t="str">
        <f ca="1">IF($G534="","",INDEX(BASE_PRODUTOS!$E$2:$E$1006,$G534))</f>
        <v/>
      </c>
      <c r="M534" s="9" t="str">
        <f ca="1">IF($G534="","",INDEX(BASE_PRODUTOS!$F$2:$F$1006,$G534))</f>
        <v/>
      </c>
      <c r="N534" s="9" t="str">
        <f ca="1">IF($G534="","",INDEX(BASE_PRODUTOS!$G$2:$G$1006,$G534))</f>
        <v/>
      </c>
      <c r="O534" s="9" t="str">
        <f ca="1">IF($G534="","",INDEX(BASE_PRODUTOS!$H$2:$H$1006,$G534))</f>
        <v/>
      </c>
      <c r="P534" s="9" t="str">
        <f ca="1">IF($G534="","",INDEX(BASE_PRODUTOS!$I$2:$I$1006,$G534))</f>
        <v/>
      </c>
      <c r="Q534" s="9" t="str">
        <f ca="1">IF($G534="","",INDEX(BASE_PRODUTOS!$J$2:$J$1006,$G534))</f>
        <v/>
      </c>
      <c r="R534" s="9" t="str">
        <f ca="1">IF($G534="","",INDEX(BASE_PRODUTOS!$M$2:$M$1006,$G534))</f>
        <v/>
      </c>
      <c r="S534" s="9" t="str">
        <f ca="1">IF($G534="","",INDEX(BASE_PRODUTOS!$N$2:$N$1006,$G534))</f>
        <v/>
      </c>
      <c r="T534" s="9" t="str">
        <f ca="1">IF($G534="","",INDEX(BASE_PRODUTOS!$D$2:$D$1006,$G534))</f>
        <v/>
      </c>
    </row>
    <row r="535" spans="7:20" ht="18" customHeight="1" x14ac:dyDescent="0.35">
      <c r="G535" t="str">
        <f ca="1">IFERROR(_xludf.aggregate(15,6,(ROW(BASE_PRODUTOS!$L$2:$L$1006)-ROW(BASE_PRODUTOS!$L$2)+1)/(BASE_PRODUTOS!$L$2:$L$1006&gt;0),ROWS($G$10:G535)),"")</f>
        <v/>
      </c>
      <c r="H535" s="9" t="str">
        <f ca="1">IF($G535="","",INDEX(BASE_PRODUTOS!$B$2:$B$1006,$G535))</f>
        <v/>
      </c>
      <c r="I535" s="9" t="str">
        <f ca="1">IF($G535="","",INDEX(BASE_PRODUTOS!$L$2:$L$1006,$G535))</f>
        <v/>
      </c>
      <c r="J535" s="9" t="str">
        <f ca="1">IF($G535="","",INDEX(BASE_PRODUTOS!$A$2:$A$1006,$G535))</f>
        <v/>
      </c>
      <c r="K535" s="9" t="str">
        <f ca="1">IF($G535="","",INDEX(BASE_PRODUTOS!$C$2:$C$1006,$G535))</f>
        <v/>
      </c>
      <c r="L535" s="9" t="str">
        <f ca="1">IF($G535="","",INDEX(BASE_PRODUTOS!$E$2:$E$1006,$G535))</f>
        <v/>
      </c>
      <c r="M535" s="9" t="str">
        <f ca="1">IF($G535="","",INDEX(BASE_PRODUTOS!$F$2:$F$1006,$G535))</f>
        <v/>
      </c>
      <c r="N535" s="9" t="str">
        <f ca="1">IF($G535="","",INDEX(BASE_PRODUTOS!$G$2:$G$1006,$G535))</f>
        <v/>
      </c>
      <c r="O535" s="9" t="str">
        <f ca="1">IF($G535="","",INDEX(BASE_PRODUTOS!$H$2:$H$1006,$G535))</f>
        <v/>
      </c>
      <c r="P535" s="9" t="str">
        <f ca="1">IF($G535="","",INDEX(BASE_PRODUTOS!$I$2:$I$1006,$G535))</f>
        <v/>
      </c>
      <c r="Q535" s="9" t="str">
        <f ca="1">IF($G535="","",INDEX(BASE_PRODUTOS!$J$2:$J$1006,$G535))</f>
        <v/>
      </c>
      <c r="R535" s="9" t="str">
        <f ca="1">IF($G535="","",INDEX(BASE_PRODUTOS!$M$2:$M$1006,$G535))</f>
        <v/>
      </c>
      <c r="S535" s="9" t="str">
        <f ca="1">IF($G535="","",INDEX(BASE_PRODUTOS!$N$2:$N$1006,$G535))</f>
        <v/>
      </c>
      <c r="T535" s="9" t="str">
        <f ca="1">IF($G535="","",INDEX(BASE_PRODUTOS!$D$2:$D$1006,$G535))</f>
        <v/>
      </c>
    </row>
    <row r="536" spans="7:20" ht="18" customHeight="1" x14ac:dyDescent="0.35">
      <c r="G536" t="str">
        <f ca="1">IFERROR(_xludf.aggregate(15,6,(ROW(BASE_PRODUTOS!$L$2:$L$1006)-ROW(BASE_PRODUTOS!$L$2)+1)/(BASE_PRODUTOS!$L$2:$L$1006&gt;0),ROWS($G$10:G536)),"")</f>
        <v/>
      </c>
      <c r="H536" s="9" t="str">
        <f ca="1">IF($G536="","",INDEX(BASE_PRODUTOS!$B$2:$B$1006,$G536))</f>
        <v/>
      </c>
      <c r="I536" s="9" t="str">
        <f ca="1">IF($G536="","",INDEX(BASE_PRODUTOS!$L$2:$L$1006,$G536))</f>
        <v/>
      </c>
      <c r="J536" s="9" t="str">
        <f ca="1">IF($G536="","",INDEX(BASE_PRODUTOS!$A$2:$A$1006,$G536))</f>
        <v/>
      </c>
      <c r="K536" s="9" t="str">
        <f ca="1">IF($G536="","",INDEX(BASE_PRODUTOS!$C$2:$C$1006,$G536))</f>
        <v/>
      </c>
      <c r="L536" s="9" t="str">
        <f ca="1">IF($G536="","",INDEX(BASE_PRODUTOS!$E$2:$E$1006,$G536))</f>
        <v/>
      </c>
      <c r="M536" s="9" t="str">
        <f ca="1">IF($G536="","",INDEX(BASE_PRODUTOS!$F$2:$F$1006,$G536))</f>
        <v/>
      </c>
      <c r="N536" s="9" t="str">
        <f ca="1">IF($G536="","",INDEX(BASE_PRODUTOS!$G$2:$G$1006,$G536))</f>
        <v/>
      </c>
      <c r="O536" s="9" t="str">
        <f ca="1">IF($G536="","",INDEX(BASE_PRODUTOS!$H$2:$H$1006,$G536))</f>
        <v/>
      </c>
      <c r="P536" s="9" t="str">
        <f ca="1">IF($G536="","",INDEX(BASE_PRODUTOS!$I$2:$I$1006,$G536))</f>
        <v/>
      </c>
      <c r="Q536" s="9" t="str">
        <f ca="1">IF($G536="","",INDEX(BASE_PRODUTOS!$J$2:$J$1006,$G536))</f>
        <v/>
      </c>
      <c r="R536" s="9" t="str">
        <f ca="1">IF($G536="","",INDEX(BASE_PRODUTOS!$M$2:$M$1006,$G536))</f>
        <v/>
      </c>
      <c r="S536" s="9" t="str">
        <f ca="1">IF($G536="","",INDEX(BASE_PRODUTOS!$N$2:$N$1006,$G536))</f>
        <v/>
      </c>
      <c r="T536" s="9" t="str">
        <f ca="1">IF($G536="","",INDEX(BASE_PRODUTOS!$D$2:$D$1006,$G536))</f>
        <v/>
      </c>
    </row>
    <row r="537" spans="7:20" ht="18" customHeight="1" x14ac:dyDescent="0.35">
      <c r="G537" t="str">
        <f ca="1">IFERROR(_xludf.aggregate(15,6,(ROW(BASE_PRODUTOS!$L$2:$L$1006)-ROW(BASE_PRODUTOS!$L$2)+1)/(BASE_PRODUTOS!$L$2:$L$1006&gt;0),ROWS($G$10:G537)),"")</f>
        <v/>
      </c>
      <c r="H537" s="9" t="str">
        <f ca="1">IF($G537="","",INDEX(BASE_PRODUTOS!$B$2:$B$1006,$G537))</f>
        <v/>
      </c>
      <c r="I537" s="9" t="str">
        <f ca="1">IF($G537="","",INDEX(BASE_PRODUTOS!$L$2:$L$1006,$G537))</f>
        <v/>
      </c>
      <c r="J537" s="9" t="str">
        <f ca="1">IF($G537="","",INDEX(BASE_PRODUTOS!$A$2:$A$1006,$G537))</f>
        <v/>
      </c>
      <c r="K537" s="9" t="str">
        <f ca="1">IF($G537="","",INDEX(BASE_PRODUTOS!$C$2:$C$1006,$G537))</f>
        <v/>
      </c>
      <c r="L537" s="9" t="str">
        <f ca="1">IF($G537="","",INDEX(BASE_PRODUTOS!$E$2:$E$1006,$G537))</f>
        <v/>
      </c>
      <c r="M537" s="9" t="str">
        <f ca="1">IF($G537="","",INDEX(BASE_PRODUTOS!$F$2:$F$1006,$G537))</f>
        <v/>
      </c>
      <c r="N537" s="9" t="str">
        <f ca="1">IF($G537="","",INDEX(BASE_PRODUTOS!$G$2:$G$1006,$G537))</f>
        <v/>
      </c>
      <c r="O537" s="9" t="str">
        <f ca="1">IF($G537="","",INDEX(BASE_PRODUTOS!$H$2:$H$1006,$G537))</f>
        <v/>
      </c>
      <c r="P537" s="9" t="str">
        <f ca="1">IF($G537="","",INDEX(BASE_PRODUTOS!$I$2:$I$1006,$G537))</f>
        <v/>
      </c>
      <c r="Q537" s="9" t="str">
        <f ca="1">IF($G537="","",INDEX(BASE_PRODUTOS!$J$2:$J$1006,$G537))</f>
        <v/>
      </c>
      <c r="R537" s="9" t="str">
        <f ca="1">IF($G537="","",INDEX(BASE_PRODUTOS!$M$2:$M$1006,$G537))</f>
        <v/>
      </c>
      <c r="S537" s="9" t="str">
        <f ca="1">IF($G537="","",INDEX(BASE_PRODUTOS!$N$2:$N$1006,$G537))</f>
        <v/>
      </c>
      <c r="T537" s="9" t="str">
        <f ca="1">IF($G537="","",INDEX(BASE_PRODUTOS!$D$2:$D$1006,$G537))</f>
        <v/>
      </c>
    </row>
    <row r="538" spans="7:20" ht="18" customHeight="1" x14ac:dyDescent="0.35">
      <c r="G538" t="str">
        <f ca="1">IFERROR(_xludf.aggregate(15,6,(ROW(BASE_PRODUTOS!$L$2:$L$1006)-ROW(BASE_PRODUTOS!$L$2)+1)/(BASE_PRODUTOS!$L$2:$L$1006&gt;0),ROWS($G$10:G538)),"")</f>
        <v/>
      </c>
      <c r="H538" s="9" t="str">
        <f ca="1">IF($G538="","",INDEX(BASE_PRODUTOS!$B$2:$B$1006,$G538))</f>
        <v/>
      </c>
      <c r="I538" s="9" t="str">
        <f ca="1">IF($G538="","",INDEX(BASE_PRODUTOS!$L$2:$L$1006,$G538))</f>
        <v/>
      </c>
      <c r="J538" s="9" t="str">
        <f ca="1">IF($G538="","",INDEX(BASE_PRODUTOS!$A$2:$A$1006,$G538))</f>
        <v/>
      </c>
      <c r="K538" s="9" t="str">
        <f ca="1">IF($G538="","",INDEX(BASE_PRODUTOS!$C$2:$C$1006,$G538))</f>
        <v/>
      </c>
      <c r="L538" s="9" t="str">
        <f ca="1">IF($G538="","",INDEX(BASE_PRODUTOS!$E$2:$E$1006,$G538))</f>
        <v/>
      </c>
      <c r="M538" s="9" t="str">
        <f ca="1">IF($G538="","",INDEX(BASE_PRODUTOS!$F$2:$F$1006,$G538))</f>
        <v/>
      </c>
      <c r="N538" s="9" t="str">
        <f ca="1">IF($G538="","",INDEX(BASE_PRODUTOS!$G$2:$G$1006,$G538))</f>
        <v/>
      </c>
      <c r="O538" s="9" t="str">
        <f ca="1">IF($G538="","",INDEX(BASE_PRODUTOS!$H$2:$H$1006,$G538))</f>
        <v/>
      </c>
      <c r="P538" s="9" t="str">
        <f ca="1">IF($G538="","",INDEX(BASE_PRODUTOS!$I$2:$I$1006,$G538))</f>
        <v/>
      </c>
      <c r="Q538" s="9" t="str">
        <f ca="1">IF($G538="","",INDEX(BASE_PRODUTOS!$J$2:$J$1006,$G538))</f>
        <v/>
      </c>
      <c r="R538" s="9" t="str">
        <f ca="1">IF($G538="","",INDEX(BASE_PRODUTOS!$M$2:$M$1006,$G538))</f>
        <v/>
      </c>
      <c r="S538" s="9" t="str">
        <f ca="1">IF($G538="","",INDEX(BASE_PRODUTOS!$N$2:$N$1006,$G538))</f>
        <v/>
      </c>
      <c r="T538" s="9" t="str">
        <f ca="1">IF($G538="","",INDEX(BASE_PRODUTOS!$D$2:$D$1006,$G538))</f>
        <v/>
      </c>
    </row>
    <row r="539" spans="7:20" ht="18" customHeight="1" x14ac:dyDescent="0.35">
      <c r="G539" t="str">
        <f ca="1">IFERROR(_xludf.aggregate(15,6,(ROW(BASE_PRODUTOS!$L$2:$L$1006)-ROW(BASE_PRODUTOS!$L$2)+1)/(BASE_PRODUTOS!$L$2:$L$1006&gt;0),ROWS($G$10:G539)),"")</f>
        <v/>
      </c>
      <c r="H539" s="9" t="str">
        <f ca="1">IF($G539="","",INDEX(BASE_PRODUTOS!$B$2:$B$1006,$G539))</f>
        <v/>
      </c>
      <c r="I539" s="9" t="str">
        <f ca="1">IF($G539="","",INDEX(BASE_PRODUTOS!$L$2:$L$1006,$G539))</f>
        <v/>
      </c>
      <c r="J539" s="9" t="str">
        <f ca="1">IF($G539="","",INDEX(BASE_PRODUTOS!$A$2:$A$1006,$G539))</f>
        <v/>
      </c>
      <c r="K539" s="9" t="str">
        <f ca="1">IF($G539="","",INDEX(BASE_PRODUTOS!$C$2:$C$1006,$G539))</f>
        <v/>
      </c>
      <c r="L539" s="9" t="str">
        <f ca="1">IF($G539="","",INDEX(BASE_PRODUTOS!$E$2:$E$1006,$G539))</f>
        <v/>
      </c>
      <c r="M539" s="9" t="str">
        <f ca="1">IF($G539="","",INDEX(BASE_PRODUTOS!$F$2:$F$1006,$G539))</f>
        <v/>
      </c>
      <c r="N539" s="9" t="str">
        <f ca="1">IF($G539="","",INDEX(BASE_PRODUTOS!$G$2:$G$1006,$G539))</f>
        <v/>
      </c>
      <c r="O539" s="9" t="str">
        <f ca="1">IF($G539="","",INDEX(BASE_PRODUTOS!$H$2:$H$1006,$G539))</f>
        <v/>
      </c>
      <c r="P539" s="9" t="str">
        <f ca="1">IF($G539="","",INDEX(BASE_PRODUTOS!$I$2:$I$1006,$G539))</f>
        <v/>
      </c>
      <c r="Q539" s="9" t="str">
        <f ca="1">IF($G539="","",INDEX(BASE_PRODUTOS!$J$2:$J$1006,$G539))</f>
        <v/>
      </c>
      <c r="R539" s="9" t="str">
        <f ca="1">IF($G539="","",INDEX(BASE_PRODUTOS!$M$2:$M$1006,$G539))</f>
        <v/>
      </c>
      <c r="S539" s="9" t="str">
        <f ca="1">IF($G539="","",INDEX(BASE_PRODUTOS!$N$2:$N$1006,$G539))</f>
        <v/>
      </c>
      <c r="T539" s="9" t="str">
        <f ca="1">IF($G539="","",INDEX(BASE_PRODUTOS!$D$2:$D$1006,$G539))</f>
        <v/>
      </c>
    </row>
    <row r="540" spans="7:20" ht="18" customHeight="1" x14ac:dyDescent="0.35">
      <c r="G540" t="str">
        <f ca="1">IFERROR(_xludf.aggregate(15,6,(ROW(BASE_PRODUTOS!$L$2:$L$1006)-ROW(BASE_PRODUTOS!$L$2)+1)/(BASE_PRODUTOS!$L$2:$L$1006&gt;0),ROWS($G$10:G540)),"")</f>
        <v/>
      </c>
      <c r="H540" s="9" t="str">
        <f ca="1">IF($G540="","",INDEX(BASE_PRODUTOS!$B$2:$B$1006,$G540))</f>
        <v/>
      </c>
      <c r="I540" s="9" t="str">
        <f ca="1">IF($G540="","",INDEX(BASE_PRODUTOS!$L$2:$L$1006,$G540))</f>
        <v/>
      </c>
      <c r="J540" s="9" t="str">
        <f ca="1">IF($G540="","",INDEX(BASE_PRODUTOS!$A$2:$A$1006,$G540))</f>
        <v/>
      </c>
      <c r="K540" s="9" t="str">
        <f ca="1">IF($G540="","",INDEX(BASE_PRODUTOS!$C$2:$C$1006,$G540))</f>
        <v/>
      </c>
      <c r="L540" s="9" t="str">
        <f ca="1">IF($G540="","",INDEX(BASE_PRODUTOS!$E$2:$E$1006,$G540))</f>
        <v/>
      </c>
      <c r="M540" s="9" t="str">
        <f ca="1">IF($G540="","",INDEX(BASE_PRODUTOS!$F$2:$F$1006,$G540))</f>
        <v/>
      </c>
      <c r="N540" s="9" t="str">
        <f ca="1">IF($G540="","",INDEX(BASE_PRODUTOS!$G$2:$G$1006,$G540))</f>
        <v/>
      </c>
      <c r="O540" s="9" t="str">
        <f ca="1">IF($G540="","",INDEX(BASE_PRODUTOS!$H$2:$H$1006,$G540))</f>
        <v/>
      </c>
      <c r="P540" s="9" t="str">
        <f ca="1">IF($G540="","",INDEX(BASE_PRODUTOS!$I$2:$I$1006,$G540))</f>
        <v/>
      </c>
      <c r="Q540" s="9" t="str">
        <f ca="1">IF($G540="","",INDEX(BASE_PRODUTOS!$J$2:$J$1006,$G540))</f>
        <v/>
      </c>
      <c r="R540" s="9" t="str">
        <f ca="1">IF($G540="","",INDEX(BASE_PRODUTOS!$M$2:$M$1006,$G540))</f>
        <v/>
      </c>
      <c r="S540" s="9" t="str">
        <f ca="1">IF($G540="","",INDEX(BASE_PRODUTOS!$N$2:$N$1006,$G540))</f>
        <v/>
      </c>
      <c r="T540" s="9" t="str">
        <f ca="1">IF($G540="","",INDEX(BASE_PRODUTOS!$D$2:$D$1006,$G540))</f>
        <v/>
      </c>
    </row>
    <row r="541" spans="7:20" ht="18" customHeight="1" x14ac:dyDescent="0.35">
      <c r="G541" t="str">
        <f ca="1">IFERROR(_xludf.aggregate(15,6,(ROW(BASE_PRODUTOS!$L$2:$L$1006)-ROW(BASE_PRODUTOS!$L$2)+1)/(BASE_PRODUTOS!$L$2:$L$1006&gt;0),ROWS($G$10:G541)),"")</f>
        <v/>
      </c>
      <c r="H541" s="9" t="str">
        <f ca="1">IF($G541="","",INDEX(BASE_PRODUTOS!$B$2:$B$1006,$G541))</f>
        <v/>
      </c>
      <c r="I541" s="9" t="str">
        <f ca="1">IF($G541="","",INDEX(BASE_PRODUTOS!$L$2:$L$1006,$G541))</f>
        <v/>
      </c>
      <c r="J541" s="9" t="str">
        <f ca="1">IF($G541="","",INDEX(BASE_PRODUTOS!$A$2:$A$1006,$G541))</f>
        <v/>
      </c>
      <c r="K541" s="9" t="str">
        <f ca="1">IF($G541="","",INDEX(BASE_PRODUTOS!$C$2:$C$1006,$G541))</f>
        <v/>
      </c>
      <c r="L541" s="9" t="str">
        <f ca="1">IF($G541="","",INDEX(BASE_PRODUTOS!$E$2:$E$1006,$G541))</f>
        <v/>
      </c>
      <c r="M541" s="9" t="str">
        <f ca="1">IF($G541="","",INDEX(BASE_PRODUTOS!$F$2:$F$1006,$G541))</f>
        <v/>
      </c>
      <c r="N541" s="9" t="str">
        <f ca="1">IF($G541="","",INDEX(BASE_PRODUTOS!$G$2:$G$1006,$G541))</f>
        <v/>
      </c>
      <c r="O541" s="9" t="str">
        <f ca="1">IF($G541="","",INDEX(BASE_PRODUTOS!$H$2:$H$1006,$G541))</f>
        <v/>
      </c>
      <c r="P541" s="9" t="str">
        <f ca="1">IF($G541="","",INDEX(BASE_PRODUTOS!$I$2:$I$1006,$G541))</f>
        <v/>
      </c>
      <c r="Q541" s="9" t="str">
        <f ca="1">IF($G541="","",INDEX(BASE_PRODUTOS!$J$2:$J$1006,$G541))</f>
        <v/>
      </c>
      <c r="R541" s="9" t="str">
        <f ca="1">IF($G541="","",INDEX(BASE_PRODUTOS!$M$2:$M$1006,$G541))</f>
        <v/>
      </c>
      <c r="S541" s="9" t="str">
        <f ca="1">IF($G541="","",INDEX(BASE_PRODUTOS!$N$2:$N$1006,$G541))</f>
        <v/>
      </c>
      <c r="T541" s="9" t="str">
        <f ca="1">IF($G541="","",INDEX(BASE_PRODUTOS!$D$2:$D$1006,$G541))</f>
        <v/>
      </c>
    </row>
    <row r="542" spans="7:20" ht="18" customHeight="1" x14ac:dyDescent="0.35">
      <c r="G542" t="str">
        <f ca="1">IFERROR(_xludf.aggregate(15,6,(ROW(BASE_PRODUTOS!$L$2:$L$1006)-ROW(BASE_PRODUTOS!$L$2)+1)/(BASE_PRODUTOS!$L$2:$L$1006&gt;0),ROWS($G$10:G542)),"")</f>
        <v/>
      </c>
      <c r="H542" s="9" t="str">
        <f ca="1">IF($G542="","",INDEX(BASE_PRODUTOS!$B$2:$B$1006,$G542))</f>
        <v/>
      </c>
      <c r="I542" s="9" t="str">
        <f ca="1">IF($G542="","",INDEX(BASE_PRODUTOS!$L$2:$L$1006,$G542))</f>
        <v/>
      </c>
      <c r="J542" s="9" t="str">
        <f ca="1">IF($G542="","",INDEX(BASE_PRODUTOS!$A$2:$A$1006,$G542))</f>
        <v/>
      </c>
      <c r="K542" s="9" t="str">
        <f ca="1">IF($G542="","",INDEX(BASE_PRODUTOS!$C$2:$C$1006,$G542))</f>
        <v/>
      </c>
      <c r="L542" s="9" t="str">
        <f ca="1">IF($G542="","",INDEX(BASE_PRODUTOS!$E$2:$E$1006,$G542))</f>
        <v/>
      </c>
      <c r="M542" s="9" t="str">
        <f ca="1">IF($G542="","",INDEX(BASE_PRODUTOS!$F$2:$F$1006,$G542))</f>
        <v/>
      </c>
      <c r="N542" s="9" t="str">
        <f ca="1">IF($G542="","",INDEX(BASE_PRODUTOS!$G$2:$G$1006,$G542))</f>
        <v/>
      </c>
      <c r="O542" s="9" t="str">
        <f ca="1">IF($G542="","",INDEX(BASE_PRODUTOS!$H$2:$H$1006,$G542))</f>
        <v/>
      </c>
      <c r="P542" s="9" t="str">
        <f ca="1">IF($G542="","",INDEX(BASE_PRODUTOS!$I$2:$I$1006,$G542))</f>
        <v/>
      </c>
      <c r="Q542" s="9" t="str">
        <f ca="1">IF($G542="","",INDEX(BASE_PRODUTOS!$J$2:$J$1006,$G542))</f>
        <v/>
      </c>
      <c r="R542" s="9" t="str">
        <f ca="1">IF($G542="","",INDEX(BASE_PRODUTOS!$M$2:$M$1006,$G542))</f>
        <v/>
      </c>
      <c r="S542" s="9" t="str">
        <f ca="1">IF($G542="","",INDEX(BASE_PRODUTOS!$N$2:$N$1006,$G542))</f>
        <v/>
      </c>
      <c r="T542" s="9" t="str">
        <f ca="1">IF($G542="","",INDEX(BASE_PRODUTOS!$D$2:$D$1006,$G542))</f>
        <v/>
      </c>
    </row>
    <row r="543" spans="7:20" ht="18" customHeight="1" x14ac:dyDescent="0.35">
      <c r="G543" t="str">
        <f ca="1">IFERROR(_xludf.aggregate(15,6,(ROW(BASE_PRODUTOS!$L$2:$L$1006)-ROW(BASE_PRODUTOS!$L$2)+1)/(BASE_PRODUTOS!$L$2:$L$1006&gt;0),ROWS($G$10:G543)),"")</f>
        <v/>
      </c>
      <c r="H543" s="9" t="str">
        <f ca="1">IF($G543="","",INDEX(BASE_PRODUTOS!$B$2:$B$1006,$G543))</f>
        <v/>
      </c>
      <c r="I543" s="9" t="str">
        <f ca="1">IF($G543="","",INDEX(BASE_PRODUTOS!$L$2:$L$1006,$G543))</f>
        <v/>
      </c>
      <c r="J543" s="9" t="str">
        <f ca="1">IF($G543="","",INDEX(BASE_PRODUTOS!$A$2:$A$1006,$G543))</f>
        <v/>
      </c>
      <c r="K543" s="9" t="str">
        <f ca="1">IF($G543="","",INDEX(BASE_PRODUTOS!$C$2:$C$1006,$G543))</f>
        <v/>
      </c>
      <c r="L543" s="9" t="str">
        <f ca="1">IF($G543="","",INDEX(BASE_PRODUTOS!$E$2:$E$1006,$G543))</f>
        <v/>
      </c>
      <c r="M543" s="9" t="str">
        <f ca="1">IF($G543="","",INDEX(BASE_PRODUTOS!$F$2:$F$1006,$G543))</f>
        <v/>
      </c>
      <c r="N543" s="9" t="str">
        <f ca="1">IF($G543="","",INDEX(BASE_PRODUTOS!$G$2:$G$1006,$G543))</f>
        <v/>
      </c>
      <c r="O543" s="9" t="str">
        <f ca="1">IF($G543="","",INDEX(BASE_PRODUTOS!$H$2:$H$1006,$G543))</f>
        <v/>
      </c>
      <c r="P543" s="9" t="str">
        <f ca="1">IF($G543="","",INDEX(BASE_PRODUTOS!$I$2:$I$1006,$G543))</f>
        <v/>
      </c>
      <c r="Q543" s="9" t="str">
        <f ca="1">IF($G543="","",INDEX(BASE_PRODUTOS!$J$2:$J$1006,$G543))</f>
        <v/>
      </c>
      <c r="R543" s="9" t="str">
        <f ca="1">IF($G543="","",INDEX(BASE_PRODUTOS!$M$2:$M$1006,$G543))</f>
        <v/>
      </c>
      <c r="S543" s="9" t="str">
        <f ca="1">IF($G543="","",INDEX(BASE_PRODUTOS!$N$2:$N$1006,$G543))</f>
        <v/>
      </c>
      <c r="T543" s="9" t="str">
        <f ca="1">IF($G543="","",INDEX(BASE_PRODUTOS!$D$2:$D$1006,$G543))</f>
        <v/>
      </c>
    </row>
    <row r="544" spans="7:20" ht="18" customHeight="1" x14ac:dyDescent="0.35">
      <c r="G544" t="str">
        <f ca="1">IFERROR(_xludf.aggregate(15,6,(ROW(BASE_PRODUTOS!$L$2:$L$1006)-ROW(BASE_PRODUTOS!$L$2)+1)/(BASE_PRODUTOS!$L$2:$L$1006&gt;0),ROWS($G$10:G544)),"")</f>
        <v/>
      </c>
      <c r="H544" s="9" t="str">
        <f ca="1">IF($G544="","",INDEX(BASE_PRODUTOS!$B$2:$B$1006,$G544))</f>
        <v/>
      </c>
      <c r="I544" s="9" t="str">
        <f ca="1">IF($G544="","",INDEX(BASE_PRODUTOS!$L$2:$L$1006,$G544))</f>
        <v/>
      </c>
      <c r="J544" s="9" t="str">
        <f ca="1">IF($G544="","",INDEX(BASE_PRODUTOS!$A$2:$A$1006,$G544))</f>
        <v/>
      </c>
      <c r="K544" s="9" t="str">
        <f ca="1">IF($G544="","",INDEX(BASE_PRODUTOS!$C$2:$C$1006,$G544))</f>
        <v/>
      </c>
      <c r="L544" s="9" t="str">
        <f ca="1">IF($G544="","",INDEX(BASE_PRODUTOS!$E$2:$E$1006,$G544))</f>
        <v/>
      </c>
      <c r="M544" s="9" t="str">
        <f ca="1">IF($G544="","",INDEX(BASE_PRODUTOS!$F$2:$F$1006,$G544))</f>
        <v/>
      </c>
      <c r="N544" s="9" t="str">
        <f ca="1">IF($G544="","",INDEX(BASE_PRODUTOS!$G$2:$G$1006,$G544))</f>
        <v/>
      </c>
      <c r="O544" s="9" t="str">
        <f ca="1">IF($G544="","",INDEX(BASE_PRODUTOS!$H$2:$H$1006,$G544))</f>
        <v/>
      </c>
      <c r="P544" s="9" t="str">
        <f ca="1">IF($G544="","",INDEX(BASE_PRODUTOS!$I$2:$I$1006,$G544))</f>
        <v/>
      </c>
      <c r="Q544" s="9" t="str">
        <f ca="1">IF($G544="","",INDEX(BASE_PRODUTOS!$J$2:$J$1006,$G544))</f>
        <v/>
      </c>
      <c r="R544" s="9" t="str">
        <f ca="1">IF($G544="","",INDEX(BASE_PRODUTOS!$M$2:$M$1006,$G544))</f>
        <v/>
      </c>
      <c r="S544" s="9" t="str">
        <f ca="1">IF($G544="","",INDEX(BASE_PRODUTOS!$N$2:$N$1006,$G544))</f>
        <v/>
      </c>
      <c r="T544" s="9" t="str">
        <f ca="1">IF($G544="","",INDEX(BASE_PRODUTOS!$D$2:$D$1006,$G544))</f>
        <v/>
      </c>
    </row>
    <row r="545" spans="7:20" ht="18" customHeight="1" x14ac:dyDescent="0.35">
      <c r="G545" t="str">
        <f ca="1">IFERROR(_xludf.aggregate(15,6,(ROW(BASE_PRODUTOS!$L$2:$L$1006)-ROW(BASE_PRODUTOS!$L$2)+1)/(BASE_PRODUTOS!$L$2:$L$1006&gt;0),ROWS($G$10:G545)),"")</f>
        <v/>
      </c>
      <c r="H545" s="9" t="str">
        <f ca="1">IF($G545="","",INDEX(BASE_PRODUTOS!$B$2:$B$1006,$G545))</f>
        <v/>
      </c>
      <c r="I545" s="9" t="str">
        <f ca="1">IF($G545="","",INDEX(BASE_PRODUTOS!$L$2:$L$1006,$G545))</f>
        <v/>
      </c>
      <c r="J545" s="9" t="str">
        <f ca="1">IF($G545="","",INDEX(BASE_PRODUTOS!$A$2:$A$1006,$G545))</f>
        <v/>
      </c>
      <c r="K545" s="9" t="str">
        <f ca="1">IF($G545="","",INDEX(BASE_PRODUTOS!$C$2:$C$1006,$G545))</f>
        <v/>
      </c>
      <c r="L545" s="9" t="str">
        <f ca="1">IF($G545="","",INDEX(BASE_PRODUTOS!$E$2:$E$1006,$G545))</f>
        <v/>
      </c>
      <c r="M545" s="9" t="str">
        <f ca="1">IF($G545="","",INDEX(BASE_PRODUTOS!$F$2:$F$1006,$G545))</f>
        <v/>
      </c>
      <c r="N545" s="9" t="str">
        <f ca="1">IF($G545="","",INDEX(BASE_PRODUTOS!$G$2:$G$1006,$G545))</f>
        <v/>
      </c>
      <c r="O545" s="9" t="str">
        <f ca="1">IF($G545="","",INDEX(BASE_PRODUTOS!$H$2:$H$1006,$G545))</f>
        <v/>
      </c>
      <c r="P545" s="9" t="str">
        <f ca="1">IF($G545="","",INDEX(BASE_PRODUTOS!$I$2:$I$1006,$G545))</f>
        <v/>
      </c>
      <c r="Q545" s="9" t="str">
        <f ca="1">IF($G545="","",INDEX(BASE_PRODUTOS!$J$2:$J$1006,$G545))</f>
        <v/>
      </c>
      <c r="R545" s="9" t="str">
        <f ca="1">IF($G545="","",INDEX(BASE_PRODUTOS!$M$2:$M$1006,$G545))</f>
        <v/>
      </c>
      <c r="S545" s="9" t="str">
        <f ca="1">IF($G545="","",INDEX(BASE_PRODUTOS!$N$2:$N$1006,$G545))</f>
        <v/>
      </c>
      <c r="T545" s="9" t="str">
        <f ca="1">IF($G545="","",INDEX(BASE_PRODUTOS!$D$2:$D$1006,$G545))</f>
        <v/>
      </c>
    </row>
    <row r="546" spans="7:20" ht="18" customHeight="1" x14ac:dyDescent="0.35">
      <c r="G546" t="str">
        <f ca="1">IFERROR(_xludf.aggregate(15,6,(ROW(BASE_PRODUTOS!$L$2:$L$1006)-ROW(BASE_PRODUTOS!$L$2)+1)/(BASE_PRODUTOS!$L$2:$L$1006&gt;0),ROWS($G$10:G546)),"")</f>
        <v/>
      </c>
      <c r="H546" s="9" t="str">
        <f ca="1">IF($G546="","",INDEX(BASE_PRODUTOS!$B$2:$B$1006,$G546))</f>
        <v/>
      </c>
      <c r="I546" s="9" t="str">
        <f ca="1">IF($G546="","",INDEX(BASE_PRODUTOS!$L$2:$L$1006,$G546))</f>
        <v/>
      </c>
      <c r="J546" s="9" t="str">
        <f ca="1">IF($G546="","",INDEX(BASE_PRODUTOS!$A$2:$A$1006,$G546))</f>
        <v/>
      </c>
      <c r="K546" s="9" t="str">
        <f ca="1">IF($G546="","",INDEX(BASE_PRODUTOS!$C$2:$C$1006,$G546))</f>
        <v/>
      </c>
      <c r="L546" s="9" t="str">
        <f ca="1">IF($G546="","",INDEX(BASE_PRODUTOS!$E$2:$E$1006,$G546))</f>
        <v/>
      </c>
      <c r="M546" s="9" t="str">
        <f ca="1">IF($G546="","",INDEX(BASE_PRODUTOS!$F$2:$F$1006,$G546))</f>
        <v/>
      </c>
      <c r="N546" s="9" t="str">
        <f ca="1">IF($G546="","",INDEX(BASE_PRODUTOS!$G$2:$G$1006,$G546))</f>
        <v/>
      </c>
      <c r="O546" s="9" t="str">
        <f ca="1">IF($G546="","",INDEX(BASE_PRODUTOS!$H$2:$H$1006,$G546))</f>
        <v/>
      </c>
      <c r="P546" s="9" t="str">
        <f ca="1">IF($G546="","",INDEX(BASE_PRODUTOS!$I$2:$I$1006,$G546))</f>
        <v/>
      </c>
      <c r="Q546" s="9" t="str">
        <f ca="1">IF($G546="","",INDEX(BASE_PRODUTOS!$J$2:$J$1006,$G546))</f>
        <v/>
      </c>
      <c r="R546" s="9" t="str">
        <f ca="1">IF($G546="","",INDEX(BASE_PRODUTOS!$M$2:$M$1006,$G546))</f>
        <v/>
      </c>
      <c r="S546" s="9" t="str">
        <f ca="1">IF($G546="","",INDEX(BASE_PRODUTOS!$N$2:$N$1006,$G546))</f>
        <v/>
      </c>
      <c r="T546" s="9" t="str">
        <f ca="1">IF($G546="","",INDEX(BASE_PRODUTOS!$D$2:$D$1006,$G546))</f>
        <v/>
      </c>
    </row>
    <row r="547" spans="7:20" ht="18" customHeight="1" x14ac:dyDescent="0.35">
      <c r="G547" t="str">
        <f ca="1">IFERROR(_xludf.aggregate(15,6,(ROW(BASE_PRODUTOS!$L$2:$L$1006)-ROW(BASE_PRODUTOS!$L$2)+1)/(BASE_PRODUTOS!$L$2:$L$1006&gt;0),ROWS($G$10:G547)),"")</f>
        <v/>
      </c>
      <c r="H547" s="9" t="str">
        <f ca="1">IF($G547="","",INDEX(BASE_PRODUTOS!$B$2:$B$1006,$G547))</f>
        <v/>
      </c>
      <c r="I547" s="9" t="str">
        <f ca="1">IF($G547="","",INDEX(BASE_PRODUTOS!$L$2:$L$1006,$G547))</f>
        <v/>
      </c>
      <c r="J547" s="9" t="str">
        <f ca="1">IF($G547="","",INDEX(BASE_PRODUTOS!$A$2:$A$1006,$G547))</f>
        <v/>
      </c>
      <c r="K547" s="9" t="str">
        <f ca="1">IF($G547="","",INDEX(BASE_PRODUTOS!$C$2:$C$1006,$G547))</f>
        <v/>
      </c>
      <c r="L547" s="9" t="str">
        <f ca="1">IF($G547="","",INDEX(BASE_PRODUTOS!$E$2:$E$1006,$G547))</f>
        <v/>
      </c>
      <c r="M547" s="9" t="str">
        <f ca="1">IF($G547="","",INDEX(BASE_PRODUTOS!$F$2:$F$1006,$G547))</f>
        <v/>
      </c>
      <c r="N547" s="9" t="str">
        <f ca="1">IF($G547="","",INDEX(BASE_PRODUTOS!$G$2:$G$1006,$G547))</f>
        <v/>
      </c>
      <c r="O547" s="9" t="str">
        <f ca="1">IF($G547="","",INDEX(BASE_PRODUTOS!$H$2:$H$1006,$G547))</f>
        <v/>
      </c>
      <c r="P547" s="9" t="str">
        <f ca="1">IF($G547="","",INDEX(BASE_PRODUTOS!$I$2:$I$1006,$G547))</f>
        <v/>
      </c>
      <c r="Q547" s="9" t="str">
        <f ca="1">IF($G547="","",INDEX(BASE_PRODUTOS!$J$2:$J$1006,$G547))</f>
        <v/>
      </c>
      <c r="R547" s="9" t="str">
        <f ca="1">IF($G547="","",INDEX(BASE_PRODUTOS!$M$2:$M$1006,$G547))</f>
        <v/>
      </c>
      <c r="S547" s="9" t="str">
        <f ca="1">IF($G547="","",INDEX(BASE_PRODUTOS!$N$2:$N$1006,$G547))</f>
        <v/>
      </c>
      <c r="T547" s="9" t="str">
        <f ca="1">IF($G547="","",INDEX(BASE_PRODUTOS!$D$2:$D$1006,$G547))</f>
        <v/>
      </c>
    </row>
    <row r="548" spans="7:20" ht="18" customHeight="1" x14ac:dyDescent="0.35">
      <c r="G548" t="str">
        <f ca="1">IFERROR(_xludf.aggregate(15,6,(ROW(BASE_PRODUTOS!$L$2:$L$1006)-ROW(BASE_PRODUTOS!$L$2)+1)/(BASE_PRODUTOS!$L$2:$L$1006&gt;0),ROWS($G$10:G548)),"")</f>
        <v/>
      </c>
      <c r="H548" s="9" t="str">
        <f ca="1">IF($G548="","",INDEX(BASE_PRODUTOS!$B$2:$B$1006,$G548))</f>
        <v/>
      </c>
      <c r="I548" s="9" t="str">
        <f ca="1">IF($G548="","",INDEX(BASE_PRODUTOS!$L$2:$L$1006,$G548))</f>
        <v/>
      </c>
      <c r="J548" s="9" t="str">
        <f ca="1">IF($G548="","",INDEX(BASE_PRODUTOS!$A$2:$A$1006,$G548))</f>
        <v/>
      </c>
      <c r="K548" s="9" t="str">
        <f ca="1">IF($G548="","",INDEX(BASE_PRODUTOS!$C$2:$C$1006,$G548))</f>
        <v/>
      </c>
      <c r="L548" s="9" t="str">
        <f ca="1">IF($G548="","",INDEX(BASE_PRODUTOS!$E$2:$E$1006,$G548))</f>
        <v/>
      </c>
      <c r="M548" s="9" t="str">
        <f ca="1">IF($G548="","",INDEX(BASE_PRODUTOS!$F$2:$F$1006,$G548))</f>
        <v/>
      </c>
      <c r="N548" s="9" t="str">
        <f ca="1">IF($G548="","",INDEX(BASE_PRODUTOS!$G$2:$G$1006,$G548))</f>
        <v/>
      </c>
      <c r="O548" s="9" t="str">
        <f ca="1">IF($G548="","",INDEX(BASE_PRODUTOS!$H$2:$H$1006,$G548))</f>
        <v/>
      </c>
      <c r="P548" s="9" t="str">
        <f ca="1">IF($G548="","",INDEX(BASE_PRODUTOS!$I$2:$I$1006,$G548))</f>
        <v/>
      </c>
      <c r="Q548" s="9" t="str">
        <f ca="1">IF($G548="","",INDEX(BASE_PRODUTOS!$J$2:$J$1006,$G548))</f>
        <v/>
      </c>
      <c r="R548" s="9" t="str">
        <f ca="1">IF($G548="","",INDEX(BASE_PRODUTOS!$M$2:$M$1006,$G548))</f>
        <v/>
      </c>
      <c r="S548" s="9" t="str">
        <f ca="1">IF($G548="","",INDEX(BASE_PRODUTOS!$N$2:$N$1006,$G548))</f>
        <v/>
      </c>
      <c r="T548" s="9" t="str">
        <f ca="1">IF($G548="","",INDEX(BASE_PRODUTOS!$D$2:$D$1006,$G548))</f>
        <v/>
      </c>
    </row>
    <row r="549" spans="7:20" ht="18" customHeight="1" x14ac:dyDescent="0.35">
      <c r="G549" t="str">
        <f ca="1">IFERROR(_xludf.aggregate(15,6,(ROW(BASE_PRODUTOS!$L$2:$L$1006)-ROW(BASE_PRODUTOS!$L$2)+1)/(BASE_PRODUTOS!$L$2:$L$1006&gt;0),ROWS($G$10:G549)),"")</f>
        <v/>
      </c>
      <c r="H549" s="9" t="str">
        <f ca="1">IF($G549="","",INDEX(BASE_PRODUTOS!$B$2:$B$1006,$G549))</f>
        <v/>
      </c>
      <c r="I549" s="9" t="str">
        <f ca="1">IF($G549="","",INDEX(BASE_PRODUTOS!$L$2:$L$1006,$G549))</f>
        <v/>
      </c>
      <c r="J549" s="9" t="str">
        <f ca="1">IF($G549="","",INDEX(BASE_PRODUTOS!$A$2:$A$1006,$G549))</f>
        <v/>
      </c>
      <c r="K549" s="9" t="str">
        <f ca="1">IF($G549="","",INDEX(BASE_PRODUTOS!$C$2:$C$1006,$G549))</f>
        <v/>
      </c>
      <c r="L549" s="9" t="str">
        <f ca="1">IF($G549="","",INDEX(BASE_PRODUTOS!$E$2:$E$1006,$G549))</f>
        <v/>
      </c>
      <c r="M549" s="9" t="str">
        <f ca="1">IF($G549="","",INDEX(BASE_PRODUTOS!$F$2:$F$1006,$G549))</f>
        <v/>
      </c>
      <c r="N549" s="9" t="str">
        <f ca="1">IF($G549="","",INDEX(BASE_PRODUTOS!$G$2:$G$1006,$G549))</f>
        <v/>
      </c>
      <c r="O549" s="9" t="str">
        <f ca="1">IF($G549="","",INDEX(BASE_PRODUTOS!$H$2:$H$1006,$G549))</f>
        <v/>
      </c>
      <c r="P549" s="9" t="str">
        <f ca="1">IF($G549="","",INDEX(BASE_PRODUTOS!$I$2:$I$1006,$G549))</f>
        <v/>
      </c>
      <c r="Q549" s="9" t="str">
        <f ca="1">IF($G549="","",INDEX(BASE_PRODUTOS!$J$2:$J$1006,$G549))</f>
        <v/>
      </c>
      <c r="R549" s="9" t="str">
        <f ca="1">IF($G549="","",INDEX(BASE_PRODUTOS!$M$2:$M$1006,$G549))</f>
        <v/>
      </c>
      <c r="S549" s="9" t="str">
        <f ca="1">IF($G549="","",INDEX(BASE_PRODUTOS!$N$2:$N$1006,$G549))</f>
        <v/>
      </c>
      <c r="T549" s="9" t="str">
        <f ca="1">IF($G549="","",INDEX(BASE_PRODUTOS!$D$2:$D$1006,$G549))</f>
        <v/>
      </c>
    </row>
    <row r="550" spans="7:20" ht="18" customHeight="1" x14ac:dyDescent="0.35">
      <c r="G550" t="str">
        <f ca="1">IFERROR(_xludf.aggregate(15,6,(ROW(BASE_PRODUTOS!$L$2:$L$1006)-ROW(BASE_PRODUTOS!$L$2)+1)/(BASE_PRODUTOS!$L$2:$L$1006&gt;0),ROWS($G$10:G550)),"")</f>
        <v/>
      </c>
      <c r="H550" s="9" t="str">
        <f ca="1">IF($G550="","",INDEX(BASE_PRODUTOS!$B$2:$B$1006,$G550))</f>
        <v/>
      </c>
      <c r="I550" s="9" t="str">
        <f ca="1">IF($G550="","",INDEX(BASE_PRODUTOS!$L$2:$L$1006,$G550))</f>
        <v/>
      </c>
      <c r="J550" s="9" t="str">
        <f ca="1">IF($G550="","",INDEX(BASE_PRODUTOS!$A$2:$A$1006,$G550))</f>
        <v/>
      </c>
      <c r="K550" s="9" t="str">
        <f ca="1">IF($G550="","",INDEX(BASE_PRODUTOS!$C$2:$C$1006,$G550))</f>
        <v/>
      </c>
      <c r="L550" s="9" t="str">
        <f ca="1">IF($G550="","",INDEX(BASE_PRODUTOS!$E$2:$E$1006,$G550))</f>
        <v/>
      </c>
      <c r="M550" s="9" t="str">
        <f ca="1">IF($G550="","",INDEX(BASE_PRODUTOS!$F$2:$F$1006,$G550))</f>
        <v/>
      </c>
      <c r="N550" s="9" t="str">
        <f ca="1">IF($G550="","",INDEX(BASE_PRODUTOS!$G$2:$G$1006,$G550))</f>
        <v/>
      </c>
      <c r="O550" s="9" t="str">
        <f ca="1">IF($G550="","",INDEX(BASE_PRODUTOS!$H$2:$H$1006,$G550))</f>
        <v/>
      </c>
      <c r="P550" s="9" t="str">
        <f ca="1">IF($G550="","",INDEX(BASE_PRODUTOS!$I$2:$I$1006,$G550))</f>
        <v/>
      </c>
      <c r="Q550" s="9" t="str">
        <f ca="1">IF($G550="","",INDEX(BASE_PRODUTOS!$J$2:$J$1006,$G550))</f>
        <v/>
      </c>
      <c r="R550" s="9" t="str">
        <f ca="1">IF($G550="","",INDEX(BASE_PRODUTOS!$M$2:$M$1006,$G550))</f>
        <v/>
      </c>
      <c r="S550" s="9" t="str">
        <f ca="1">IF($G550="","",INDEX(BASE_PRODUTOS!$N$2:$N$1006,$G550))</f>
        <v/>
      </c>
      <c r="T550" s="9" t="str">
        <f ca="1">IF($G550="","",INDEX(BASE_PRODUTOS!$D$2:$D$1006,$G550))</f>
        <v/>
      </c>
    </row>
    <row r="551" spans="7:20" ht="18" customHeight="1" x14ac:dyDescent="0.35">
      <c r="G551" t="str">
        <f ca="1">IFERROR(_xludf.aggregate(15,6,(ROW(BASE_PRODUTOS!$L$2:$L$1006)-ROW(BASE_PRODUTOS!$L$2)+1)/(BASE_PRODUTOS!$L$2:$L$1006&gt;0),ROWS($G$10:G551)),"")</f>
        <v/>
      </c>
      <c r="H551" s="9" t="str">
        <f ca="1">IF($G551="","",INDEX(BASE_PRODUTOS!$B$2:$B$1006,$G551))</f>
        <v/>
      </c>
      <c r="I551" s="9" t="str">
        <f ca="1">IF($G551="","",INDEX(BASE_PRODUTOS!$L$2:$L$1006,$G551))</f>
        <v/>
      </c>
      <c r="J551" s="9" t="str">
        <f ca="1">IF($G551="","",INDEX(BASE_PRODUTOS!$A$2:$A$1006,$G551))</f>
        <v/>
      </c>
      <c r="K551" s="9" t="str">
        <f ca="1">IF($G551="","",INDEX(BASE_PRODUTOS!$C$2:$C$1006,$G551))</f>
        <v/>
      </c>
      <c r="L551" s="9" t="str">
        <f ca="1">IF($G551="","",INDEX(BASE_PRODUTOS!$E$2:$E$1006,$G551))</f>
        <v/>
      </c>
      <c r="M551" s="9" t="str">
        <f ca="1">IF($G551="","",INDEX(BASE_PRODUTOS!$F$2:$F$1006,$G551))</f>
        <v/>
      </c>
      <c r="N551" s="9" t="str">
        <f ca="1">IF($G551="","",INDEX(BASE_PRODUTOS!$G$2:$G$1006,$G551))</f>
        <v/>
      </c>
      <c r="O551" s="9" t="str">
        <f ca="1">IF($G551="","",INDEX(BASE_PRODUTOS!$H$2:$H$1006,$G551))</f>
        <v/>
      </c>
      <c r="P551" s="9" t="str">
        <f ca="1">IF($G551="","",INDEX(BASE_PRODUTOS!$I$2:$I$1006,$G551))</f>
        <v/>
      </c>
      <c r="Q551" s="9" t="str">
        <f ca="1">IF($G551="","",INDEX(BASE_PRODUTOS!$J$2:$J$1006,$G551))</f>
        <v/>
      </c>
      <c r="R551" s="9" t="str">
        <f ca="1">IF($G551="","",INDEX(BASE_PRODUTOS!$M$2:$M$1006,$G551))</f>
        <v/>
      </c>
      <c r="S551" s="9" t="str">
        <f ca="1">IF($G551="","",INDEX(BASE_PRODUTOS!$N$2:$N$1006,$G551))</f>
        <v/>
      </c>
      <c r="T551" s="9" t="str">
        <f ca="1">IF($G551="","",INDEX(BASE_PRODUTOS!$D$2:$D$1006,$G551))</f>
        <v/>
      </c>
    </row>
    <row r="552" spans="7:20" ht="18" customHeight="1" x14ac:dyDescent="0.35">
      <c r="G552" t="str">
        <f ca="1">IFERROR(_xludf.aggregate(15,6,(ROW(BASE_PRODUTOS!$L$2:$L$1006)-ROW(BASE_PRODUTOS!$L$2)+1)/(BASE_PRODUTOS!$L$2:$L$1006&gt;0),ROWS($G$10:G552)),"")</f>
        <v/>
      </c>
      <c r="H552" s="9" t="str">
        <f ca="1">IF($G552="","",INDEX(BASE_PRODUTOS!$B$2:$B$1006,$G552))</f>
        <v/>
      </c>
      <c r="I552" s="9" t="str">
        <f ca="1">IF($G552="","",INDEX(BASE_PRODUTOS!$L$2:$L$1006,$G552))</f>
        <v/>
      </c>
      <c r="J552" s="9" t="str">
        <f ca="1">IF($G552="","",INDEX(BASE_PRODUTOS!$A$2:$A$1006,$G552))</f>
        <v/>
      </c>
      <c r="K552" s="9" t="str">
        <f ca="1">IF($G552="","",INDEX(BASE_PRODUTOS!$C$2:$C$1006,$G552))</f>
        <v/>
      </c>
      <c r="L552" s="9" t="str">
        <f ca="1">IF($G552="","",INDEX(BASE_PRODUTOS!$E$2:$E$1006,$G552))</f>
        <v/>
      </c>
      <c r="M552" s="9" t="str">
        <f ca="1">IF($G552="","",INDEX(BASE_PRODUTOS!$F$2:$F$1006,$G552))</f>
        <v/>
      </c>
      <c r="N552" s="9" t="str">
        <f ca="1">IF($G552="","",INDEX(BASE_PRODUTOS!$G$2:$G$1006,$G552))</f>
        <v/>
      </c>
      <c r="O552" s="9" t="str">
        <f ca="1">IF($G552="","",INDEX(BASE_PRODUTOS!$H$2:$H$1006,$G552))</f>
        <v/>
      </c>
      <c r="P552" s="9" t="str">
        <f ca="1">IF($G552="","",INDEX(BASE_PRODUTOS!$I$2:$I$1006,$G552))</f>
        <v/>
      </c>
      <c r="Q552" s="9" t="str">
        <f ca="1">IF($G552="","",INDEX(BASE_PRODUTOS!$J$2:$J$1006,$G552))</f>
        <v/>
      </c>
      <c r="R552" s="9" t="str">
        <f ca="1">IF($G552="","",INDEX(BASE_PRODUTOS!$M$2:$M$1006,$G552))</f>
        <v/>
      </c>
      <c r="S552" s="9" t="str">
        <f ca="1">IF($G552="","",INDEX(BASE_PRODUTOS!$N$2:$N$1006,$G552))</f>
        <v/>
      </c>
      <c r="T552" s="9" t="str">
        <f ca="1">IF($G552="","",INDEX(BASE_PRODUTOS!$D$2:$D$1006,$G552))</f>
        <v/>
      </c>
    </row>
    <row r="553" spans="7:20" ht="18" customHeight="1" x14ac:dyDescent="0.35">
      <c r="G553" t="str">
        <f ca="1">IFERROR(_xludf.aggregate(15,6,(ROW(BASE_PRODUTOS!$L$2:$L$1006)-ROW(BASE_PRODUTOS!$L$2)+1)/(BASE_PRODUTOS!$L$2:$L$1006&gt;0),ROWS($G$10:G553)),"")</f>
        <v/>
      </c>
      <c r="H553" s="9" t="str">
        <f ca="1">IF($G553="","",INDEX(BASE_PRODUTOS!$B$2:$B$1006,$G553))</f>
        <v/>
      </c>
      <c r="I553" s="9" t="str">
        <f ca="1">IF($G553="","",INDEX(BASE_PRODUTOS!$L$2:$L$1006,$G553))</f>
        <v/>
      </c>
      <c r="J553" s="9" t="str">
        <f ca="1">IF($G553="","",INDEX(BASE_PRODUTOS!$A$2:$A$1006,$G553))</f>
        <v/>
      </c>
      <c r="K553" s="9" t="str">
        <f ca="1">IF($G553="","",INDEX(BASE_PRODUTOS!$C$2:$C$1006,$G553))</f>
        <v/>
      </c>
      <c r="L553" s="9" t="str">
        <f ca="1">IF($G553="","",INDEX(BASE_PRODUTOS!$E$2:$E$1006,$G553))</f>
        <v/>
      </c>
      <c r="M553" s="9" t="str">
        <f ca="1">IF($G553="","",INDEX(BASE_PRODUTOS!$F$2:$F$1006,$G553))</f>
        <v/>
      </c>
      <c r="N553" s="9" t="str">
        <f ca="1">IF($G553="","",INDEX(BASE_PRODUTOS!$G$2:$G$1006,$G553))</f>
        <v/>
      </c>
      <c r="O553" s="9" t="str">
        <f ca="1">IF($G553="","",INDEX(BASE_PRODUTOS!$H$2:$H$1006,$G553))</f>
        <v/>
      </c>
      <c r="P553" s="9" t="str">
        <f ca="1">IF($G553="","",INDEX(BASE_PRODUTOS!$I$2:$I$1006,$G553))</f>
        <v/>
      </c>
      <c r="Q553" s="9" t="str">
        <f ca="1">IF($G553="","",INDEX(BASE_PRODUTOS!$J$2:$J$1006,$G553))</f>
        <v/>
      </c>
      <c r="R553" s="9" t="str">
        <f ca="1">IF($G553="","",INDEX(BASE_PRODUTOS!$M$2:$M$1006,$G553))</f>
        <v/>
      </c>
      <c r="S553" s="9" t="str">
        <f ca="1">IF($G553="","",INDEX(BASE_PRODUTOS!$N$2:$N$1006,$G553))</f>
        <v/>
      </c>
      <c r="T553" s="9" t="str">
        <f ca="1">IF($G553="","",INDEX(BASE_PRODUTOS!$D$2:$D$1006,$G553))</f>
        <v/>
      </c>
    </row>
    <row r="554" spans="7:20" ht="18" customHeight="1" x14ac:dyDescent="0.35">
      <c r="G554" t="str">
        <f ca="1">IFERROR(_xludf.aggregate(15,6,(ROW(BASE_PRODUTOS!$L$2:$L$1006)-ROW(BASE_PRODUTOS!$L$2)+1)/(BASE_PRODUTOS!$L$2:$L$1006&gt;0),ROWS($G$10:G554)),"")</f>
        <v/>
      </c>
      <c r="H554" s="9" t="str">
        <f ca="1">IF($G554="","",INDEX(BASE_PRODUTOS!$B$2:$B$1006,$G554))</f>
        <v/>
      </c>
      <c r="I554" s="9" t="str">
        <f ca="1">IF($G554="","",INDEX(BASE_PRODUTOS!$L$2:$L$1006,$G554))</f>
        <v/>
      </c>
      <c r="J554" s="9" t="str">
        <f ca="1">IF($G554="","",INDEX(BASE_PRODUTOS!$A$2:$A$1006,$G554))</f>
        <v/>
      </c>
      <c r="K554" s="9" t="str">
        <f ca="1">IF($G554="","",INDEX(BASE_PRODUTOS!$C$2:$C$1006,$G554))</f>
        <v/>
      </c>
      <c r="L554" s="9" t="str">
        <f ca="1">IF($G554="","",INDEX(BASE_PRODUTOS!$E$2:$E$1006,$G554))</f>
        <v/>
      </c>
      <c r="M554" s="9" t="str">
        <f ca="1">IF($G554="","",INDEX(BASE_PRODUTOS!$F$2:$F$1006,$G554))</f>
        <v/>
      </c>
      <c r="N554" s="9" t="str">
        <f ca="1">IF($G554="","",INDEX(BASE_PRODUTOS!$G$2:$G$1006,$G554))</f>
        <v/>
      </c>
      <c r="O554" s="9" t="str">
        <f ca="1">IF($G554="","",INDEX(BASE_PRODUTOS!$H$2:$H$1006,$G554))</f>
        <v/>
      </c>
      <c r="P554" s="9" t="str">
        <f ca="1">IF($G554="","",INDEX(BASE_PRODUTOS!$I$2:$I$1006,$G554))</f>
        <v/>
      </c>
      <c r="Q554" s="9" t="str">
        <f ca="1">IF($G554="","",INDEX(BASE_PRODUTOS!$J$2:$J$1006,$G554))</f>
        <v/>
      </c>
      <c r="R554" s="9" t="str">
        <f ca="1">IF($G554="","",INDEX(BASE_PRODUTOS!$M$2:$M$1006,$G554))</f>
        <v/>
      </c>
      <c r="S554" s="9" t="str">
        <f ca="1">IF($G554="","",INDEX(BASE_PRODUTOS!$N$2:$N$1006,$G554))</f>
        <v/>
      </c>
      <c r="T554" s="9" t="str">
        <f ca="1">IF($G554="","",INDEX(BASE_PRODUTOS!$D$2:$D$1006,$G554))</f>
        <v/>
      </c>
    </row>
    <row r="555" spans="7:20" ht="18" customHeight="1" x14ac:dyDescent="0.35">
      <c r="G555" t="str">
        <f ca="1">IFERROR(_xludf.aggregate(15,6,(ROW(BASE_PRODUTOS!$L$2:$L$1006)-ROW(BASE_PRODUTOS!$L$2)+1)/(BASE_PRODUTOS!$L$2:$L$1006&gt;0),ROWS($G$10:G555)),"")</f>
        <v/>
      </c>
      <c r="H555" s="9" t="str">
        <f ca="1">IF($G555="","",INDEX(BASE_PRODUTOS!$B$2:$B$1006,$G555))</f>
        <v/>
      </c>
      <c r="I555" s="9" t="str">
        <f ca="1">IF($G555="","",INDEX(BASE_PRODUTOS!$L$2:$L$1006,$G555))</f>
        <v/>
      </c>
      <c r="J555" s="9" t="str">
        <f ca="1">IF($G555="","",INDEX(BASE_PRODUTOS!$A$2:$A$1006,$G555))</f>
        <v/>
      </c>
      <c r="K555" s="9" t="str">
        <f ca="1">IF($G555="","",INDEX(BASE_PRODUTOS!$C$2:$C$1006,$G555))</f>
        <v/>
      </c>
      <c r="L555" s="9" t="str">
        <f ca="1">IF($G555="","",INDEX(BASE_PRODUTOS!$E$2:$E$1006,$G555))</f>
        <v/>
      </c>
      <c r="M555" s="9" t="str">
        <f ca="1">IF($G555="","",INDEX(BASE_PRODUTOS!$F$2:$F$1006,$G555))</f>
        <v/>
      </c>
      <c r="N555" s="9" t="str">
        <f ca="1">IF($G555="","",INDEX(BASE_PRODUTOS!$G$2:$G$1006,$G555))</f>
        <v/>
      </c>
      <c r="O555" s="9" t="str">
        <f ca="1">IF($G555="","",INDEX(BASE_PRODUTOS!$H$2:$H$1006,$G555))</f>
        <v/>
      </c>
      <c r="P555" s="9" t="str">
        <f ca="1">IF($G555="","",INDEX(BASE_PRODUTOS!$I$2:$I$1006,$G555))</f>
        <v/>
      </c>
      <c r="Q555" s="9" t="str">
        <f ca="1">IF($G555="","",INDEX(BASE_PRODUTOS!$J$2:$J$1006,$G555))</f>
        <v/>
      </c>
      <c r="R555" s="9" t="str">
        <f ca="1">IF($G555="","",INDEX(BASE_PRODUTOS!$M$2:$M$1006,$G555))</f>
        <v/>
      </c>
      <c r="S555" s="9" t="str">
        <f ca="1">IF($G555="","",INDEX(BASE_PRODUTOS!$N$2:$N$1006,$G555))</f>
        <v/>
      </c>
      <c r="T555" s="9" t="str">
        <f ca="1">IF($G555="","",INDEX(BASE_PRODUTOS!$D$2:$D$1006,$G555))</f>
        <v/>
      </c>
    </row>
    <row r="556" spans="7:20" ht="18" customHeight="1" x14ac:dyDescent="0.35">
      <c r="G556" t="str">
        <f ca="1">IFERROR(_xludf.aggregate(15,6,(ROW(BASE_PRODUTOS!$L$2:$L$1006)-ROW(BASE_PRODUTOS!$L$2)+1)/(BASE_PRODUTOS!$L$2:$L$1006&gt;0),ROWS($G$10:G556)),"")</f>
        <v/>
      </c>
      <c r="H556" s="9" t="str">
        <f ca="1">IF($G556="","",INDEX(BASE_PRODUTOS!$B$2:$B$1006,$G556))</f>
        <v/>
      </c>
      <c r="I556" s="9" t="str">
        <f ca="1">IF($G556="","",INDEX(BASE_PRODUTOS!$L$2:$L$1006,$G556))</f>
        <v/>
      </c>
      <c r="J556" s="9" t="str">
        <f ca="1">IF($G556="","",INDEX(BASE_PRODUTOS!$A$2:$A$1006,$G556))</f>
        <v/>
      </c>
      <c r="K556" s="9" t="str">
        <f ca="1">IF($G556="","",INDEX(BASE_PRODUTOS!$C$2:$C$1006,$G556))</f>
        <v/>
      </c>
      <c r="L556" s="9" t="str">
        <f ca="1">IF($G556="","",INDEX(BASE_PRODUTOS!$E$2:$E$1006,$G556))</f>
        <v/>
      </c>
      <c r="M556" s="9" t="str">
        <f ca="1">IF($G556="","",INDEX(BASE_PRODUTOS!$F$2:$F$1006,$G556))</f>
        <v/>
      </c>
      <c r="N556" s="9" t="str">
        <f ca="1">IF($G556="","",INDEX(BASE_PRODUTOS!$G$2:$G$1006,$G556))</f>
        <v/>
      </c>
      <c r="O556" s="9" t="str">
        <f ca="1">IF($G556="","",INDEX(BASE_PRODUTOS!$H$2:$H$1006,$G556))</f>
        <v/>
      </c>
      <c r="P556" s="9" t="str">
        <f ca="1">IF($G556="","",INDEX(BASE_PRODUTOS!$I$2:$I$1006,$G556))</f>
        <v/>
      </c>
      <c r="Q556" s="9" t="str">
        <f ca="1">IF($G556="","",INDEX(BASE_PRODUTOS!$J$2:$J$1006,$G556))</f>
        <v/>
      </c>
      <c r="R556" s="9" t="str">
        <f ca="1">IF($G556="","",INDEX(BASE_PRODUTOS!$M$2:$M$1006,$G556))</f>
        <v/>
      </c>
      <c r="S556" s="9" t="str">
        <f ca="1">IF($G556="","",INDEX(BASE_PRODUTOS!$N$2:$N$1006,$G556))</f>
        <v/>
      </c>
      <c r="T556" s="9" t="str">
        <f ca="1">IF($G556="","",INDEX(BASE_PRODUTOS!$D$2:$D$1006,$G556))</f>
        <v/>
      </c>
    </row>
    <row r="557" spans="7:20" ht="18" customHeight="1" x14ac:dyDescent="0.35">
      <c r="G557" t="str">
        <f ca="1">IFERROR(_xludf.aggregate(15,6,(ROW(BASE_PRODUTOS!$L$2:$L$1006)-ROW(BASE_PRODUTOS!$L$2)+1)/(BASE_PRODUTOS!$L$2:$L$1006&gt;0),ROWS($G$10:G557)),"")</f>
        <v/>
      </c>
      <c r="H557" s="9" t="str">
        <f ca="1">IF($G557="","",INDEX(BASE_PRODUTOS!$B$2:$B$1006,$G557))</f>
        <v/>
      </c>
      <c r="I557" s="9" t="str">
        <f ca="1">IF($G557="","",INDEX(BASE_PRODUTOS!$L$2:$L$1006,$G557))</f>
        <v/>
      </c>
      <c r="J557" s="9" t="str">
        <f ca="1">IF($G557="","",INDEX(BASE_PRODUTOS!$A$2:$A$1006,$G557))</f>
        <v/>
      </c>
      <c r="K557" s="9" t="str">
        <f ca="1">IF($G557="","",INDEX(BASE_PRODUTOS!$C$2:$C$1006,$G557))</f>
        <v/>
      </c>
      <c r="L557" s="9" t="str">
        <f ca="1">IF($G557="","",INDEX(BASE_PRODUTOS!$E$2:$E$1006,$G557))</f>
        <v/>
      </c>
      <c r="M557" s="9" t="str">
        <f ca="1">IF($G557="","",INDEX(BASE_PRODUTOS!$F$2:$F$1006,$G557))</f>
        <v/>
      </c>
      <c r="N557" s="9" t="str">
        <f ca="1">IF($G557="","",INDEX(BASE_PRODUTOS!$G$2:$G$1006,$G557))</f>
        <v/>
      </c>
      <c r="O557" s="9" t="str">
        <f ca="1">IF($G557="","",INDEX(BASE_PRODUTOS!$H$2:$H$1006,$G557))</f>
        <v/>
      </c>
      <c r="P557" s="9" t="str">
        <f ca="1">IF($G557="","",INDEX(BASE_PRODUTOS!$I$2:$I$1006,$G557))</f>
        <v/>
      </c>
      <c r="Q557" s="9" t="str">
        <f ca="1">IF($G557="","",INDEX(BASE_PRODUTOS!$J$2:$J$1006,$G557))</f>
        <v/>
      </c>
      <c r="R557" s="9" t="str">
        <f ca="1">IF($G557="","",INDEX(BASE_PRODUTOS!$M$2:$M$1006,$G557))</f>
        <v/>
      </c>
      <c r="S557" s="9" t="str">
        <f ca="1">IF($G557="","",INDEX(BASE_PRODUTOS!$N$2:$N$1006,$G557))</f>
        <v/>
      </c>
      <c r="T557" s="9" t="str">
        <f ca="1">IF($G557="","",INDEX(BASE_PRODUTOS!$D$2:$D$1006,$G557))</f>
        <v/>
      </c>
    </row>
    <row r="558" spans="7:20" ht="18" customHeight="1" x14ac:dyDescent="0.35">
      <c r="G558" t="str">
        <f ca="1">IFERROR(_xludf.aggregate(15,6,(ROW(BASE_PRODUTOS!$L$2:$L$1006)-ROW(BASE_PRODUTOS!$L$2)+1)/(BASE_PRODUTOS!$L$2:$L$1006&gt;0),ROWS($G$10:G558)),"")</f>
        <v/>
      </c>
      <c r="H558" s="9" t="str">
        <f ca="1">IF($G558="","",INDEX(BASE_PRODUTOS!$B$2:$B$1006,$G558))</f>
        <v/>
      </c>
      <c r="I558" s="9" t="str">
        <f ca="1">IF($G558="","",INDEX(BASE_PRODUTOS!$L$2:$L$1006,$G558))</f>
        <v/>
      </c>
      <c r="J558" s="9" t="str">
        <f ca="1">IF($G558="","",INDEX(BASE_PRODUTOS!$A$2:$A$1006,$G558))</f>
        <v/>
      </c>
      <c r="K558" s="9" t="str">
        <f ca="1">IF($G558="","",INDEX(BASE_PRODUTOS!$C$2:$C$1006,$G558))</f>
        <v/>
      </c>
      <c r="L558" s="9" t="str">
        <f ca="1">IF($G558="","",INDEX(BASE_PRODUTOS!$E$2:$E$1006,$G558))</f>
        <v/>
      </c>
      <c r="M558" s="9" t="str">
        <f ca="1">IF($G558="","",INDEX(BASE_PRODUTOS!$F$2:$F$1006,$G558))</f>
        <v/>
      </c>
      <c r="N558" s="9" t="str">
        <f ca="1">IF($G558="","",INDEX(BASE_PRODUTOS!$G$2:$G$1006,$G558))</f>
        <v/>
      </c>
      <c r="O558" s="9" t="str">
        <f ca="1">IF($G558="","",INDEX(BASE_PRODUTOS!$H$2:$H$1006,$G558))</f>
        <v/>
      </c>
      <c r="P558" s="9" t="str">
        <f ca="1">IF($G558="","",INDEX(BASE_PRODUTOS!$I$2:$I$1006,$G558))</f>
        <v/>
      </c>
      <c r="Q558" s="9" t="str">
        <f ca="1">IF($G558="","",INDEX(BASE_PRODUTOS!$J$2:$J$1006,$G558))</f>
        <v/>
      </c>
      <c r="R558" s="9" t="str">
        <f ca="1">IF($G558="","",INDEX(BASE_PRODUTOS!$M$2:$M$1006,$G558))</f>
        <v/>
      </c>
      <c r="S558" s="9" t="str">
        <f ca="1">IF($G558="","",INDEX(BASE_PRODUTOS!$N$2:$N$1006,$G558))</f>
        <v/>
      </c>
      <c r="T558" s="9" t="str">
        <f ca="1">IF($G558="","",INDEX(BASE_PRODUTOS!$D$2:$D$1006,$G558))</f>
        <v/>
      </c>
    </row>
    <row r="559" spans="7:20" ht="18" customHeight="1" x14ac:dyDescent="0.35">
      <c r="G559" t="str">
        <f ca="1">IFERROR(_xludf.aggregate(15,6,(ROW(BASE_PRODUTOS!$L$2:$L$1006)-ROW(BASE_PRODUTOS!$L$2)+1)/(BASE_PRODUTOS!$L$2:$L$1006&gt;0),ROWS($G$10:G559)),"")</f>
        <v/>
      </c>
      <c r="H559" s="9" t="str">
        <f ca="1">IF($G559="","",INDEX(BASE_PRODUTOS!$B$2:$B$1006,$G559))</f>
        <v/>
      </c>
      <c r="I559" s="9" t="str">
        <f ca="1">IF($G559="","",INDEX(BASE_PRODUTOS!$L$2:$L$1006,$G559))</f>
        <v/>
      </c>
      <c r="J559" s="9" t="str">
        <f ca="1">IF($G559="","",INDEX(BASE_PRODUTOS!$A$2:$A$1006,$G559))</f>
        <v/>
      </c>
      <c r="K559" s="9" t="str">
        <f ca="1">IF($G559="","",INDEX(BASE_PRODUTOS!$C$2:$C$1006,$G559))</f>
        <v/>
      </c>
      <c r="L559" s="9" t="str">
        <f ca="1">IF($G559="","",INDEX(BASE_PRODUTOS!$E$2:$E$1006,$G559))</f>
        <v/>
      </c>
      <c r="M559" s="9" t="str">
        <f ca="1">IF($G559="","",INDEX(BASE_PRODUTOS!$F$2:$F$1006,$G559))</f>
        <v/>
      </c>
      <c r="N559" s="9" t="str">
        <f ca="1">IF($G559="","",INDEX(BASE_PRODUTOS!$G$2:$G$1006,$G559))</f>
        <v/>
      </c>
      <c r="O559" s="9" t="str">
        <f ca="1">IF($G559="","",INDEX(BASE_PRODUTOS!$H$2:$H$1006,$G559))</f>
        <v/>
      </c>
      <c r="P559" s="9" t="str">
        <f ca="1">IF($G559="","",INDEX(BASE_PRODUTOS!$I$2:$I$1006,$G559))</f>
        <v/>
      </c>
      <c r="Q559" s="9" t="str">
        <f ca="1">IF($G559="","",INDEX(BASE_PRODUTOS!$J$2:$J$1006,$G559))</f>
        <v/>
      </c>
      <c r="R559" s="9" t="str">
        <f ca="1">IF($G559="","",INDEX(BASE_PRODUTOS!$M$2:$M$1006,$G559))</f>
        <v/>
      </c>
      <c r="S559" s="9" t="str">
        <f ca="1">IF($G559="","",INDEX(BASE_PRODUTOS!$N$2:$N$1006,$G559))</f>
        <v/>
      </c>
      <c r="T559" s="9" t="str">
        <f ca="1">IF($G559="","",INDEX(BASE_PRODUTOS!$D$2:$D$1006,$G559))</f>
        <v/>
      </c>
    </row>
    <row r="560" spans="7:20" ht="18" customHeight="1" x14ac:dyDescent="0.35">
      <c r="G560" t="str">
        <f ca="1">IFERROR(_xludf.aggregate(15,6,(ROW(BASE_PRODUTOS!$L$2:$L$1006)-ROW(BASE_PRODUTOS!$L$2)+1)/(BASE_PRODUTOS!$L$2:$L$1006&gt;0),ROWS($G$10:G560)),"")</f>
        <v/>
      </c>
      <c r="H560" s="9" t="str">
        <f ca="1">IF($G560="","",INDEX(BASE_PRODUTOS!$B$2:$B$1006,$G560))</f>
        <v/>
      </c>
      <c r="I560" s="9" t="str">
        <f ca="1">IF($G560="","",INDEX(BASE_PRODUTOS!$L$2:$L$1006,$G560))</f>
        <v/>
      </c>
      <c r="J560" s="9" t="str">
        <f ca="1">IF($G560="","",INDEX(BASE_PRODUTOS!$A$2:$A$1006,$G560))</f>
        <v/>
      </c>
      <c r="K560" s="9" t="str">
        <f ca="1">IF($G560="","",INDEX(BASE_PRODUTOS!$C$2:$C$1006,$G560))</f>
        <v/>
      </c>
      <c r="L560" s="9" t="str">
        <f ca="1">IF($G560="","",INDEX(BASE_PRODUTOS!$E$2:$E$1006,$G560))</f>
        <v/>
      </c>
      <c r="M560" s="9" t="str">
        <f ca="1">IF($G560="","",INDEX(BASE_PRODUTOS!$F$2:$F$1006,$G560))</f>
        <v/>
      </c>
      <c r="N560" s="9" t="str">
        <f ca="1">IF($G560="","",INDEX(BASE_PRODUTOS!$G$2:$G$1006,$G560))</f>
        <v/>
      </c>
      <c r="O560" s="9" t="str">
        <f ca="1">IF($G560="","",INDEX(BASE_PRODUTOS!$H$2:$H$1006,$G560))</f>
        <v/>
      </c>
      <c r="P560" s="9" t="str">
        <f ca="1">IF($G560="","",INDEX(BASE_PRODUTOS!$I$2:$I$1006,$G560))</f>
        <v/>
      </c>
      <c r="Q560" s="9" t="str">
        <f ca="1">IF($G560="","",INDEX(BASE_PRODUTOS!$J$2:$J$1006,$G560))</f>
        <v/>
      </c>
      <c r="R560" s="9" t="str">
        <f ca="1">IF($G560="","",INDEX(BASE_PRODUTOS!$M$2:$M$1006,$G560))</f>
        <v/>
      </c>
      <c r="S560" s="9" t="str">
        <f ca="1">IF($G560="","",INDEX(BASE_PRODUTOS!$N$2:$N$1006,$G560))</f>
        <v/>
      </c>
      <c r="T560" s="9" t="str">
        <f ca="1">IF($G560="","",INDEX(BASE_PRODUTOS!$D$2:$D$1006,$G560))</f>
        <v/>
      </c>
    </row>
    <row r="561" spans="7:20" ht="18" customHeight="1" x14ac:dyDescent="0.35">
      <c r="G561" t="str">
        <f ca="1">IFERROR(_xludf.aggregate(15,6,(ROW(BASE_PRODUTOS!$L$2:$L$1006)-ROW(BASE_PRODUTOS!$L$2)+1)/(BASE_PRODUTOS!$L$2:$L$1006&gt;0),ROWS($G$10:G561)),"")</f>
        <v/>
      </c>
      <c r="H561" s="9" t="str">
        <f ca="1">IF($G561="","",INDEX(BASE_PRODUTOS!$B$2:$B$1006,$G561))</f>
        <v/>
      </c>
      <c r="I561" s="9" t="str">
        <f ca="1">IF($G561="","",INDEX(BASE_PRODUTOS!$L$2:$L$1006,$G561))</f>
        <v/>
      </c>
      <c r="J561" s="9" t="str">
        <f ca="1">IF($G561="","",INDEX(BASE_PRODUTOS!$A$2:$A$1006,$G561))</f>
        <v/>
      </c>
      <c r="K561" s="9" t="str">
        <f ca="1">IF($G561="","",INDEX(BASE_PRODUTOS!$C$2:$C$1006,$G561))</f>
        <v/>
      </c>
      <c r="L561" s="9" t="str">
        <f ca="1">IF($G561="","",INDEX(BASE_PRODUTOS!$E$2:$E$1006,$G561))</f>
        <v/>
      </c>
      <c r="M561" s="9" t="str">
        <f ca="1">IF($G561="","",INDEX(BASE_PRODUTOS!$F$2:$F$1006,$G561))</f>
        <v/>
      </c>
      <c r="N561" s="9" t="str">
        <f ca="1">IF($G561="","",INDEX(BASE_PRODUTOS!$G$2:$G$1006,$G561))</f>
        <v/>
      </c>
      <c r="O561" s="9" t="str">
        <f ca="1">IF($G561="","",INDEX(BASE_PRODUTOS!$H$2:$H$1006,$G561))</f>
        <v/>
      </c>
      <c r="P561" s="9" t="str">
        <f ca="1">IF($G561="","",INDEX(BASE_PRODUTOS!$I$2:$I$1006,$G561))</f>
        <v/>
      </c>
      <c r="Q561" s="9" t="str">
        <f ca="1">IF($G561="","",INDEX(BASE_PRODUTOS!$J$2:$J$1006,$G561))</f>
        <v/>
      </c>
      <c r="R561" s="9" t="str">
        <f ca="1">IF($G561="","",INDEX(BASE_PRODUTOS!$M$2:$M$1006,$G561))</f>
        <v/>
      </c>
      <c r="S561" s="9" t="str">
        <f ca="1">IF($G561="","",INDEX(BASE_PRODUTOS!$N$2:$N$1006,$G561))</f>
        <v/>
      </c>
      <c r="T561" s="9" t="str">
        <f ca="1">IF($G561="","",INDEX(BASE_PRODUTOS!$D$2:$D$1006,$G561))</f>
        <v/>
      </c>
    </row>
    <row r="562" spans="7:20" ht="18" customHeight="1" x14ac:dyDescent="0.35">
      <c r="G562" t="str">
        <f ca="1">IFERROR(_xludf.aggregate(15,6,(ROW(BASE_PRODUTOS!$L$2:$L$1006)-ROW(BASE_PRODUTOS!$L$2)+1)/(BASE_PRODUTOS!$L$2:$L$1006&gt;0),ROWS($G$10:G562)),"")</f>
        <v/>
      </c>
      <c r="H562" s="9" t="str">
        <f ca="1">IF($G562="","",INDEX(BASE_PRODUTOS!$B$2:$B$1006,$G562))</f>
        <v/>
      </c>
      <c r="I562" s="9" t="str">
        <f ca="1">IF($G562="","",INDEX(BASE_PRODUTOS!$L$2:$L$1006,$G562))</f>
        <v/>
      </c>
      <c r="J562" s="9" t="str">
        <f ca="1">IF($G562="","",INDEX(BASE_PRODUTOS!$A$2:$A$1006,$G562))</f>
        <v/>
      </c>
      <c r="K562" s="9" t="str">
        <f ca="1">IF($G562="","",INDEX(BASE_PRODUTOS!$C$2:$C$1006,$G562))</f>
        <v/>
      </c>
      <c r="L562" s="9" t="str">
        <f ca="1">IF($G562="","",INDEX(BASE_PRODUTOS!$E$2:$E$1006,$G562))</f>
        <v/>
      </c>
      <c r="M562" s="9" t="str">
        <f ca="1">IF($G562="","",INDEX(BASE_PRODUTOS!$F$2:$F$1006,$G562))</f>
        <v/>
      </c>
      <c r="N562" s="9" t="str">
        <f ca="1">IF($G562="","",INDEX(BASE_PRODUTOS!$G$2:$G$1006,$G562))</f>
        <v/>
      </c>
      <c r="O562" s="9" t="str">
        <f ca="1">IF($G562="","",INDEX(BASE_PRODUTOS!$H$2:$H$1006,$G562))</f>
        <v/>
      </c>
      <c r="P562" s="9" t="str">
        <f ca="1">IF($G562="","",INDEX(BASE_PRODUTOS!$I$2:$I$1006,$G562))</f>
        <v/>
      </c>
      <c r="Q562" s="9" t="str">
        <f ca="1">IF($G562="","",INDEX(BASE_PRODUTOS!$J$2:$J$1006,$G562))</f>
        <v/>
      </c>
      <c r="R562" s="9" t="str">
        <f ca="1">IF($G562="","",INDEX(BASE_PRODUTOS!$M$2:$M$1006,$G562))</f>
        <v/>
      </c>
      <c r="S562" s="9" t="str">
        <f ca="1">IF($G562="","",INDEX(BASE_PRODUTOS!$N$2:$N$1006,$G562))</f>
        <v/>
      </c>
      <c r="T562" s="9" t="str">
        <f ca="1">IF($G562="","",INDEX(BASE_PRODUTOS!$D$2:$D$1006,$G562))</f>
        <v/>
      </c>
    </row>
    <row r="563" spans="7:20" ht="18" customHeight="1" x14ac:dyDescent="0.35">
      <c r="G563" t="str">
        <f ca="1">IFERROR(_xludf.aggregate(15,6,(ROW(BASE_PRODUTOS!$L$2:$L$1006)-ROW(BASE_PRODUTOS!$L$2)+1)/(BASE_PRODUTOS!$L$2:$L$1006&gt;0),ROWS($G$10:G563)),"")</f>
        <v/>
      </c>
      <c r="H563" s="9" t="str">
        <f ca="1">IF($G563="","",INDEX(BASE_PRODUTOS!$B$2:$B$1006,$G563))</f>
        <v/>
      </c>
      <c r="I563" s="9" t="str">
        <f ca="1">IF($G563="","",INDEX(BASE_PRODUTOS!$L$2:$L$1006,$G563))</f>
        <v/>
      </c>
      <c r="J563" s="9" t="str">
        <f ca="1">IF($G563="","",INDEX(BASE_PRODUTOS!$A$2:$A$1006,$G563))</f>
        <v/>
      </c>
      <c r="K563" s="9" t="str">
        <f ca="1">IF($G563="","",INDEX(BASE_PRODUTOS!$C$2:$C$1006,$G563))</f>
        <v/>
      </c>
      <c r="L563" s="9" t="str">
        <f ca="1">IF($G563="","",INDEX(BASE_PRODUTOS!$E$2:$E$1006,$G563))</f>
        <v/>
      </c>
      <c r="M563" s="9" t="str">
        <f ca="1">IF($G563="","",INDEX(BASE_PRODUTOS!$F$2:$F$1006,$G563))</f>
        <v/>
      </c>
      <c r="N563" s="9" t="str">
        <f ca="1">IF($G563="","",INDEX(BASE_PRODUTOS!$G$2:$G$1006,$G563))</f>
        <v/>
      </c>
      <c r="O563" s="9" t="str">
        <f ca="1">IF($G563="","",INDEX(BASE_PRODUTOS!$H$2:$H$1006,$G563))</f>
        <v/>
      </c>
      <c r="P563" s="9" t="str">
        <f ca="1">IF($G563="","",INDEX(BASE_PRODUTOS!$I$2:$I$1006,$G563))</f>
        <v/>
      </c>
      <c r="Q563" s="9" t="str">
        <f ca="1">IF($G563="","",INDEX(BASE_PRODUTOS!$J$2:$J$1006,$G563))</f>
        <v/>
      </c>
      <c r="R563" s="9" t="str">
        <f ca="1">IF($G563="","",INDEX(BASE_PRODUTOS!$M$2:$M$1006,$G563))</f>
        <v/>
      </c>
      <c r="S563" s="9" t="str">
        <f ca="1">IF($G563="","",INDEX(BASE_PRODUTOS!$N$2:$N$1006,$G563))</f>
        <v/>
      </c>
      <c r="T563" s="9" t="str">
        <f ca="1">IF($G563="","",INDEX(BASE_PRODUTOS!$D$2:$D$1006,$G563))</f>
        <v/>
      </c>
    </row>
    <row r="564" spans="7:20" ht="18" customHeight="1" x14ac:dyDescent="0.35">
      <c r="G564" t="str">
        <f ca="1">IFERROR(_xludf.aggregate(15,6,(ROW(BASE_PRODUTOS!$L$2:$L$1006)-ROW(BASE_PRODUTOS!$L$2)+1)/(BASE_PRODUTOS!$L$2:$L$1006&gt;0),ROWS($G$10:G564)),"")</f>
        <v/>
      </c>
      <c r="H564" s="9" t="str">
        <f ca="1">IF($G564="","",INDEX(BASE_PRODUTOS!$B$2:$B$1006,$G564))</f>
        <v/>
      </c>
      <c r="I564" s="9" t="str">
        <f ca="1">IF($G564="","",INDEX(BASE_PRODUTOS!$L$2:$L$1006,$G564))</f>
        <v/>
      </c>
      <c r="J564" s="9" t="str">
        <f ca="1">IF($G564="","",INDEX(BASE_PRODUTOS!$A$2:$A$1006,$G564))</f>
        <v/>
      </c>
      <c r="K564" s="9" t="str">
        <f ca="1">IF($G564="","",INDEX(BASE_PRODUTOS!$C$2:$C$1006,$G564))</f>
        <v/>
      </c>
      <c r="L564" s="9" t="str">
        <f ca="1">IF($G564="","",INDEX(BASE_PRODUTOS!$E$2:$E$1006,$G564))</f>
        <v/>
      </c>
      <c r="M564" s="9" t="str">
        <f ca="1">IF($G564="","",INDEX(BASE_PRODUTOS!$F$2:$F$1006,$G564))</f>
        <v/>
      </c>
      <c r="N564" s="9" t="str">
        <f ca="1">IF($G564="","",INDEX(BASE_PRODUTOS!$G$2:$G$1006,$G564))</f>
        <v/>
      </c>
      <c r="O564" s="9" t="str">
        <f ca="1">IF($G564="","",INDEX(BASE_PRODUTOS!$H$2:$H$1006,$G564))</f>
        <v/>
      </c>
      <c r="P564" s="9" t="str">
        <f ca="1">IF($G564="","",INDEX(BASE_PRODUTOS!$I$2:$I$1006,$G564))</f>
        <v/>
      </c>
      <c r="Q564" s="9" t="str">
        <f ca="1">IF($G564="","",INDEX(BASE_PRODUTOS!$J$2:$J$1006,$G564))</f>
        <v/>
      </c>
      <c r="R564" s="9" t="str">
        <f ca="1">IF($G564="","",INDEX(BASE_PRODUTOS!$M$2:$M$1006,$G564))</f>
        <v/>
      </c>
      <c r="S564" s="9" t="str">
        <f ca="1">IF($G564="","",INDEX(BASE_PRODUTOS!$N$2:$N$1006,$G564))</f>
        <v/>
      </c>
      <c r="T564" s="9" t="str">
        <f ca="1">IF($G564="","",INDEX(BASE_PRODUTOS!$D$2:$D$1006,$G564))</f>
        <v/>
      </c>
    </row>
    <row r="565" spans="7:20" ht="18" customHeight="1" x14ac:dyDescent="0.35">
      <c r="G565" t="str">
        <f ca="1">IFERROR(_xludf.aggregate(15,6,(ROW(BASE_PRODUTOS!$L$2:$L$1006)-ROW(BASE_PRODUTOS!$L$2)+1)/(BASE_PRODUTOS!$L$2:$L$1006&gt;0),ROWS($G$10:G565)),"")</f>
        <v/>
      </c>
      <c r="H565" s="9" t="str">
        <f ca="1">IF($G565="","",INDEX(BASE_PRODUTOS!$B$2:$B$1006,$G565))</f>
        <v/>
      </c>
      <c r="I565" s="9" t="str">
        <f ca="1">IF($G565="","",INDEX(BASE_PRODUTOS!$L$2:$L$1006,$G565))</f>
        <v/>
      </c>
      <c r="J565" s="9" t="str">
        <f ca="1">IF($G565="","",INDEX(BASE_PRODUTOS!$A$2:$A$1006,$G565))</f>
        <v/>
      </c>
      <c r="K565" s="9" t="str">
        <f ca="1">IF($G565="","",INDEX(BASE_PRODUTOS!$C$2:$C$1006,$G565))</f>
        <v/>
      </c>
      <c r="L565" s="9" t="str">
        <f ca="1">IF($G565="","",INDEX(BASE_PRODUTOS!$E$2:$E$1006,$G565))</f>
        <v/>
      </c>
      <c r="M565" s="9" t="str">
        <f ca="1">IF($G565="","",INDEX(BASE_PRODUTOS!$F$2:$F$1006,$G565))</f>
        <v/>
      </c>
      <c r="N565" s="9" t="str">
        <f ca="1">IF($G565="","",INDEX(BASE_PRODUTOS!$G$2:$G$1006,$G565))</f>
        <v/>
      </c>
      <c r="O565" s="9" t="str">
        <f ca="1">IF($G565="","",INDEX(BASE_PRODUTOS!$H$2:$H$1006,$G565))</f>
        <v/>
      </c>
      <c r="P565" s="9" t="str">
        <f ca="1">IF($G565="","",INDEX(BASE_PRODUTOS!$I$2:$I$1006,$G565))</f>
        <v/>
      </c>
      <c r="Q565" s="9" t="str">
        <f ca="1">IF($G565="","",INDEX(BASE_PRODUTOS!$J$2:$J$1006,$G565))</f>
        <v/>
      </c>
      <c r="R565" s="9" t="str">
        <f ca="1">IF($G565="","",INDEX(BASE_PRODUTOS!$M$2:$M$1006,$G565))</f>
        <v/>
      </c>
      <c r="S565" s="9" t="str">
        <f ca="1">IF($G565="","",INDEX(BASE_PRODUTOS!$N$2:$N$1006,$G565))</f>
        <v/>
      </c>
      <c r="T565" s="9" t="str">
        <f ca="1">IF($G565="","",INDEX(BASE_PRODUTOS!$D$2:$D$1006,$G565))</f>
        <v/>
      </c>
    </row>
    <row r="566" spans="7:20" ht="18" customHeight="1" x14ac:dyDescent="0.35">
      <c r="G566" t="str">
        <f ca="1">IFERROR(_xludf.aggregate(15,6,(ROW(BASE_PRODUTOS!$L$2:$L$1006)-ROW(BASE_PRODUTOS!$L$2)+1)/(BASE_PRODUTOS!$L$2:$L$1006&gt;0),ROWS($G$10:G566)),"")</f>
        <v/>
      </c>
      <c r="H566" s="9" t="str">
        <f ca="1">IF($G566="","",INDEX(BASE_PRODUTOS!$B$2:$B$1006,$G566))</f>
        <v/>
      </c>
      <c r="I566" s="9" t="str">
        <f ca="1">IF($G566="","",INDEX(BASE_PRODUTOS!$L$2:$L$1006,$G566))</f>
        <v/>
      </c>
      <c r="J566" s="9" t="str">
        <f ca="1">IF($G566="","",INDEX(BASE_PRODUTOS!$A$2:$A$1006,$G566))</f>
        <v/>
      </c>
      <c r="K566" s="9" t="str">
        <f ca="1">IF($G566="","",INDEX(BASE_PRODUTOS!$C$2:$C$1006,$G566))</f>
        <v/>
      </c>
      <c r="L566" s="9" t="str">
        <f ca="1">IF($G566="","",INDEX(BASE_PRODUTOS!$E$2:$E$1006,$G566))</f>
        <v/>
      </c>
      <c r="M566" s="9" t="str">
        <f ca="1">IF($G566="","",INDEX(BASE_PRODUTOS!$F$2:$F$1006,$G566))</f>
        <v/>
      </c>
      <c r="N566" s="9" t="str">
        <f ca="1">IF($G566="","",INDEX(BASE_PRODUTOS!$G$2:$G$1006,$G566))</f>
        <v/>
      </c>
      <c r="O566" s="9" t="str">
        <f ca="1">IF($G566="","",INDEX(BASE_PRODUTOS!$H$2:$H$1006,$G566))</f>
        <v/>
      </c>
      <c r="P566" s="9" t="str">
        <f ca="1">IF($G566="","",INDEX(BASE_PRODUTOS!$I$2:$I$1006,$G566))</f>
        <v/>
      </c>
      <c r="Q566" s="9" t="str">
        <f ca="1">IF($G566="","",INDEX(BASE_PRODUTOS!$J$2:$J$1006,$G566))</f>
        <v/>
      </c>
      <c r="R566" s="9" t="str">
        <f ca="1">IF($G566="","",INDEX(BASE_PRODUTOS!$M$2:$M$1006,$G566))</f>
        <v/>
      </c>
      <c r="S566" s="9" t="str">
        <f ca="1">IF($G566="","",INDEX(BASE_PRODUTOS!$N$2:$N$1006,$G566))</f>
        <v/>
      </c>
      <c r="T566" s="9" t="str">
        <f ca="1">IF($G566="","",INDEX(BASE_PRODUTOS!$D$2:$D$1006,$G566))</f>
        <v/>
      </c>
    </row>
    <row r="567" spans="7:20" ht="18" customHeight="1" x14ac:dyDescent="0.35">
      <c r="G567" t="str">
        <f ca="1">IFERROR(_xludf.aggregate(15,6,(ROW(BASE_PRODUTOS!$L$2:$L$1006)-ROW(BASE_PRODUTOS!$L$2)+1)/(BASE_PRODUTOS!$L$2:$L$1006&gt;0),ROWS($G$10:G567)),"")</f>
        <v/>
      </c>
      <c r="H567" s="9" t="str">
        <f ca="1">IF($G567="","",INDEX(BASE_PRODUTOS!$B$2:$B$1006,$G567))</f>
        <v/>
      </c>
      <c r="I567" s="9" t="str">
        <f ca="1">IF($G567="","",INDEX(BASE_PRODUTOS!$L$2:$L$1006,$G567))</f>
        <v/>
      </c>
      <c r="J567" s="9" t="str">
        <f ca="1">IF($G567="","",INDEX(BASE_PRODUTOS!$A$2:$A$1006,$G567))</f>
        <v/>
      </c>
      <c r="K567" s="9" t="str">
        <f ca="1">IF($G567="","",INDEX(BASE_PRODUTOS!$C$2:$C$1006,$G567))</f>
        <v/>
      </c>
      <c r="L567" s="9" t="str">
        <f ca="1">IF($G567="","",INDEX(BASE_PRODUTOS!$E$2:$E$1006,$G567))</f>
        <v/>
      </c>
      <c r="M567" s="9" t="str">
        <f ca="1">IF($G567="","",INDEX(BASE_PRODUTOS!$F$2:$F$1006,$G567))</f>
        <v/>
      </c>
      <c r="N567" s="9" t="str">
        <f ca="1">IF($G567="","",INDEX(BASE_PRODUTOS!$G$2:$G$1006,$G567))</f>
        <v/>
      </c>
      <c r="O567" s="9" t="str">
        <f ca="1">IF($G567="","",INDEX(BASE_PRODUTOS!$H$2:$H$1006,$G567))</f>
        <v/>
      </c>
      <c r="P567" s="9" t="str">
        <f ca="1">IF($G567="","",INDEX(BASE_PRODUTOS!$I$2:$I$1006,$G567))</f>
        <v/>
      </c>
      <c r="Q567" s="9" t="str">
        <f ca="1">IF($G567="","",INDEX(BASE_PRODUTOS!$J$2:$J$1006,$G567))</f>
        <v/>
      </c>
      <c r="R567" s="9" t="str">
        <f ca="1">IF($G567="","",INDEX(BASE_PRODUTOS!$M$2:$M$1006,$G567))</f>
        <v/>
      </c>
      <c r="S567" s="9" t="str">
        <f ca="1">IF($G567="","",INDEX(BASE_PRODUTOS!$N$2:$N$1006,$G567))</f>
        <v/>
      </c>
      <c r="T567" s="9" t="str">
        <f ca="1">IF($G567="","",INDEX(BASE_PRODUTOS!$D$2:$D$1006,$G567))</f>
        <v/>
      </c>
    </row>
    <row r="568" spans="7:20" ht="18" customHeight="1" x14ac:dyDescent="0.35">
      <c r="G568" t="str">
        <f ca="1">IFERROR(_xludf.aggregate(15,6,(ROW(BASE_PRODUTOS!$L$2:$L$1006)-ROW(BASE_PRODUTOS!$L$2)+1)/(BASE_PRODUTOS!$L$2:$L$1006&gt;0),ROWS($G$10:G568)),"")</f>
        <v/>
      </c>
      <c r="H568" s="9" t="str">
        <f ca="1">IF($G568="","",INDEX(BASE_PRODUTOS!$B$2:$B$1006,$G568))</f>
        <v/>
      </c>
      <c r="I568" s="9" t="str">
        <f ca="1">IF($G568="","",INDEX(BASE_PRODUTOS!$L$2:$L$1006,$G568))</f>
        <v/>
      </c>
      <c r="J568" s="9" t="str">
        <f ca="1">IF($G568="","",INDEX(BASE_PRODUTOS!$A$2:$A$1006,$G568))</f>
        <v/>
      </c>
      <c r="K568" s="9" t="str">
        <f ca="1">IF($G568="","",INDEX(BASE_PRODUTOS!$C$2:$C$1006,$G568))</f>
        <v/>
      </c>
      <c r="L568" s="9" t="str">
        <f ca="1">IF($G568="","",INDEX(BASE_PRODUTOS!$E$2:$E$1006,$G568))</f>
        <v/>
      </c>
      <c r="M568" s="9" t="str">
        <f ca="1">IF($G568="","",INDEX(BASE_PRODUTOS!$F$2:$F$1006,$G568))</f>
        <v/>
      </c>
      <c r="N568" s="9" t="str">
        <f ca="1">IF($G568="","",INDEX(BASE_PRODUTOS!$G$2:$G$1006,$G568))</f>
        <v/>
      </c>
      <c r="O568" s="9" t="str">
        <f ca="1">IF($G568="","",INDEX(BASE_PRODUTOS!$H$2:$H$1006,$G568))</f>
        <v/>
      </c>
      <c r="P568" s="9" t="str">
        <f ca="1">IF($G568="","",INDEX(BASE_PRODUTOS!$I$2:$I$1006,$G568))</f>
        <v/>
      </c>
      <c r="Q568" s="9" t="str">
        <f ca="1">IF($G568="","",INDEX(BASE_PRODUTOS!$J$2:$J$1006,$G568))</f>
        <v/>
      </c>
      <c r="R568" s="9" t="str">
        <f ca="1">IF($G568="","",INDEX(BASE_PRODUTOS!$M$2:$M$1006,$G568))</f>
        <v/>
      </c>
      <c r="S568" s="9" t="str">
        <f ca="1">IF($G568="","",INDEX(BASE_PRODUTOS!$N$2:$N$1006,$G568))</f>
        <v/>
      </c>
      <c r="T568" s="9" t="str">
        <f ca="1">IF($G568="","",INDEX(BASE_PRODUTOS!$D$2:$D$1006,$G568))</f>
        <v/>
      </c>
    </row>
    <row r="569" spans="7:20" ht="18" customHeight="1" x14ac:dyDescent="0.35">
      <c r="G569" t="str">
        <f ca="1">IFERROR(_xludf.aggregate(15,6,(ROW(BASE_PRODUTOS!$L$2:$L$1006)-ROW(BASE_PRODUTOS!$L$2)+1)/(BASE_PRODUTOS!$L$2:$L$1006&gt;0),ROWS($G$10:G569)),"")</f>
        <v/>
      </c>
      <c r="H569" s="9" t="str">
        <f ca="1">IF($G569="","",INDEX(BASE_PRODUTOS!$B$2:$B$1006,$G569))</f>
        <v/>
      </c>
      <c r="I569" s="9" t="str">
        <f ca="1">IF($G569="","",INDEX(BASE_PRODUTOS!$L$2:$L$1006,$G569))</f>
        <v/>
      </c>
      <c r="J569" s="9" t="str">
        <f ca="1">IF($G569="","",INDEX(BASE_PRODUTOS!$A$2:$A$1006,$G569))</f>
        <v/>
      </c>
      <c r="K569" s="9" t="str">
        <f ca="1">IF($G569="","",INDEX(BASE_PRODUTOS!$C$2:$C$1006,$G569))</f>
        <v/>
      </c>
      <c r="L569" s="9" t="str">
        <f ca="1">IF($G569="","",INDEX(BASE_PRODUTOS!$E$2:$E$1006,$G569))</f>
        <v/>
      </c>
      <c r="M569" s="9" t="str">
        <f ca="1">IF($G569="","",INDEX(BASE_PRODUTOS!$F$2:$F$1006,$G569))</f>
        <v/>
      </c>
      <c r="N569" s="9" t="str">
        <f ca="1">IF($G569="","",INDEX(BASE_PRODUTOS!$G$2:$G$1006,$G569))</f>
        <v/>
      </c>
      <c r="O569" s="9" t="str">
        <f ca="1">IF($G569="","",INDEX(BASE_PRODUTOS!$H$2:$H$1006,$G569))</f>
        <v/>
      </c>
      <c r="P569" s="9" t="str">
        <f ca="1">IF($G569="","",INDEX(BASE_PRODUTOS!$I$2:$I$1006,$G569))</f>
        <v/>
      </c>
      <c r="Q569" s="9" t="str">
        <f ca="1">IF($G569="","",INDEX(BASE_PRODUTOS!$J$2:$J$1006,$G569))</f>
        <v/>
      </c>
      <c r="R569" s="9" t="str">
        <f ca="1">IF($G569="","",INDEX(BASE_PRODUTOS!$M$2:$M$1006,$G569))</f>
        <v/>
      </c>
      <c r="S569" s="9" t="str">
        <f ca="1">IF($G569="","",INDEX(BASE_PRODUTOS!$N$2:$N$1006,$G569))</f>
        <v/>
      </c>
      <c r="T569" s="9" t="str">
        <f ca="1">IF($G569="","",INDEX(BASE_PRODUTOS!$D$2:$D$1006,$G569))</f>
        <v/>
      </c>
    </row>
    <row r="570" spans="7:20" ht="18" customHeight="1" x14ac:dyDescent="0.35">
      <c r="G570" t="str">
        <f ca="1">IFERROR(_xludf.aggregate(15,6,(ROW(BASE_PRODUTOS!$L$2:$L$1006)-ROW(BASE_PRODUTOS!$L$2)+1)/(BASE_PRODUTOS!$L$2:$L$1006&gt;0),ROWS($G$10:G570)),"")</f>
        <v/>
      </c>
      <c r="H570" s="9" t="str">
        <f ca="1">IF($G570="","",INDEX(BASE_PRODUTOS!$B$2:$B$1006,$G570))</f>
        <v/>
      </c>
      <c r="I570" s="9" t="str">
        <f ca="1">IF($G570="","",INDEX(BASE_PRODUTOS!$L$2:$L$1006,$G570))</f>
        <v/>
      </c>
      <c r="J570" s="9" t="str">
        <f ca="1">IF($G570="","",INDEX(BASE_PRODUTOS!$A$2:$A$1006,$G570))</f>
        <v/>
      </c>
      <c r="K570" s="9" t="str">
        <f ca="1">IF($G570="","",INDEX(BASE_PRODUTOS!$C$2:$C$1006,$G570))</f>
        <v/>
      </c>
      <c r="L570" s="9" t="str">
        <f ca="1">IF($G570="","",INDEX(BASE_PRODUTOS!$E$2:$E$1006,$G570))</f>
        <v/>
      </c>
      <c r="M570" s="9" t="str">
        <f ca="1">IF($G570="","",INDEX(BASE_PRODUTOS!$F$2:$F$1006,$G570))</f>
        <v/>
      </c>
      <c r="N570" s="9" t="str">
        <f ca="1">IF($G570="","",INDEX(BASE_PRODUTOS!$G$2:$G$1006,$G570))</f>
        <v/>
      </c>
      <c r="O570" s="9" t="str">
        <f ca="1">IF($G570="","",INDEX(BASE_PRODUTOS!$H$2:$H$1006,$G570))</f>
        <v/>
      </c>
      <c r="P570" s="9" t="str">
        <f ca="1">IF($G570="","",INDEX(BASE_PRODUTOS!$I$2:$I$1006,$G570))</f>
        <v/>
      </c>
      <c r="Q570" s="9" t="str">
        <f ca="1">IF($G570="","",INDEX(BASE_PRODUTOS!$J$2:$J$1006,$G570))</f>
        <v/>
      </c>
      <c r="R570" s="9" t="str">
        <f ca="1">IF($G570="","",INDEX(BASE_PRODUTOS!$M$2:$M$1006,$G570))</f>
        <v/>
      </c>
      <c r="S570" s="9" t="str">
        <f ca="1">IF($G570="","",INDEX(BASE_PRODUTOS!$N$2:$N$1006,$G570))</f>
        <v/>
      </c>
      <c r="T570" s="9" t="str">
        <f ca="1">IF($G570="","",INDEX(BASE_PRODUTOS!$D$2:$D$1006,$G570))</f>
        <v/>
      </c>
    </row>
    <row r="571" spans="7:20" ht="18" customHeight="1" x14ac:dyDescent="0.35">
      <c r="G571" t="str">
        <f ca="1">IFERROR(_xludf.aggregate(15,6,(ROW(BASE_PRODUTOS!$L$2:$L$1006)-ROW(BASE_PRODUTOS!$L$2)+1)/(BASE_PRODUTOS!$L$2:$L$1006&gt;0),ROWS($G$10:G571)),"")</f>
        <v/>
      </c>
      <c r="H571" s="9" t="str">
        <f ca="1">IF($G571="","",INDEX(BASE_PRODUTOS!$B$2:$B$1006,$G571))</f>
        <v/>
      </c>
      <c r="I571" s="9" t="str">
        <f ca="1">IF($G571="","",INDEX(BASE_PRODUTOS!$L$2:$L$1006,$G571))</f>
        <v/>
      </c>
      <c r="J571" s="9" t="str">
        <f ca="1">IF($G571="","",INDEX(BASE_PRODUTOS!$A$2:$A$1006,$G571))</f>
        <v/>
      </c>
      <c r="K571" s="9" t="str">
        <f ca="1">IF($G571="","",INDEX(BASE_PRODUTOS!$C$2:$C$1006,$G571))</f>
        <v/>
      </c>
      <c r="L571" s="9" t="str">
        <f ca="1">IF($G571="","",INDEX(BASE_PRODUTOS!$E$2:$E$1006,$G571))</f>
        <v/>
      </c>
      <c r="M571" s="9" t="str">
        <f ca="1">IF($G571="","",INDEX(BASE_PRODUTOS!$F$2:$F$1006,$G571))</f>
        <v/>
      </c>
      <c r="N571" s="9" t="str">
        <f ca="1">IF($G571="","",INDEX(BASE_PRODUTOS!$G$2:$G$1006,$G571))</f>
        <v/>
      </c>
      <c r="O571" s="9" t="str">
        <f ca="1">IF($G571="","",INDEX(BASE_PRODUTOS!$H$2:$H$1006,$G571))</f>
        <v/>
      </c>
      <c r="P571" s="9" t="str">
        <f ca="1">IF($G571="","",INDEX(BASE_PRODUTOS!$I$2:$I$1006,$G571))</f>
        <v/>
      </c>
      <c r="Q571" s="9" t="str">
        <f ca="1">IF($G571="","",INDEX(BASE_PRODUTOS!$J$2:$J$1006,$G571))</f>
        <v/>
      </c>
      <c r="R571" s="9" t="str">
        <f ca="1">IF($G571="","",INDEX(BASE_PRODUTOS!$M$2:$M$1006,$G571))</f>
        <v/>
      </c>
      <c r="S571" s="9" t="str">
        <f ca="1">IF($G571="","",INDEX(BASE_PRODUTOS!$N$2:$N$1006,$G571))</f>
        <v/>
      </c>
      <c r="T571" s="9" t="str">
        <f ca="1">IF($G571="","",INDEX(BASE_PRODUTOS!$D$2:$D$1006,$G571))</f>
        <v/>
      </c>
    </row>
    <row r="572" spans="7:20" ht="18" customHeight="1" x14ac:dyDescent="0.35">
      <c r="G572" t="str">
        <f ca="1">IFERROR(_xludf.aggregate(15,6,(ROW(BASE_PRODUTOS!$L$2:$L$1006)-ROW(BASE_PRODUTOS!$L$2)+1)/(BASE_PRODUTOS!$L$2:$L$1006&gt;0),ROWS($G$10:G572)),"")</f>
        <v/>
      </c>
      <c r="H572" s="9" t="str">
        <f ca="1">IF($G572="","",INDEX(BASE_PRODUTOS!$B$2:$B$1006,$G572))</f>
        <v/>
      </c>
      <c r="I572" s="9" t="str">
        <f ca="1">IF($G572="","",INDEX(BASE_PRODUTOS!$L$2:$L$1006,$G572))</f>
        <v/>
      </c>
      <c r="J572" s="9" t="str">
        <f ca="1">IF($G572="","",INDEX(BASE_PRODUTOS!$A$2:$A$1006,$G572))</f>
        <v/>
      </c>
      <c r="K572" s="9" t="str">
        <f ca="1">IF($G572="","",INDEX(BASE_PRODUTOS!$C$2:$C$1006,$G572))</f>
        <v/>
      </c>
      <c r="L572" s="9" t="str">
        <f ca="1">IF($G572="","",INDEX(BASE_PRODUTOS!$E$2:$E$1006,$G572))</f>
        <v/>
      </c>
      <c r="M572" s="9" t="str">
        <f ca="1">IF($G572="","",INDEX(BASE_PRODUTOS!$F$2:$F$1006,$G572))</f>
        <v/>
      </c>
      <c r="N572" s="9" t="str">
        <f ca="1">IF($G572="","",INDEX(BASE_PRODUTOS!$G$2:$G$1006,$G572))</f>
        <v/>
      </c>
      <c r="O572" s="9" t="str">
        <f ca="1">IF($G572="","",INDEX(BASE_PRODUTOS!$H$2:$H$1006,$G572))</f>
        <v/>
      </c>
      <c r="P572" s="9" t="str">
        <f ca="1">IF($G572="","",INDEX(BASE_PRODUTOS!$I$2:$I$1006,$G572))</f>
        <v/>
      </c>
      <c r="Q572" s="9" t="str">
        <f ca="1">IF($G572="","",INDEX(BASE_PRODUTOS!$J$2:$J$1006,$G572))</f>
        <v/>
      </c>
      <c r="R572" s="9" t="str">
        <f ca="1">IF($G572="","",INDEX(BASE_PRODUTOS!$M$2:$M$1006,$G572))</f>
        <v/>
      </c>
      <c r="S572" s="9" t="str">
        <f ca="1">IF($G572="","",INDEX(BASE_PRODUTOS!$N$2:$N$1006,$G572))</f>
        <v/>
      </c>
      <c r="T572" s="9" t="str">
        <f ca="1">IF($G572="","",INDEX(BASE_PRODUTOS!$D$2:$D$1006,$G572))</f>
        <v/>
      </c>
    </row>
    <row r="573" spans="7:20" ht="18" customHeight="1" x14ac:dyDescent="0.35">
      <c r="G573" t="str">
        <f ca="1">IFERROR(_xludf.aggregate(15,6,(ROW(BASE_PRODUTOS!$L$2:$L$1006)-ROW(BASE_PRODUTOS!$L$2)+1)/(BASE_PRODUTOS!$L$2:$L$1006&gt;0),ROWS($G$10:G573)),"")</f>
        <v/>
      </c>
      <c r="H573" s="9" t="str">
        <f ca="1">IF($G573="","",INDEX(BASE_PRODUTOS!$B$2:$B$1006,$G573))</f>
        <v/>
      </c>
      <c r="I573" s="9" t="str">
        <f ca="1">IF($G573="","",INDEX(BASE_PRODUTOS!$L$2:$L$1006,$G573))</f>
        <v/>
      </c>
      <c r="J573" s="9" t="str">
        <f ca="1">IF($G573="","",INDEX(BASE_PRODUTOS!$A$2:$A$1006,$G573))</f>
        <v/>
      </c>
      <c r="K573" s="9" t="str">
        <f ca="1">IF($G573="","",INDEX(BASE_PRODUTOS!$C$2:$C$1006,$G573))</f>
        <v/>
      </c>
      <c r="L573" s="9" t="str">
        <f ca="1">IF($G573="","",INDEX(BASE_PRODUTOS!$E$2:$E$1006,$G573))</f>
        <v/>
      </c>
      <c r="M573" s="9" t="str">
        <f ca="1">IF($G573="","",INDEX(BASE_PRODUTOS!$F$2:$F$1006,$G573))</f>
        <v/>
      </c>
      <c r="N573" s="9" t="str">
        <f ca="1">IF($G573="","",INDEX(BASE_PRODUTOS!$G$2:$G$1006,$G573))</f>
        <v/>
      </c>
      <c r="O573" s="9" t="str">
        <f ca="1">IF($G573="","",INDEX(BASE_PRODUTOS!$H$2:$H$1006,$G573))</f>
        <v/>
      </c>
      <c r="P573" s="9" t="str">
        <f ca="1">IF($G573="","",INDEX(BASE_PRODUTOS!$I$2:$I$1006,$G573))</f>
        <v/>
      </c>
      <c r="Q573" s="9" t="str">
        <f ca="1">IF($G573="","",INDEX(BASE_PRODUTOS!$J$2:$J$1006,$G573))</f>
        <v/>
      </c>
      <c r="R573" s="9" t="str">
        <f ca="1">IF($G573="","",INDEX(BASE_PRODUTOS!$M$2:$M$1006,$G573))</f>
        <v/>
      </c>
      <c r="S573" s="9" t="str">
        <f ca="1">IF($G573="","",INDEX(BASE_PRODUTOS!$N$2:$N$1006,$G573))</f>
        <v/>
      </c>
      <c r="T573" s="9" t="str">
        <f ca="1">IF($G573="","",INDEX(BASE_PRODUTOS!$D$2:$D$1006,$G573))</f>
        <v/>
      </c>
    </row>
    <row r="574" spans="7:20" ht="18" customHeight="1" x14ac:dyDescent="0.35">
      <c r="G574" t="str">
        <f ca="1">IFERROR(_xludf.aggregate(15,6,(ROW(BASE_PRODUTOS!$L$2:$L$1006)-ROW(BASE_PRODUTOS!$L$2)+1)/(BASE_PRODUTOS!$L$2:$L$1006&gt;0),ROWS($G$10:G574)),"")</f>
        <v/>
      </c>
      <c r="H574" s="9" t="str">
        <f ca="1">IF($G574="","",INDEX(BASE_PRODUTOS!$B$2:$B$1006,$G574))</f>
        <v/>
      </c>
      <c r="I574" s="9" t="str">
        <f ca="1">IF($G574="","",INDEX(BASE_PRODUTOS!$L$2:$L$1006,$G574))</f>
        <v/>
      </c>
      <c r="J574" s="9" t="str">
        <f ca="1">IF($G574="","",INDEX(BASE_PRODUTOS!$A$2:$A$1006,$G574))</f>
        <v/>
      </c>
      <c r="K574" s="9" t="str">
        <f ca="1">IF($G574="","",INDEX(BASE_PRODUTOS!$C$2:$C$1006,$G574))</f>
        <v/>
      </c>
      <c r="L574" s="9" t="str">
        <f ca="1">IF($G574="","",INDEX(BASE_PRODUTOS!$E$2:$E$1006,$G574))</f>
        <v/>
      </c>
      <c r="M574" s="9" t="str">
        <f ca="1">IF($G574="","",INDEX(BASE_PRODUTOS!$F$2:$F$1006,$G574))</f>
        <v/>
      </c>
      <c r="N574" s="9" t="str">
        <f ca="1">IF($G574="","",INDEX(BASE_PRODUTOS!$G$2:$G$1006,$G574))</f>
        <v/>
      </c>
      <c r="O574" s="9" t="str">
        <f ca="1">IF($G574="","",INDEX(BASE_PRODUTOS!$H$2:$H$1006,$G574))</f>
        <v/>
      </c>
      <c r="P574" s="9" t="str">
        <f ca="1">IF($G574="","",INDEX(BASE_PRODUTOS!$I$2:$I$1006,$G574))</f>
        <v/>
      </c>
      <c r="Q574" s="9" t="str">
        <f ca="1">IF($G574="","",INDEX(BASE_PRODUTOS!$J$2:$J$1006,$G574))</f>
        <v/>
      </c>
      <c r="R574" s="9" t="str">
        <f ca="1">IF($G574="","",INDEX(BASE_PRODUTOS!$M$2:$M$1006,$G574))</f>
        <v/>
      </c>
      <c r="S574" s="9" t="str">
        <f ca="1">IF($G574="","",INDEX(BASE_PRODUTOS!$N$2:$N$1006,$G574))</f>
        <v/>
      </c>
      <c r="T574" s="9" t="str">
        <f ca="1">IF($G574="","",INDEX(BASE_PRODUTOS!$D$2:$D$1006,$G574))</f>
        <v/>
      </c>
    </row>
    <row r="575" spans="7:20" ht="18" customHeight="1" x14ac:dyDescent="0.35">
      <c r="G575" t="str">
        <f ca="1">IFERROR(_xludf.aggregate(15,6,(ROW(BASE_PRODUTOS!$L$2:$L$1006)-ROW(BASE_PRODUTOS!$L$2)+1)/(BASE_PRODUTOS!$L$2:$L$1006&gt;0),ROWS($G$10:G575)),"")</f>
        <v/>
      </c>
      <c r="H575" s="9" t="str">
        <f ca="1">IF($G575="","",INDEX(BASE_PRODUTOS!$B$2:$B$1006,$G575))</f>
        <v/>
      </c>
      <c r="I575" s="9" t="str">
        <f ca="1">IF($G575="","",INDEX(BASE_PRODUTOS!$L$2:$L$1006,$G575))</f>
        <v/>
      </c>
      <c r="J575" s="9" t="str">
        <f ca="1">IF($G575="","",INDEX(BASE_PRODUTOS!$A$2:$A$1006,$G575))</f>
        <v/>
      </c>
      <c r="K575" s="9" t="str">
        <f ca="1">IF($G575="","",INDEX(BASE_PRODUTOS!$C$2:$C$1006,$G575))</f>
        <v/>
      </c>
      <c r="L575" s="9" t="str">
        <f ca="1">IF($G575="","",INDEX(BASE_PRODUTOS!$E$2:$E$1006,$G575))</f>
        <v/>
      </c>
      <c r="M575" s="9" t="str">
        <f ca="1">IF($G575="","",INDEX(BASE_PRODUTOS!$F$2:$F$1006,$G575))</f>
        <v/>
      </c>
      <c r="N575" s="9" t="str">
        <f ca="1">IF($G575="","",INDEX(BASE_PRODUTOS!$G$2:$G$1006,$G575))</f>
        <v/>
      </c>
      <c r="O575" s="9" t="str">
        <f ca="1">IF($G575="","",INDEX(BASE_PRODUTOS!$H$2:$H$1006,$G575))</f>
        <v/>
      </c>
      <c r="P575" s="9" t="str">
        <f ca="1">IF($G575="","",INDEX(BASE_PRODUTOS!$I$2:$I$1006,$G575))</f>
        <v/>
      </c>
      <c r="Q575" s="9" t="str">
        <f ca="1">IF($G575="","",INDEX(BASE_PRODUTOS!$J$2:$J$1006,$G575))</f>
        <v/>
      </c>
      <c r="R575" s="9" t="str">
        <f ca="1">IF($G575="","",INDEX(BASE_PRODUTOS!$M$2:$M$1006,$G575))</f>
        <v/>
      </c>
      <c r="S575" s="9" t="str">
        <f ca="1">IF($G575="","",INDEX(BASE_PRODUTOS!$N$2:$N$1006,$G575))</f>
        <v/>
      </c>
      <c r="T575" s="9" t="str">
        <f ca="1">IF($G575="","",INDEX(BASE_PRODUTOS!$D$2:$D$1006,$G575))</f>
        <v/>
      </c>
    </row>
    <row r="576" spans="7:20" ht="18" customHeight="1" x14ac:dyDescent="0.35">
      <c r="G576" t="str">
        <f ca="1">IFERROR(_xludf.aggregate(15,6,(ROW(BASE_PRODUTOS!$L$2:$L$1006)-ROW(BASE_PRODUTOS!$L$2)+1)/(BASE_PRODUTOS!$L$2:$L$1006&gt;0),ROWS($G$10:G576)),"")</f>
        <v/>
      </c>
      <c r="H576" s="9" t="str">
        <f ca="1">IF($G576="","",INDEX(BASE_PRODUTOS!$B$2:$B$1006,$G576))</f>
        <v/>
      </c>
      <c r="I576" s="9" t="str">
        <f ca="1">IF($G576="","",INDEX(BASE_PRODUTOS!$L$2:$L$1006,$G576))</f>
        <v/>
      </c>
      <c r="J576" s="9" t="str">
        <f ca="1">IF($G576="","",INDEX(BASE_PRODUTOS!$A$2:$A$1006,$G576))</f>
        <v/>
      </c>
      <c r="K576" s="9" t="str">
        <f ca="1">IF($G576="","",INDEX(BASE_PRODUTOS!$C$2:$C$1006,$G576))</f>
        <v/>
      </c>
      <c r="L576" s="9" t="str">
        <f ca="1">IF($G576="","",INDEX(BASE_PRODUTOS!$E$2:$E$1006,$G576))</f>
        <v/>
      </c>
      <c r="M576" s="9" t="str">
        <f ca="1">IF($G576="","",INDEX(BASE_PRODUTOS!$F$2:$F$1006,$G576))</f>
        <v/>
      </c>
      <c r="N576" s="9" t="str">
        <f ca="1">IF($G576="","",INDEX(BASE_PRODUTOS!$G$2:$G$1006,$G576))</f>
        <v/>
      </c>
      <c r="O576" s="9" t="str">
        <f ca="1">IF($G576="","",INDEX(BASE_PRODUTOS!$H$2:$H$1006,$G576))</f>
        <v/>
      </c>
      <c r="P576" s="9" t="str">
        <f ca="1">IF($G576="","",INDEX(BASE_PRODUTOS!$I$2:$I$1006,$G576))</f>
        <v/>
      </c>
      <c r="Q576" s="9" t="str">
        <f ca="1">IF($G576="","",INDEX(BASE_PRODUTOS!$J$2:$J$1006,$G576))</f>
        <v/>
      </c>
      <c r="R576" s="9" t="str">
        <f ca="1">IF($G576="","",INDEX(BASE_PRODUTOS!$M$2:$M$1006,$G576))</f>
        <v/>
      </c>
      <c r="S576" s="9" t="str">
        <f ca="1">IF($G576="","",INDEX(BASE_PRODUTOS!$N$2:$N$1006,$G576))</f>
        <v/>
      </c>
      <c r="T576" s="9" t="str">
        <f ca="1">IF($G576="","",INDEX(BASE_PRODUTOS!$D$2:$D$1006,$G576))</f>
        <v/>
      </c>
    </row>
    <row r="577" spans="7:20" ht="18" customHeight="1" x14ac:dyDescent="0.35">
      <c r="G577" t="str">
        <f ca="1">IFERROR(_xludf.aggregate(15,6,(ROW(BASE_PRODUTOS!$L$2:$L$1006)-ROW(BASE_PRODUTOS!$L$2)+1)/(BASE_PRODUTOS!$L$2:$L$1006&gt;0),ROWS($G$10:G577)),"")</f>
        <v/>
      </c>
      <c r="H577" s="9" t="str">
        <f ca="1">IF($G577="","",INDEX(BASE_PRODUTOS!$B$2:$B$1006,$G577))</f>
        <v/>
      </c>
      <c r="I577" s="9" t="str">
        <f ca="1">IF($G577="","",INDEX(BASE_PRODUTOS!$L$2:$L$1006,$G577))</f>
        <v/>
      </c>
      <c r="J577" s="9" t="str">
        <f ca="1">IF($G577="","",INDEX(BASE_PRODUTOS!$A$2:$A$1006,$G577))</f>
        <v/>
      </c>
      <c r="K577" s="9" t="str">
        <f ca="1">IF($G577="","",INDEX(BASE_PRODUTOS!$C$2:$C$1006,$G577))</f>
        <v/>
      </c>
      <c r="L577" s="9" t="str">
        <f ca="1">IF($G577="","",INDEX(BASE_PRODUTOS!$E$2:$E$1006,$G577))</f>
        <v/>
      </c>
      <c r="M577" s="9" t="str">
        <f ca="1">IF($G577="","",INDEX(BASE_PRODUTOS!$F$2:$F$1006,$G577))</f>
        <v/>
      </c>
      <c r="N577" s="9" t="str">
        <f ca="1">IF($G577="","",INDEX(BASE_PRODUTOS!$G$2:$G$1006,$G577))</f>
        <v/>
      </c>
      <c r="O577" s="9" t="str">
        <f ca="1">IF($G577="","",INDEX(BASE_PRODUTOS!$H$2:$H$1006,$G577))</f>
        <v/>
      </c>
      <c r="P577" s="9" t="str">
        <f ca="1">IF($G577="","",INDEX(BASE_PRODUTOS!$I$2:$I$1006,$G577))</f>
        <v/>
      </c>
      <c r="Q577" s="9" t="str">
        <f ca="1">IF($G577="","",INDEX(BASE_PRODUTOS!$J$2:$J$1006,$G577))</f>
        <v/>
      </c>
      <c r="R577" s="9" t="str">
        <f ca="1">IF($G577="","",INDEX(BASE_PRODUTOS!$M$2:$M$1006,$G577))</f>
        <v/>
      </c>
      <c r="S577" s="9" t="str">
        <f ca="1">IF($G577="","",INDEX(BASE_PRODUTOS!$N$2:$N$1006,$G577))</f>
        <v/>
      </c>
      <c r="T577" s="9" t="str">
        <f ca="1">IF($G577="","",INDEX(BASE_PRODUTOS!$D$2:$D$1006,$G577))</f>
        <v/>
      </c>
    </row>
    <row r="578" spans="7:20" ht="18" customHeight="1" x14ac:dyDescent="0.35">
      <c r="G578" t="str">
        <f ca="1">IFERROR(_xludf.aggregate(15,6,(ROW(BASE_PRODUTOS!$L$2:$L$1006)-ROW(BASE_PRODUTOS!$L$2)+1)/(BASE_PRODUTOS!$L$2:$L$1006&gt;0),ROWS($G$10:G578)),"")</f>
        <v/>
      </c>
      <c r="H578" s="9" t="str">
        <f ca="1">IF($G578="","",INDEX(BASE_PRODUTOS!$B$2:$B$1006,$G578))</f>
        <v/>
      </c>
      <c r="I578" s="9" t="str">
        <f ca="1">IF($G578="","",INDEX(BASE_PRODUTOS!$L$2:$L$1006,$G578))</f>
        <v/>
      </c>
      <c r="J578" s="9" t="str">
        <f ca="1">IF($G578="","",INDEX(BASE_PRODUTOS!$A$2:$A$1006,$G578))</f>
        <v/>
      </c>
      <c r="K578" s="9" t="str">
        <f ca="1">IF($G578="","",INDEX(BASE_PRODUTOS!$C$2:$C$1006,$G578))</f>
        <v/>
      </c>
      <c r="L578" s="9" t="str">
        <f ca="1">IF($G578="","",INDEX(BASE_PRODUTOS!$E$2:$E$1006,$G578))</f>
        <v/>
      </c>
      <c r="M578" s="9" t="str">
        <f ca="1">IF($G578="","",INDEX(BASE_PRODUTOS!$F$2:$F$1006,$G578))</f>
        <v/>
      </c>
      <c r="N578" s="9" t="str">
        <f ca="1">IF($G578="","",INDEX(BASE_PRODUTOS!$G$2:$G$1006,$G578))</f>
        <v/>
      </c>
      <c r="O578" s="9" t="str">
        <f ca="1">IF($G578="","",INDEX(BASE_PRODUTOS!$H$2:$H$1006,$G578))</f>
        <v/>
      </c>
      <c r="P578" s="9" t="str">
        <f ca="1">IF($G578="","",INDEX(BASE_PRODUTOS!$I$2:$I$1006,$G578))</f>
        <v/>
      </c>
      <c r="Q578" s="9" t="str">
        <f ca="1">IF($G578="","",INDEX(BASE_PRODUTOS!$J$2:$J$1006,$G578))</f>
        <v/>
      </c>
      <c r="R578" s="9" t="str">
        <f ca="1">IF($G578="","",INDEX(BASE_PRODUTOS!$M$2:$M$1006,$G578))</f>
        <v/>
      </c>
      <c r="S578" s="9" t="str">
        <f ca="1">IF($G578="","",INDEX(BASE_PRODUTOS!$N$2:$N$1006,$G578))</f>
        <v/>
      </c>
      <c r="T578" s="9" t="str">
        <f ca="1">IF($G578="","",INDEX(BASE_PRODUTOS!$D$2:$D$1006,$G578))</f>
        <v/>
      </c>
    </row>
    <row r="579" spans="7:20" ht="18" customHeight="1" x14ac:dyDescent="0.35">
      <c r="G579" t="str">
        <f ca="1">IFERROR(_xludf.aggregate(15,6,(ROW(BASE_PRODUTOS!$L$2:$L$1006)-ROW(BASE_PRODUTOS!$L$2)+1)/(BASE_PRODUTOS!$L$2:$L$1006&gt;0),ROWS($G$10:G579)),"")</f>
        <v/>
      </c>
      <c r="H579" s="9" t="str">
        <f ca="1">IF($G579="","",INDEX(BASE_PRODUTOS!$B$2:$B$1006,$G579))</f>
        <v/>
      </c>
      <c r="I579" s="9" t="str">
        <f ca="1">IF($G579="","",INDEX(BASE_PRODUTOS!$L$2:$L$1006,$G579))</f>
        <v/>
      </c>
      <c r="J579" s="9" t="str">
        <f ca="1">IF($G579="","",INDEX(BASE_PRODUTOS!$A$2:$A$1006,$G579))</f>
        <v/>
      </c>
      <c r="K579" s="9" t="str">
        <f ca="1">IF($G579="","",INDEX(BASE_PRODUTOS!$C$2:$C$1006,$G579))</f>
        <v/>
      </c>
      <c r="L579" s="9" t="str">
        <f ca="1">IF($G579="","",INDEX(BASE_PRODUTOS!$E$2:$E$1006,$G579))</f>
        <v/>
      </c>
      <c r="M579" s="9" t="str">
        <f ca="1">IF($G579="","",INDEX(BASE_PRODUTOS!$F$2:$F$1006,$G579))</f>
        <v/>
      </c>
      <c r="N579" s="9" t="str">
        <f ca="1">IF($G579="","",INDEX(BASE_PRODUTOS!$G$2:$G$1006,$G579))</f>
        <v/>
      </c>
      <c r="O579" s="9" t="str">
        <f ca="1">IF($G579="","",INDEX(BASE_PRODUTOS!$H$2:$H$1006,$G579))</f>
        <v/>
      </c>
      <c r="P579" s="9" t="str">
        <f ca="1">IF($G579="","",INDEX(BASE_PRODUTOS!$I$2:$I$1006,$G579))</f>
        <v/>
      </c>
      <c r="Q579" s="9" t="str">
        <f ca="1">IF($G579="","",INDEX(BASE_PRODUTOS!$J$2:$J$1006,$G579))</f>
        <v/>
      </c>
      <c r="R579" s="9" t="str">
        <f ca="1">IF($G579="","",INDEX(BASE_PRODUTOS!$M$2:$M$1006,$G579))</f>
        <v/>
      </c>
      <c r="S579" s="9" t="str">
        <f ca="1">IF($G579="","",INDEX(BASE_PRODUTOS!$N$2:$N$1006,$G579))</f>
        <v/>
      </c>
      <c r="T579" s="9" t="str">
        <f ca="1">IF($G579="","",INDEX(BASE_PRODUTOS!$D$2:$D$1006,$G579))</f>
        <v/>
      </c>
    </row>
    <row r="580" spans="7:20" ht="18" customHeight="1" x14ac:dyDescent="0.35">
      <c r="G580" t="str">
        <f ca="1">IFERROR(_xludf.aggregate(15,6,(ROW(BASE_PRODUTOS!$L$2:$L$1006)-ROW(BASE_PRODUTOS!$L$2)+1)/(BASE_PRODUTOS!$L$2:$L$1006&gt;0),ROWS($G$10:G580)),"")</f>
        <v/>
      </c>
      <c r="H580" s="9" t="str">
        <f ca="1">IF($G580="","",INDEX(BASE_PRODUTOS!$B$2:$B$1006,$G580))</f>
        <v/>
      </c>
      <c r="I580" s="9" t="str">
        <f ca="1">IF($G580="","",INDEX(BASE_PRODUTOS!$L$2:$L$1006,$G580))</f>
        <v/>
      </c>
      <c r="J580" s="9" t="str">
        <f ca="1">IF($G580="","",INDEX(BASE_PRODUTOS!$A$2:$A$1006,$G580))</f>
        <v/>
      </c>
      <c r="K580" s="9" t="str">
        <f ca="1">IF($G580="","",INDEX(BASE_PRODUTOS!$C$2:$C$1006,$G580))</f>
        <v/>
      </c>
      <c r="L580" s="9" t="str">
        <f ca="1">IF($G580="","",INDEX(BASE_PRODUTOS!$E$2:$E$1006,$G580))</f>
        <v/>
      </c>
      <c r="M580" s="9" t="str">
        <f ca="1">IF($G580="","",INDEX(BASE_PRODUTOS!$F$2:$F$1006,$G580))</f>
        <v/>
      </c>
      <c r="N580" s="9" t="str">
        <f ca="1">IF($G580="","",INDEX(BASE_PRODUTOS!$G$2:$G$1006,$G580))</f>
        <v/>
      </c>
      <c r="O580" s="9" t="str">
        <f ca="1">IF($G580="","",INDEX(BASE_PRODUTOS!$H$2:$H$1006,$G580))</f>
        <v/>
      </c>
      <c r="P580" s="9" t="str">
        <f ca="1">IF($G580="","",INDEX(BASE_PRODUTOS!$I$2:$I$1006,$G580))</f>
        <v/>
      </c>
      <c r="Q580" s="9" t="str">
        <f ca="1">IF($G580="","",INDEX(BASE_PRODUTOS!$J$2:$J$1006,$G580))</f>
        <v/>
      </c>
      <c r="R580" s="9" t="str">
        <f ca="1">IF($G580="","",INDEX(BASE_PRODUTOS!$M$2:$M$1006,$G580))</f>
        <v/>
      </c>
      <c r="S580" s="9" t="str">
        <f ca="1">IF($G580="","",INDEX(BASE_PRODUTOS!$N$2:$N$1006,$G580))</f>
        <v/>
      </c>
      <c r="T580" s="9" t="str">
        <f ca="1">IF($G580="","",INDEX(BASE_PRODUTOS!$D$2:$D$1006,$G580))</f>
        <v/>
      </c>
    </row>
    <row r="581" spans="7:20" ht="18" customHeight="1" x14ac:dyDescent="0.35">
      <c r="G581" t="str">
        <f ca="1">IFERROR(_xludf.aggregate(15,6,(ROW(BASE_PRODUTOS!$L$2:$L$1006)-ROW(BASE_PRODUTOS!$L$2)+1)/(BASE_PRODUTOS!$L$2:$L$1006&gt;0),ROWS($G$10:G581)),"")</f>
        <v/>
      </c>
      <c r="H581" s="9" t="str">
        <f ca="1">IF($G581="","",INDEX(BASE_PRODUTOS!$B$2:$B$1006,$G581))</f>
        <v/>
      </c>
      <c r="I581" s="9" t="str">
        <f ca="1">IF($G581="","",INDEX(BASE_PRODUTOS!$L$2:$L$1006,$G581))</f>
        <v/>
      </c>
      <c r="J581" s="9" t="str">
        <f ca="1">IF($G581="","",INDEX(BASE_PRODUTOS!$A$2:$A$1006,$G581))</f>
        <v/>
      </c>
      <c r="K581" s="9" t="str">
        <f ca="1">IF($G581="","",INDEX(BASE_PRODUTOS!$C$2:$C$1006,$G581))</f>
        <v/>
      </c>
      <c r="L581" s="9" t="str">
        <f ca="1">IF($G581="","",INDEX(BASE_PRODUTOS!$E$2:$E$1006,$G581))</f>
        <v/>
      </c>
      <c r="M581" s="9" t="str">
        <f ca="1">IF($G581="","",INDEX(BASE_PRODUTOS!$F$2:$F$1006,$G581))</f>
        <v/>
      </c>
      <c r="N581" s="9" t="str">
        <f ca="1">IF($G581="","",INDEX(BASE_PRODUTOS!$G$2:$G$1006,$G581))</f>
        <v/>
      </c>
      <c r="O581" s="9" t="str">
        <f ca="1">IF($G581="","",INDEX(BASE_PRODUTOS!$H$2:$H$1006,$G581))</f>
        <v/>
      </c>
      <c r="P581" s="9" t="str">
        <f ca="1">IF($G581="","",INDEX(BASE_PRODUTOS!$I$2:$I$1006,$G581))</f>
        <v/>
      </c>
      <c r="Q581" s="9" t="str">
        <f ca="1">IF($G581="","",INDEX(BASE_PRODUTOS!$J$2:$J$1006,$G581))</f>
        <v/>
      </c>
      <c r="R581" s="9" t="str">
        <f ca="1">IF($G581="","",INDEX(BASE_PRODUTOS!$M$2:$M$1006,$G581))</f>
        <v/>
      </c>
      <c r="S581" s="9" t="str">
        <f ca="1">IF($G581="","",INDEX(BASE_PRODUTOS!$N$2:$N$1006,$G581))</f>
        <v/>
      </c>
      <c r="T581" s="9" t="str">
        <f ca="1">IF($G581="","",INDEX(BASE_PRODUTOS!$D$2:$D$1006,$G581))</f>
        <v/>
      </c>
    </row>
    <row r="582" spans="7:20" ht="18" customHeight="1" x14ac:dyDescent="0.35">
      <c r="G582" t="str">
        <f ca="1">IFERROR(_xludf.aggregate(15,6,(ROW(BASE_PRODUTOS!$L$2:$L$1006)-ROW(BASE_PRODUTOS!$L$2)+1)/(BASE_PRODUTOS!$L$2:$L$1006&gt;0),ROWS($G$10:G582)),"")</f>
        <v/>
      </c>
      <c r="H582" s="9" t="str">
        <f ca="1">IF($G582="","",INDEX(BASE_PRODUTOS!$B$2:$B$1006,$G582))</f>
        <v/>
      </c>
      <c r="I582" s="9" t="str">
        <f ca="1">IF($G582="","",INDEX(BASE_PRODUTOS!$L$2:$L$1006,$G582))</f>
        <v/>
      </c>
      <c r="J582" s="9" t="str">
        <f ca="1">IF($G582="","",INDEX(BASE_PRODUTOS!$A$2:$A$1006,$G582))</f>
        <v/>
      </c>
      <c r="K582" s="9" t="str">
        <f ca="1">IF($G582="","",INDEX(BASE_PRODUTOS!$C$2:$C$1006,$G582))</f>
        <v/>
      </c>
      <c r="L582" s="9" t="str">
        <f ca="1">IF($G582="","",INDEX(BASE_PRODUTOS!$E$2:$E$1006,$G582))</f>
        <v/>
      </c>
      <c r="M582" s="9" t="str">
        <f ca="1">IF($G582="","",INDEX(BASE_PRODUTOS!$F$2:$F$1006,$G582))</f>
        <v/>
      </c>
      <c r="N582" s="9" t="str">
        <f ca="1">IF($G582="","",INDEX(BASE_PRODUTOS!$G$2:$G$1006,$G582))</f>
        <v/>
      </c>
      <c r="O582" s="9" t="str">
        <f ca="1">IF($G582="","",INDEX(BASE_PRODUTOS!$H$2:$H$1006,$G582))</f>
        <v/>
      </c>
      <c r="P582" s="9" t="str">
        <f ca="1">IF($G582="","",INDEX(BASE_PRODUTOS!$I$2:$I$1006,$G582))</f>
        <v/>
      </c>
      <c r="Q582" s="9" t="str">
        <f ca="1">IF($G582="","",INDEX(BASE_PRODUTOS!$J$2:$J$1006,$G582))</f>
        <v/>
      </c>
      <c r="R582" s="9" t="str">
        <f ca="1">IF($G582="","",INDEX(BASE_PRODUTOS!$M$2:$M$1006,$G582))</f>
        <v/>
      </c>
      <c r="S582" s="9" t="str">
        <f ca="1">IF($G582="","",INDEX(BASE_PRODUTOS!$N$2:$N$1006,$G582))</f>
        <v/>
      </c>
      <c r="T582" s="9" t="str">
        <f ca="1">IF($G582="","",INDEX(BASE_PRODUTOS!$D$2:$D$1006,$G582))</f>
        <v/>
      </c>
    </row>
    <row r="583" spans="7:20" ht="18" customHeight="1" x14ac:dyDescent="0.35">
      <c r="G583" t="str">
        <f ca="1">IFERROR(_xludf.aggregate(15,6,(ROW(BASE_PRODUTOS!$L$2:$L$1006)-ROW(BASE_PRODUTOS!$L$2)+1)/(BASE_PRODUTOS!$L$2:$L$1006&gt;0),ROWS($G$10:G583)),"")</f>
        <v/>
      </c>
      <c r="H583" s="9" t="str">
        <f ca="1">IF($G583="","",INDEX(BASE_PRODUTOS!$B$2:$B$1006,$G583))</f>
        <v/>
      </c>
      <c r="I583" s="9" t="str">
        <f ca="1">IF($G583="","",INDEX(BASE_PRODUTOS!$L$2:$L$1006,$G583))</f>
        <v/>
      </c>
      <c r="J583" s="9" t="str">
        <f ca="1">IF($G583="","",INDEX(BASE_PRODUTOS!$A$2:$A$1006,$G583))</f>
        <v/>
      </c>
      <c r="K583" s="9" t="str">
        <f ca="1">IF($G583="","",INDEX(BASE_PRODUTOS!$C$2:$C$1006,$G583))</f>
        <v/>
      </c>
      <c r="L583" s="9" t="str">
        <f ca="1">IF($G583="","",INDEX(BASE_PRODUTOS!$E$2:$E$1006,$G583))</f>
        <v/>
      </c>
      <c r="M583" s="9" t="str">
        <f ca="1">IF($G583="","",INDEX(BASE_PRODUTOS!$F$2:$F$1006,$G583))</f>
        <v/>
      </c>
      <c r="N583" s="9" t="str">
        <f ca="1">IF($G583="","",INDEX(BASE_PRODUTOS!$G$2:$G$1006,$G583))</f>
        <v/>
      </c>
      <c r="O583" s="9" t="str">
        <f ca="1">IF($G583="","",INDEX(BASE_PRODUTOS!$H$2:$H$1006,$G583))</f>
        <v/>
      </c>
      <c r="P583" s="9" t="str">
        <f ca="1">IF($G583="","",INDEX(BASE_PRODUTOS!$I$2:$I$1006,$G583))</f>
        <v/>
      </c>
      <c r="Q583" s="9" t="str">
        <f ca="1">IF($G583="","",INDEX(BASE_PRODUTOS!$J$2:$J$1006,$G583))</f>
        <v/>
      </c>
      <c r="R583" s="9" t="str">
        <f ca="1">IF($G583="","",INDEX(BASE_PRODUTOS!$M$2:$M$1006,$G583))</f>
        <v/>
      </c>
      <c r="S583" s="9" t="str">
        <f ca="1">IF($G583="","",INDEX(BASE_PRODUTOS!$N$2:$N$1006,$G583))</f>
        <v/>
      </c>
      <c r="T583" s="9" t="str">
        <f ca="1">IF($G583="","",INDEX(BASE_PRODUTOS!$D$2:$D$1006,$G583))</f>
        <v/>
      </c>
    </row>
    <row r="584" spans="7:20" ht="18" customHeight="1" x14ac:dyDescent="0.35">
      <c r="G584" t="str">
        <f ca="1">IFERROR(_xludf.aggregate(15,6,(ROW(BASE_PRODUTOS!$L$2:$L$1006)-ROW(BASE_PRODUTOS!$L$2)+1)/(BASE_PRODUTOS!$L$2:$L$1006&gt;0),ROWS($G$10:G584)),"")</f>
        <v/>
      </c>
      <c r="H584" s="9" t="str">
        <f ca="1">IF($G584="","",INDEX(BASE_PRODUTOS!$B$2:$B$1006,$G584))</f>
        <v/>
      </c>
      <c r="I584" s="9" t="str">
        <f ca="1">IF($G584="","",INDEX(BASE_PRODUTOS!$L$2:$L$1006,$G584))</f>
        <v/>
      </c>
      <c r="J584" s="9" t="str">
        <f ca="1">IF($G584="","",INDEX(BASE_PRODUTOS!$A$2:$A$1006,$G584))</f>
        <v/>
      </c>
      <c r="K584" s="9" t="str">
        <f ca="1">IF($G584="","",INDEX(BASE_PRODUTOS!$C$2:$C$1006,$G584))</f>
        <v/>
      </c>
      <c r="L584" s="9" t="str">
        <f ca="1">IF($G584="","",INDEX(BASE_PRODUTOS!$E$2:$E$1006,$G584))</f>
        <v/>
      </c>
      <c r="M584" s="9" t="str">
        <f ca="1">IF($G584="","",INDEX(BASE_PRODUTOS!$F$2:$F$1006,$G584))</f>
        <v/>
      </c>
      <c r="N584" s="9" t="str">
        <f ca="1">IF($G584="","",INDEX(BASE_PRODUTOS!$G$2:$G$1006,$G584))</f>
        <v/>
      </c>
      <c r="O584" s="9" t="str">
        <f ca="1">IF($G584="","",INDEX(BASE_PRODUTOS!$H$2:$H$1006,$G584))</f>
        <v/>
      </c>
      <c r="P584" s="9" t="str">
        <f ca="1">IF($G584="","",INDEX(BASE_PRODUTOS!$I$2:$I$1006,$G584))</f>
        <v/>
      </c>
      <c r="Q584" s="9" t="str">
        <f ca="1">IF($G584="","",INDEX(BASE_PRODUTOS!$J$2:$J$1006,$G584))</f>
        <v/>
      </c>
      <c r="R584" s="9" t="str">
        <f ca="1">IF($G584="","",INDEX(BASE_PRODUTOS!$M$2:$M$1006,$G584))</f>
        <v/>
      </c>
      <c r="S584" s="9" t="str">
        <f ca="1">IF($G584="","",INDEX(BASE_PRODUTOS!$N$2:$N$1006,$G584))</f>
        <v/>
      </c>
      <c r="T584" s="9" t="str">
        <f ca="1">IF($G584="","",INDEX(BASE_PRODUTOS!$D$2:$D$1006,$G584))</f>
        <v/>
      </c>
    </row>
    <row r="585" spans="7:20" ht="18" customHeight="1" x14ac:dyDescent="0.35">
      <c r="G585" t="str">
        <f ca="1">IFERROR(_xludf.aggregate(15,6,(ROW(BASE_PRODUTOS!$L$2:$L$1006)-ROW(BASE_PRODUTOS!$L$2)+1)/(BASE_PRODUTOS!$L$2:$L$1006&gt;0),ROWS($G$10:G585)),"")</f>
        <v/>
      </c>
      <c r="H585" s="9" t="str">
        <f ca="1">IF($G585="","",INDEX(BASE_PRODUTOS!$B$2:$B$1006,$G585))</f>
        <v/>
      </c>
      <c r="I585" s="9" t="str">
        <f ca="1">IF($G585="","",INDEX(BASE_PRODUTOS!$L$2:$L$1006,$G585))</f>
        <v/>
      </c>
      <c r="J585" s="9" t="str">
        <f ca="1">IF($G585="","",INDEX(BASE_PRODUTOS!$A$2:$A$1006,$G585))</f>
        <v/>
      </c>
      <c r="K585" s="9" t="str">
        <f ca="1">IF($G585="","",INDEX(BASE_PRODUTOS!$C$2:$C$1006,$G585))</f>
        <v/>
      </c>
      <c r="L585" s="9" t="str">
        <f ca="1">IF($G585="","",INDEX(BASE_PRODUTOS!$E$2:$E$1006,$G585))</f>
        <v/>
      </c>
      <c r="M585" s="9" t="str">
        <f ca="1">IF($G585="","",INDEX(BASE_PRODUTOS!$F$2:$F$1006,$G585))</f>
        <v/>
      </c>
      <c r="N585" s="9" t="str">
        <f ca="1">IF($G585="","",INDEX(BASE_PRODUTOS!$G$2:$G$1006,$G585))</f>
        <v/>
      </c>
      <c r="O585" s="9" t="str">
        <f ca="1">IF($G585="","",INDEX(BASE_PRODUTOS!$H$2:$H$1006,$G585))</f>
        <v/>
      </c>
      <c r="P585" s="9" t="str">
        <f ca="1">IF($G585="","",INDEX(BASE_PRODUTOS!$I$2:$I$1006,$G585))</f>
        <v/>
      </c>
      <c r="Q585" s="9" t="str">
        <f ca="1">IF($G585="","",INDEX(BASE_PRODUTOS!$J$2:$J$1006,$G585))</f>
        <v/>
      </c>
      <c r="R585" s="9" t="str">
        <f ca="1">IF($G585="","",INDEX(BASE_PRODUTOS!$M$2:$M$1006,$G585))</f>
        <v/>
      </c>
      <c r="S585" s="9" t="str">
        <f ca="1">IF($G585="","",INDEX(BASE_PRODUTOS!$N$2:$N$1006,$G585))</f>
        <v/>
      </c>
      <c r="T585" s="9" t="str">
        <f ca="1">IF($G585="","",INDEX(BASE_PRODUTOS!$D$2:$D$1006,$G585))</f>
        <v/>
      </c>
    </row>
    <row r="586" spans="7:20" ht="18" customHeight="1" x14ac:dyDescent="0.35">
      <c r="G586" t="str">
        <f ca="1">IFERROR(_xludf.aggregate(15,6,(ROW(BASE_PRODUTOS!$L$2:$L$1006)-ROW(BASE_PRODUTOS!$L$2)+1)/(BASE_PRODUTOS!$L$2:$L$1006&gt;0),ROWS($G$10:G586)),"")</f>
        <v/>
      </c>
      <c r="H586" s="9" t="str">
        <f ca="1">IF($G586="","",INDEX(BASE_PRODUTOS!$B$2:$B$1006,$G586))</f>
        <v/>
      </c>
      <c r="I586" s="9" t="str">
        <f ca="1">IF($G586="","",INDEX(BASE_PRODUTOS!$L$2:$L$1006,$G586))</f>
        <v/>
      </c>
      <c r="J586" s="9" t="str">
        <f ca="1">IF($G586="","",INDEX(BASE_PRODUTOS!$A$2:$A$1006,$G586))</f>
        <v/>
      </c>
      <c r="K586" s="9" t="str">
        <f ca="1">IF($G586="","",INDEX(BASE_PRODUTOS!$C$2:$C$1006,$G586))</f>
        <v/>
      </c>
      <c r="L586" s="9" t="str">
        <f ca="1">IF($G586="","",INDEX(BASE_PRODUTOS!$E$2:$E$1006,$G586))</f>
        <v/>
      </c>
      <c r="M586" s="9" t="str">
        <f ca="1">IF($G586="","",INDEX(BASE_PRODUTOS!$F$2:$F$1006,$G586))</f>
        <v/>
      </c>
      <c r="N586" s="9" t="str">
        <f ca="1">IF($G586="","",INDEX(BASE_PRODUTOS!$G$2:$G$1006,$G586))</f>
        <v/>
      </c>
      <c r="O586" s="9" t="str">
        <f ca="1">IF($G586="","",INDEX(BASE_PRODUTOS!$H$2:$H$1006,$G586))</f>
        <v/>
      </c>
      <c r="P586" s="9" t="str">
        <f ca="1">IF($G586="","",INDEX(BASE_PRODUTOS!$I$2:$I$1006,$G586))</f>
        <v/>
      </c>
      <c r="Q586" s="9" t="str">
        <f ca="1">IF($G586="","",INDEX(BASE_PRODUTOS!$J$2:$J$1006,$G586))</f>
        <v/>
      </c>
      <c r="R586" s="9" t="str">
        <f ca="1">IF($G586="","",INDEX(BASE_PRODUTOS!$M$2:$M$1006,$G586))</f>
        <v/>
      </c>
      <c r="S586" s="9" t="str">
        <f ca="1">IF($G586="","",INDEX(BASE_PRODUTOS!$N$2:$N$1006,$G586))</f>
        <v/>
      </c>
      <c r="T586" s="9" t="str">
        <f ca="1">IF($G586="","",INDEX(BASE_PRODUTOS!$D$2:$D$1006,$G586))</f>
        <v/>
      </c>
    </row>
    <row r="587" spans="7:20" ht="18" customHeight="1" x14ac:dyDescent="0.35">
      <c r="G587" t="str">
        <f ca="1">IFERROR(_xludf.aggregate(15,6,(ROW(BASE_PRODUTOS!$L$2:$L$1006)-ROW(BASE_PRODUTOS!$L$2)+1)/(BASE_PRODUTOS!$L$2:$L$1006&gt;0),ROWS($G$10:G587)),"")</f>
        <v/>
      </c>
      <c r="H587" s="9" t="str">
        <f ca="1">IF($G587="","",INDEX(BASE_PRODUTOS!$B$2:$B$1006,$G587))</f>
        <v/>
      </c>
      <c r="I587" s="9" t="str">
        <f ca="1">IF($G587="","",INDEX(BASE_PRODUTOS!$L$2:$L$1006,$G587))</f>
        <v/>
      </c>
      <c r="J587" s="9" t="str">
        <f ca="1">IF($G587="","",INDEX(BASE_PRODUTOS!$A$2:$A$1006,$G587))</f>
        <v/>
      </c>
      <c r="K587" s="9" t="str">
        <f ca="1">IF($G587="","",INDEX(BASE_PRODUTOS!$C$2:$C$1006,$G587))</f>
        <v/>
      </c>
      <c r="L587" s="9" t="str">
        <f ca="1">IF($G587="","",INDEX(BASE_PRODUTOS!$E$2:$E$1006,$G587))</f>
        <v/>
      </c>
      <c r="M587" s="9" t="str">
        <f ca="1">IF($G587="","",INDEX(BASE_PRODUTOS!$F$2:$F$1006,$G587))</f>
        <v/>
      </c>
      <c r="N587" s="9" t="str">
        <f ca="1">IF($G587="","",INDEX(BASE_PRODUTOS!$G$2:$G$1006,$G587))</f>
        <v/>
      </c>
      <c r="O587" s="9" t="str">
        <f ca="1">IF($G587="","",INDEX(BASE_PRODUTOS!$H$2:$H$1006,$G587))</f>
        <v/>
      </c>
      <c r="P587" s="9" t="str">
        <f ca="1">IF($G587="","",INDEX(BASE_PRODUTOS!$I$2:$I$1006,$G587))</f>
        <v/>
      </c>
      <c r="Q587" s="9" t="str">
        <f ca="1">IF($G587="","",INDEX(BASE_PRODUTOS!$J$2:$J$1006,$G587))</f>
        <v/>
      </c>
      <c r="R587" s="9" t="str">
        <f ca="1">IF($G587="","",INDEX(BASE_PRODUTOS!$M$2:$M$1006,$G587))</f>
        <v/>
      </c>
      <c r="S587" s="9" t="str">
        <f ca="1">IF($G587="","",INDEX(BASE_PRODUTOS!$N$2:$N$1006,$G587))</f>
        <v/>
      </c>
      <c r="T587" s="9" t="str">
        <f ca="1">IF($G587="","",INDEX(BASE_PRODUTOS!$D$2:$D$1006,$G587))</f>
        <v/>
      </c>
    </row>
    <row r="588" spans="7:20" ht="18" customHeight="1" x14ac:dyDescent="0.35">
      <c r="G588" t="str">
        <f ca="1">IFERROR(_xludf.aggregate(15,6,(ROW(BASE_PRODUTOS!$L$2:$L$1006)-ROW(BASE_PRODUTOS!$L$2)+1)/(BASE_PRODUTOS!$L$2:$L$1006&gt;0),ROWS($G$10:G588)),"")</f>
        <v/>
      </c>
      <c r="H588" s="9" t="str">
        <f ca="1">IF($G588="","",INDEX(BASE_PRODUTOS!$B$2:$B$1006,$G588))</f>
        <v/>
      </c>
      <c r="I588" s="9" t="str">
        <f ca="1">IF($G588="","",INDEX(BASE_PRODUTOS!$L$2:$L$1006,$G588))</f>
        <v/>
      </c>
      <c r="J588" s="9" t="str">
        <f ca="1">IF($G588="","",INDEX(BASE_PRODUTOS!$A$2:$A$1006,$G588))</f>
        <v/>
      </c>
      <c r="K588" s="9" t="str">
        <f ca="1">IF($G588="","",INDEX(BASE_PRODUTOS!$C$2:$C$1006,$G588))</f>
        <v/>
      </c>
      <c r="L588" s="9" t="str">
        <f ca="1">IF($G588="","",INDEX(BASE_PRODUTOS!$E$2:$E$1006,$G588))</f>
        <v/>
      </c>
      <c r="M588" s="9" t="str">
        <f ca="1">IF($G588="","",INDEX(BASE_PRODUTOS!$F$2:$F$1006,$G588))</f>
        <v/>
      </c>
      <c r="N588" s="9" t="str">
        <f ca="1">IF($G588="","",INDEX(BASE_PRODUTOS!$G$2:$G$1006,$G588))</f>
        <v/>
      </c>
      <c r="O588" s="9" t="str">
        <f ca="1">IF($G588="","",INDEX(BASE_PRODUTOS!$H$2:$H$1006,$G588))</f>
        <v/>
      </c>
      <c r="P588" s="9" t="str">
        <f ca="1">IF($G588="","",INDEX(BASE_PRODUTOS!$I$2:$I$1006,$G588))</f>
        <v/>
      </c>
      <c r="Q588" s="9" t="str">
        <f ca="1">IF($G588="","",INDEX(BASE_PRODUTOS!$J$2:$J$1006,$G588))</f>
        <v/>
      </c>
      <c r="R588" s="9" t="str">
        <f ca="1">IF($G588="","",INDEX(BASE_PRODUTOS!$M$2:$M$1006,$G588))</f>
        <v/>
      </c>
      <c r="S588" s="9" t="str">
        <f ca="1">IF($G588="","",INDEX(BASE_PRODUTOS!$N$2:$N$1006,$G588))</f>
        <v/>
      </c>
      <c r="T588" s="9" t="str">
        <f ca="1">IF($G588="","",INDEX(BASE_PRODUTOS!$D$2:$D$1006,$G588))</f>
        <v/>
      </c>
    </row>
    <row r="589" spans="7:20" ht="18" customHeight="1" x14ac:dyDescent="0.35">
      <c r="G589" t="str">
        <f ca="1">IFERROR(_xludf.aggregate(15,6,(ROW(BASE_PRODUTOS!$L$2:$L$1006)-ROW(BASE_PRODUTOS!$L$2)+1)/(BASE_PRODUTOS!$L$2:$L$1006&gt;0),ROWS($G$10:G589)),"")</f>
        <v/>
      </c>
      <c r="H589" s="9" t="str">
        <f ca="1">IF($G589="","",INDEX(BASE_PRODUTOS!$B$2:$B$1006,$G589))</f>
        <v/>
      </c>
      <c r="I589" s="9" t="str">
        <f ca="1">IF($G589="","",INDEX(BASE_PRODUTOS!$L$2:$L$1006,$G589))</f>
        <v/>
      </c>
      <c r="J589" s="9" t="str">
        <f ca="1">IF($G589="","",INDEX(BASE_PRODUTOS!$A$2:$A$1006,$G589))</f>
        <v/>
      </c>
      <c r="K589" s="9" t="str">
        <f ca="1">IF($G589="","",INDEX(BASE_PRODUTOS!$C$2:$C$1006,$G589))</f>
        <v/>
      </c>
      <c r="L589" s="9" t="str">
        <f ca="1">IF($G589="","",INDEX(BASE_PRODUTOS!$E$2:$E$1006,$G589))</f>
        <v/>
      </c>
      <c r="M589" s="9" t="str">
        <f ca="1">IF($G589="","",INDEX(BASE_PRODUTOS!$F$2:$F$1006,$G589))</f>
        <v/>
      </c>
      <c r="N589" s="9" t="str">
        <f ca="1">IF($G589="","",INDEX(BASE_PRODUTOS!$G$2:$G$1006,$G589))</f>
        <v/>
      </c>
      <c r="O589" s="9" t="str">
        <f ca="1">IF($G589="","",INDEX(BASE_PRODUTOS!$H$2:$H$1006,$G589))</f>
        <v/>
      </c>
      <c r="P589" s="9" t="str">
        <f ca="1">IF($G589="","",INDEX(BASE_PRODUTOS!$I$2:$I$1006,$G589))</f>
        <v/>
      </c>
      <c r="Q589" s="9" t="str">
        <f ca="1">IF($G589="","",INDEX(BASE_PRODUTOS!$J$2:$J$1006,$G589))</f>
        <v/>
      </c>
      <c r="R589" s="9" t="str">
        <f ca="1">IF($G589="","",INDEX(BASE_PRODUTOS!$M$2:$M$1006,$G589))</f>
        <v/>
      </c>
      <c r="S589" s="9" t="str">
        <f ca="1">IF($G589="","",INDEX(BASE_PRODUTOS!$N$2:$N$1006,$G589))</f>
        <v/>
      </c>
      <c r="T589" s="9" t="str">
        <f ca="1">IF($G589="","",INDEX(BASE_PRODUTOS!$D$2:$D$1006,$G589))</f>
        <v/>
      </c>
    </row>
    <row r="590" spans="7:20" ht="18" customHeight="1" x14ac:dyDescent="0.35">
      <c r="G590" t="str">
        <f ca="1">IFERROR(_xludf.aggregate(15,6,(ROW(BASE_PRODUTOS!$L$2:$L$1006)-ROW(BASE_PRODUTOS!$L$2)+1)/(BASE_PRODUTOS!$L$2:$L$1006&gt;0),ROWS($G$10:G590)),"")</f>
        <v/>
      </c>
      <c r="H590" s="9" t="str">
        <f ca="1">IF($G590="","",INDEX(BASE_PRODUTOS!$B$2:$B$1006,$G590))</f>
        <v/>
      </c>
      <c r="I590" s="9" t="str">
        <f ca="1">IF($G590="","",INDEX(BASE_PRODUTOS!$L$2:$L$1006,$G590))</f>
        <v/>
      </c>
      <c r="J590" s="9" t="str">
        <f ca="1">IF($G590="","",INDEX(BASE_PRODUTOS!$A$2:$A$1006,$G590))</f>
        <v/>
      </c>
      <c r="K590" s="9" t="str">
        <f ca="1">IF($G590="","",INDEX(BASE_PRODUTOS!$C$2:$C$1006,$G590))</f>
        <v/>
      </c>
      <c r="L590" s="9" t="str">
        <f ca="1">IF($G590="","",INDEX(BASE_PRODUTOS!$E$2:$E$1006,$G590))</f>
        <v/>
      </c>
      <c r="M590" s="9" t="str">
        <f ca="1">IF($G590="","",INDEX(BASE_PRODUTOS!$F$2:$F$1006,$G590))</f>
        <v/>
      </c>
      <c r="N590" s="9" t="str">
        <f ca="1">IF($G590="","",INDEX(BASE_PRODUTOS!$G$2:$G$1006,$G590))</f>
        <v/>
      </c>
      <c r="O590" s="9" t="str">
        <f ca="1">IF($G590="","",INDEX(BASE_PRODUTOS!$H$2:$H$1006,$G590))</f>
        <v/>
      </c>
      <c r="P590" s="9" t="str">
        <f ca="1">IF($G590="","",INDEX(BASE_PRODUTOS!$I$2:$I$1006,$G590))</f>
        <v/>
      </c>
      <c r="Q590" s="9" t="str">
        <f ca="1">IF($G590="","",INDEX(BASE_PRODUTOS!$J$2:$J$1006,$G590))</f>
        <v/>
      </c>
      <c r="R590" s="9" t="str">
        <f ca="1">IF($G590="","",INDEX(BASE_PRODUTOS!$M$2:$M$1006,$G590))</f>
        <v/>
      </c>
      <c r="S590" s="9" t="str">
        <f ca="1">IF($G590="","",INDEX(BASE_PRODUTOS!$N$2:$N$1006,$G590))</f>
        <v/>
      </c>
      <c r="T590" s="9" t="str">
        <f ca="1">IF($G590="","",INDEX(BASE_PRODUTOS!$D$2:$D$1006,$G590))</f>
        <v/>
      </c>
    </row>
    <row r="591" spans="7:20" ht="18" customHeight="1" x14ac:dyDescent="0.35">
      <c r="G591" t="str">
        <f ca="1">IFERROR(_xludf.aggregate(15,6,(ROW(BASE_PRODUTOS!$L$2:$L$1006)-ROW(BASE_PRODUTOS!$L$2)+1)/(BASE_PRODUTOS!$L$2:$L$1006&gt;0),ROWS($G$10:G591)),"")</f>
        <v/>
      </c>
      <c r="H591" s="9" t="str">
        <f ca="1">IF($G591="","",INDEX(BASE_PRODUTOS!$B$2:$B$1006,$G591))</f>
        <v/>
      </c>
      <c r="I591" s="9" t="str">
        <f ca="1">IF($G591="","",INDEX(BASE_PRODUTOS!$L$2:$L$1006,$G591))</f>
        <v/>
      </c>
      <c r="J591" s="9" t="str">
        <f ca="1">IF($G591="","",INDEX(BASE_PRODUTOS!$A$2:$A$1006,$G591))</f>
        <v/>
      </c>
      <c r="K591" s="9" t="str">
        <f ca="1">IF($G591="","",INDEX(BASE_PRODUTOS!$C$2:$C$1006,$G591))</f>
        <v/>
      </c>
      <c r="L591" s="9" t="str">
        <f ca="1">IF($G591="","",INDEX(BASE_PRODUTOS!$E$2:$E$1006,$G591))</f>
        <v/>
      </c>
      <c r="M591" s="9" t="str">
        <f ca="1">IF($G591="","",INDEX(BASE_PRODUTOS!$F$2:$F$1006,$G591))</f>
        <v/>
      </c>
      <c r="N591" s="9" t="str">
        <f ca="1">IF($G591="","",INDEX(BASE_PRODUTOS!$G$2:$G$1006,$G591))</f>
        <v/>
      </c>
      <c r="O591" s="9" t="str">
        <f ca="1">IF($G591="","",INDEX(BASE_PRODUTOS!$H$2:$H$1006,$G591))</f>
        <v/>
      </c>
      <c r="P591" s="9" t="str">
        <f ca="1">IF($G591="","",INDEX(BASE_PRODUTOS!$I$2:$I$1006,$G591))</f>
        <v/>
      </c>
      <c r="Q591" s="9" t="str">
        <f ca="1">IF($G591="","",INDEX(BASE_PRODUTOS!$J$2:$J$1006,$G591))</f>
        <v/>
      </c>
      <c r="R591" s="9" t="str">
        <f ca="1">IF($G591="","",INDEX(BASE_PRODUTOS!$M$2:$M$1006,$G591))</f>
        <v/>
      </c>
      <c r="S591" s="9" t="str">
        <f ca="1">IF($G591="","",INDEX(BASE_PRODUTOS!$N$2:$N$1006,$G591))</f>
        <v/>
      </c>
      <c r="T591" s="9" t="str">
        <f ca="1">IF($G591="","",INDEX(BASE_PRODUTOS!$D$2:$D$1006,$G591))</f>
        <v/>
      </c>
    </row>
    <row r="592" spans="7:20" ht="18" customHeight="1" x14ac:dyDescent="0.35">
      <c r="G592" t="str">
        <f ca="1">IFERROR(_xludf.aggregate(15,6,(ROW(BASE_PRODUTOS!$L$2:$L$1006)-ROW(BASE_PRODUTOS!$L$2)+1)/(BASE_PRODUTOS!$L$2:$L$1006&gt;0),ROWS($G$10:G592)),"")</f>
        <v/>
      </c>
      <c r="H592" s="9" t="str">
        <f ca="1">IF($G592="","",INDEX(BASE_PRODUTOS!$B$2:$B$1006,$G592))</f>
        <v/>
      </c>
      <c r="I592" s="9" t="str">
        <f ca="1">IF($G592="","",INDEX(BASE_PRODUTOS!$L$2:$L$1006,$G592))</f>
        <v/>
      </c>
      <c r="J592" s="9" t="str">
        <f ca="1">IF($G592="","",INDEX(BASE_PRODUTOS!$A$2:$A$1006,$G592))</f>
        <v/>
      </c>
      <c r="K592" s="9" t="str">
        <f ca="1">IF($G592="","",INDEX(BASE_PRODUTOS!$C$2:$C$1006,$G592))</f>
        <v/>
      </c>
      <c r="L592" s="9" t="str">
        <f ca="1">IF($G592="","",INDEX(BASE_PRODUTOS!$E$2:$E$1006,$G592))</f>
        <v/>
      </c>
      <c r="M592" s="9" t="str">
        <f ca="1">IF($G592="","",INDEX(BASE_PRODUTOS!$F$2:$F$1006,$G592))</f>
        <v/>
      </c>
      <c r="N592" s="9" t="str">
        <f ca="1">IF($G592="","",INDEX(BASE_PRODUTOS!$G$2:$G$1006,$G592))</f>
        <v/>
      </c>
      <c r="O592" s="9" t="str">
        <f ca="1">IF($G592="","",INDEX(BASE_PRODUTOS!$H$2:$H$1006,$G592))</f>
        <v/>
      </c>
      <c r="P592" s="9" t="str">
        <f ca="1">IF($G592="","",INDEX(BASE_PRODUTOS!$I$2:$I$1006,$G592))</f>
        <v/>
      </c>
      <c r="Q592" s="9" t="str">
        <f ca="1">IF($G592="","",INDEX(BASE_PRODUTOS!$J$2:$J$1006,$G592))</f>
        <v/>
      </c>
      <c r="R592" s="9" t="str">
        <f ca="1">IF($G592="","",INDEX(BASE_PRODUTOS!$M$2:$M$1006,$G592))</f>
        <v/>
      </c>
      <c r="S592" s="9" t="str">
        <f ca="1">IF($G592="","",INDEX(BASE_PRODUTOS!$N$2:$N$1006,$G592))</f>
        <v/>
      </c>
      <c r="T592" s="9" t="str">
        <f ca="1">IF($G592="","",INDEX(BASE_PRODUTOS!$D$2:$D$1006,$G592))</f>
        <v/>
      </c>
    </row>
    <row r="593" spans="7:20" ht="18" customHeight="1" x14ac:dyDescent="0.35">
      <c r="G593" t="str">
        <f ca="1">IFERROR(_xludf.aggregate(15,6,(ROW(BASE_PRODUTOS!$L$2:$L$1006)-ROW(BASE_PRODUTOS!$L$2)+1)/(BASE_PRODUTOS!$L$2:$L$1006&gt;0),ROWS($G$10:G593)),"")</f>
        <v/>
      </c>
      <c r="H593" s="9" t="str">
        <f ca="1">IF($G593="","",INDEX(BASE_PRODUTOS!$B$2:$B$1006,$G593))</f>
        <v/>
      </c>
      <c r="I593" s="9" t="str">
        <f ca="1">IF($G593="","",INDEX(BASE_PRODUTOS!$L$2:$L$1006,$G593))</f>
        <v/>
      </c>
      <c r="J593" s="9" t="str">
        <f ca="1">IF($G593="","",INDEX(BASE_PRODUTOS!$A$2:$A$1006,$G593))</f>
        <v/>
      </c>
      <c r="K593" s="9" t="str">
        <f ca="1">IF($G593="","",INDEX(BASE_PRODUTOS!$C$2:$C$1006,$G593))</f>
        <v/>
      </c>
      <c r="L593" s="9" t="str">
        <f ca="1">IF($G593="","",INDEX(BASE_PRODUTOS!$E$2:$E$1006,$G593))</f>
        <v/>
      </c>
      <c r="M593" s="9" t="str">
        <f ca="1">IF($G593="","",INDEX(BASE_PRODUTOS!$F$2:$F$1006,$G593))</f>
        <v/>
      </c>
      <c r="N593" s="9" t="str">
        <f ca="1">IF($G593="","",INDEX(BASE_PRODUTOS!$G$2:$G$1006,$G593))</f>
        <v/>
      </c>
      <c r="O593" s="9" t="str">
        <f ca="1">IF($G593="","",INDEX(BASE_PRODUTOS!$H$2:$H$1006,$G593))</f>
        <v/>
      </c>
      <c r="P593" s="9" t="str">
        <f ca="1">IF($G593="","",INDEX(BASE_PRODUTOS!$I$2:$I$1006,$G593))</f>
        <v/>
      </c>
      <c r="Q593" s="9" t="str">
        <f ca="1">IF($G593="","",INDEX(BASE_PRODUTOS!$J$2:$J$1006,$G593))</f>
        <v/>
      </c>
      <c r="R593" s="9" t="str">
        <f ca="1">IF($G593="","",INDEX(BASE_PRODUTOS!$M$2:$M$1006,$G593))</f>
        <v/>
      </c>
      <c r="S593" s="9" t="str">
        <f ca="1">IF($G593="","",INDEX(BASE_PRODUTOS!$N$2:$N$1006,$G593))</f>
        <v/>
      </c>
      <c r="T593" s="9" t="str">
        <f ca="1">IF($G593="","",INDEX(BASE_PRODUTOS!$D$2:$D$1006,$G593))</f>
        <v/>
      </c>
    </row>
    <row r="594" spans="7:20" ht="18" customHeight="1" x14ac:dyDescent="0.35">
      <c r="G594" t="str">
        <f ca="1">IFERROR(_xludf.aggregate(15,6,(ROW(BASE_PRODUTOS!$L$2:$L$1006)-ROW(BASE_PRODUTOS!$L$2)+1)/(BASE_PRODUTOS!$L$2:$L$1006&gt;0),ROWS($G$10:G594)),"")</f>
        <v/>
      </c>
      <c r="H594" s="9" t="str">
        <f ca="1">IF($G594="","",INDEX(BASE_PRODUTOS!$B$2:$B$1006,$G594))</f>
        <v/>
      </c>
      <c r="I594" s="9" t="str">
        <f ca="1">IF($G594="","",INDEX(BASE_PRODUTOS!$L$2:$L$1006,$G594))</f>
        <v/>
      </c>
      <c r="J594" s="9" t="str">
        <f ca="1">IF($G594="","",INDEX(BASE_PRODUTOS!$A$2:$A$1006,$G594))</f>
        <v/>
      </c>
      <c r="K594" s="9" t="str">
        <f ca="1">IF($G594="","",INDEX(BASE_PRODUTOS!$C$2:$C$1006,$G594))</f>
        <v/>
      </c>
      <c r="L594" s="9" t="str">
        <f ca="1">IF($G594="","",INDEX(BASE_PRODUTOS!$E$2:$E$1006,$G594))</f>
        <v/>
      </c>
      <c r="M594" s="9" t="str">
        <f ca="1">IF($G594="","",INDEX(BASE_PRODUTOS!$F$2:$F$1006,$G594))</f>
        <v/>
      </c>
      <c r="N594" s="9" t="str">
        <f ca="1">IF($G594="","",INDEX(BASE_PRODUTOS!$G$2:$G$1006,$G594))</f>
        <v/>
      </c>
      <c r="O594" s="9" t="str">
        <f ca="1">IF($G594="","",INDEX(BASE_PRODUTOS!$H$2:$H$1006,$G594))</f>
        <v/>
      </c>
      <c r="P594" s="9" t="str">
        <f ca="1">IF($G594="","",INDEX(BASE_PRODUTOS!$I$2:$I$1006,$G594))</f>
        <v/>
      </c>
      <c r="Q594" s="9" t="str">
        <f ca="1">IF($G594="","",INDEX(BASE_PRODUTOS!$J$2:$J$1006,$G594))</f>
        <v/>
      </c>
      <c r="R594" s="9" t="str">
        <f ca="1">IF($G594="","",INDEX(BASE_PRODUTOS!$M$2:$M$1006,$G594))</f>
        <v/>
      </c>
      <c r="S594" s="9" t="str">
        <f ca="1">IF($G594="","",INDEX(BASE_PRODUTOS!$N$2:$N$1006,$G594))</f>
        <v/>
      </c>
      <c r="T594" s="9" t="str">
        <f ca="1">IF($G594="","",INDEX(BASE_PRODUTOS!$D$2:$D$1006,$G594))</f>
        <v/>
      </c>
    </row>
    <row r="595" spans="7:20" ht="18" customHeight="1" x14ac:dyDescent="0.35">
      <c r="G595" t="str">
        <f ca="1">IFERROR(_xludf.aggregate(15,6,(ROW(BASE_PRODUTOS!$L$2:$L$1006)-ROW(BASE_PRODUTOS!$L$2)+1)/(BASE_PRODUTOS!$L$2:$L$1006&gt;0),ROWS($G$10:G595)),"")</f>
        <v/>
      </c>
      <c r="H595" s="9" t="str">
        <f ca="1">IF($G595="","",INDEX(BASE_PRODUTOS!$B$2:$B$1006,$G595))</f>
        <v/>
      </c>
      <c r="I595" s="9" t="str">
        <f ca="1">IF($G595="","",INDEX(BASE_PRODUTOS!$L$2:$L$1006,$G595))</f>
        <v/>
      </c>
      <c r="J595" s="9" t="str">
        <f ca="1">IF($G595="","",INDEX(BASE_PRODUTOS!$A$2:$A$1006,$G595))</f>
        <v/>
      </c>
      <c r="K595" s="9" t="str">
        <f ca="1">IF($G595="","",INDEX(BASE_PRODUTOS!$C$2:$C$1006,$G595))</f>
        <v/>
      </c>
      <c r="L595" s="9" t="str">
        <f ca="1">IF($G595="","",INDEX(BASE_PRODUTOS!$E$2:$E$1006,$G595))</f>
        <v/>
      </c>
      <c r="M595" s="9" t="str">
        <f ca="1">IF($G595="","",INDEX(BASE_PRODUTOS!$F$2:$F$1006,$G595))</f>
        <v/>
      </c>
      <c r="N595" s="9" t="str">
        <f ca="1">IF($G595="","",INDEX(BASE_PRODUTOS!$G$2:$G$1006,$G595))</f>
        <v/>
      </c>
      <c r="O595" s="9" t="str">
        <f ca="1">IF($G595="","",INDEX(BASE_PRODUTOS!$H$2:$H$1006,$G595))</f>
        <v/>
      </c>
      <c r="P595" s="9" t="str">
        <f ca="1">IF($G595="","",INDEX(BASE_PRODUTOS!$I$2:$I$1006,$G595))</f>
        <v/>
      </c>
      <c r="Q595" s="9" t="str">
        <f ca="1">IF($G595="","",INDEX(BASE_PRODUTOS!$J$2:$J$1006,$G595))</f>
        <v/>
      </c>
      <c r="R595" s="9" t="str">
        <f ca="1">IF($G595="","",INDEX(BASE_PRODUTOS!$M$2:$M$1006,$G595))</f>
        <v/>
      </c>
      <c r="S595" s="9" t="str">
        <f ca="1">IF($G595="","",INDEX(BASE_PRODUTOS!$N$2:$N$1006,$G595))</f>
        <v/>
      </c>
      <c r="T595" s="9" t="str">
        <f ca="1">IF($G595="","",INDEX(BASE_PRODUTOS!$D$2:$D$1006,$G595))</f>
        <v/>
      </c>
    </row>
    <row r="596" spans="7:20" ht="18" customHeight="1" x14ac:dyDescent="0.35">
      <c r="G596" t="str">
        <f ca="1">IFERROR(_xludf.aggregate(15,6,(ROW(BASE_PRODUTOS!$L$2:$L$1006)-ROW(BASE_PRODUTOS!$L$2)+1)/(BASE_PRODUTOS!$L$2:$L$1006&gt;0),ROWS($G$10:G596)),"")</f>
        <v/>
      </c>
      <c r="H596" s="9" t="str">
        <f ca="1">IF($G596="","",INDEX(BASE_PRODUTOS!$B$2:$B$1006,$G596))</f>
        <v/>
      </c>
      <c r="I596" s="9" t="str">
        <f ca="1">IF($G596="","",INDEX(BASE_PRODUTOS!$L$2:$L$1006,$G596))</f>
        <v/>
      </c>
      <c r="J596" s="9" t="str">
        <f ca="1">IF($G596="","",INDEX(BASE_PRODUTOS!$A$2:$A$1006,$G596))</f>
        <v/>
      </c>
      <c r="K596" s="9" t="str">
        <f ca="1">IF($G596="","",INDEX(BASE_PRODUTOS!$C$2:$C$1006,$G596))</f>
        <v/>
      </c>
      <c r="L596" s="9" t="str">
        <f ca="1">IF($G596="","",INDEX(BASE_PRODUTOS!$E$2:$E$1006,$G596))</f>
        <v/>
      </c>
      <c r="M596" s="9" t="str">
        <f ca="1">IF($G596="","",INDEX(BASE_PRODUTOS!$F$2:$F$1006,$G596))</f>
        <v/>
      </c>
      <c r="N596" s="9" t="str">
        <f ca="1">IF($G596="","",INDEX(BASE_PRODUTOS!$G$2:$G$1006,$G596))</f>
        <v/>
      </c>
      <c r="O596" s="9" t="str">
        <f ca="1">IF($G596="","",INDEX(BASE_PRODUTOS!$H$2:$H$1006,$G596))</f>
        <v/>
      </c>
      <c r="P596" s="9" t="str">
        <f ca="1">IF($G596="","",INDEX(BASE_PRODUTOS!$I$2:$I$1006,$G596))</f>
        <v/>
      </c>
      <c r="Q596" s="9" t="str">
        <f ca="1">IF($G596="","",INDEX(BASE_PRODUTOS!$J$2:$J$1006,$G596))</f>
        <v/>
      </c>
      <c r="R596" s="9" t="str">
        <f ca="1">IF($G596="","",INDEX(BASE_PRODUTOS!$M$2:$M$1006,$G596))</f>
        <v/>
      </c>
      <c r="S596" s="9" t="str">
        <f ca="1">IF($G596="","",INDEX(BASE_PRODUTOS!$N$2:$N$1006,$G596))</f>
        <v/>
      </c>
      <c r="T596" s="9" t="str">
        <f ca="1">IF($G596="","",INDEX(BASE_PRODUTOS!$D$2:$D$1006,$G596))</f>
        <v/>
      </c>
    </row>
    <row r="597" spans="7:20" ht="18" customHeight="1" x14ac:dyDescent="0.35">
      <c r="G597" t="str">
        <f ca="1">IFERROR(_xludf.aggregate(15,6,(ROW(BASE_PRODUTOS!$L$2:$L$1006)-ROW(BASE_PRODUTOS!$L$2)+1)/(BASE_PRODUTOS!$L$2:$L$1006&gt;0),ROWS($G$10:G597)),"")</f>
        <v/>
      </c>
      <c r="H597" s="9" t="str">
        <f ca="1">IF($G597="","",INDEX(BASE_PRODUTOS!$B$2:$B$1006,$G597))</f>
        <v/>
      </c>
      <c r="I597" s="9" t="str">
        <f ca="1">IF($G597="","",INDEX(BASE_PRODUTOS!$L$2:$L$1006,$G597))</f>
        <v/>
      </c>
      <c r="J597" s="9" t="str">
        <f ca="1">IF($G597="","",INDEX(BASE_PRODUTOS!$A$2:$A$1006,$G597))</f>
        <v/>
      </c>
      <c r="K597" s="9" t="str">
        <f ca="1">IF($G597="","",INDEX(BASE_PRODUTOS!$C$2:$C$1006,$G597))</f>
        <v/>
      </c>
      <c r="L597" s="9" t="str">
        <f ca="1">IF($G597="","",INDEX(BASE_PRODUTOS!$E$2:$E$1006,$G597))</f>
        <v/>
      </c>
      <c r="M597" s="9" t="str">
        <f ca="1">IF($G597="","",INDEX(BASE_PRODUTOS!$F$2:$F$1006,$G597))</f>
        <v/>
      </c>
      <c r="N597" s="9" t="str">
        <f ca="1">IF($G597="","",INDEX(BASE_PRODUTOS!$G$2:$G$1006,$G597))</f>
        <v/>
      </c>
      <c r="O597" s="9" t="str">
        <f ca="1">IF($G597="","",INDEX(BASE_PRODUTOS!$H$2:$H$1006,$G597))</f>
        <v/>
      </c>
      <c r="P597" s="9" t="str">
        <f ca="1">IF($G597="","",INDEX(BASE_PRODUTOS!$I$2:$I$1006,$G597))</f>
        <v/>
      </c>
      <c r="Q597" s="9" t="str">
        <f ca="1">IF($G597="","",INDEX(BASE_PRODUTOS!$J$2:$J$1006,$G597))</f>
        <v/>
      </c>
      <c r="R597" s="9" t="str">
        <f ca="1">IF($G597="","",INDEX(BASE_PRODUTOS!$M$2:$M$1006,$G597))</f>
        <v/>
      </c>
      <c r="S597" s="9" t="str">
        <f ca="1">IF($G597="","",INDEX(BASE_PRODUTOS!$N$2:$N$1006,$G597))</f>
        <v/>
      </c>
      <c r="T597" s="9" t="str">
        <f ca="1">IF($G597="","",INDEX(BASE_PRODUTOS!$D$2:$D$1006,$G597))</f>
        <v/>
      </c>
    </row>
    <row r="598" spans="7:20" ht="18" customHeight="1" x14ac:dyDescent="0.35">
      <c r="G598" t="str">
        <f ca="1">IFERROR(_xludf.aggregate(15,6,(ROW(BASE_PRODUTOS!$L$2:$L$1006)-ROW(BASE_PRODUTOS!$L$2)+1)/(BASE_PRODUTOS!$L$2:$L$1006&gt;0),ROWS($G$10:G598)),"")</f>
        <v/>
      </c>
      <c r="H598" s="9" t="str">
        <f ca="1">IF($G598="","",INDEX(BASE_PRODUTOS!$B$2:$B$1006,$G598))</f>
        <v/>
      </c>
      <c r="I598" s="9" t="str">
        <f ca="1">IF($G598="","",INDEX(BASE_PRODUTOS!$L$2:$L$1006,$G598))</f>
        <v/>
      </c>
      <c r="J598" s="9" t="str">
        <f ca="1">IF($G598="","",INDEX(BASE_PRODUTOS!$A$2:$A$1006,$G598))</f>
        <v/>
      </c>
      <c r="K598" s="9" t="str">
        <f ca="1">IF($G598="","",INDEX(BASE_PRODUTOS!$C$2:$C$1006,$G598))</f>
        <v/>
      </c>
      <c r="L598" s="9" t="str">
        <f ca="1">IF($G598="","",INDEX(BASE_PRODUTOS!$E$2:$E$1006,$G598))</f>
        <v/>
      </c>
      <c r="M598" s="9" t="str">
        <f ca="1">IF($G598="","",INDEX(BASE_PRODUTOS!$F$2:$F$1006,$G598))</f>
        <v/>
      </c>
      <c r="N598" s="9" t="str">
        <f ca="1">IF($G598="","",INDEX(BASE_PRODUTOS!$G$2:$G$1006,$G598))</f>
        <v/>
      </c>
      <c r="O598" s="9" t="str">
        <f ca="1">IF($G598="","",INDEX(BASE_PRODUTOS!$H$2:$H$1006,$G598))</f>
        <v/>
      </c>
      <c r="P598" s="9" t="str">
        <f ca="1">IF($G598="","",INDEX(BASE_PRODUTOS!$I$2:$I$1006,$G598))</f>
        <v/>
      </c>
      <c r="Q598" s="9" t="str">
        <f ca="1">IF($G598="","",INDEX(BASE_PRODUTOS!$J$2:$J$1006,$G598))</f>
        <v/>
      </c>
      <c r="R598" s="9" t="str">
        <f ca="1">IF($G598="","",INDEX(BASE_PRODUTOS!$M$2:$M$1006,$G598))</f>
        <v/>
      </c>
      <c r="S598" s="9" t="str">
        <f ca="1">IF($G598="","",INDEX(BASE_PRODUTOS!$N$2:$N$1006,$G598))</f>
        <v/>
      </c>
      <c r="T598" s="9" t="str">
        <f ca="1">IF($G598="","",INDEX(BASE_PRODUTOS!$D$2:$D$1006,$G598))</f>
        <v/>
      </c>
    </row>
    <row r="599" spans="7:20" ht="18" customHeight="1" x14ac:dyDescent="0.35">
      <c r="G599" t="str">
        <f ca="1">IFERROR(_xludf.aggregate(15,6,(ROW(BASE_PRODUTOS!$L$2:$L$1006)-ROW(BASE_PRODUTOS!$L$2)+1)/(BASE_PRODUTOS!$L$2:$L$1006&gt;0),ROWS($G$10:G599)),"")</f>
        <v/>
      </c>
      <c r="H599" s="9" t="str">
        <f ca="1">IF($G599="","",INDEX(BASE_PRODUTOS!$B$2:$B$1006,$G599))</f>
        <v/>
      </c>
      <c r="I599" s="9" t="str">
        <f ca="1">IF($G599="","",INDEX(BASE_PRODUTOS!$L$2:$L$1006,$G599))</f>
        <v/>
      </c>
      <c r="J599" s="9" t="str">
        <f ca="1">IF($G599="","",INDEX(BASE_PRODUTOS!$A$2:$A$1006,$G599))</f>
        <v/>
      </c>
      <c r="K599" s="9" t="str">
        <f ca="1">IF($G599="","",INDEX(BASE_PRODUTOS!$C$2:$C$1006,$G599))</f>
        <v/>
      </c>
      <c r="L599" s="9" t="str">
        <f ca="1">IF($G599="","",INDEX(BASE_PRODUTOS!$E$2:$E$1006,$G599))</f>
        <v/>
      </c>
      <c r="M599" s="9" t="str">
        <f ca="1">IF($G599="","",INDEX(BASE_PRODUTOS!$F$2:$F$1006,$G599))</f>
        <v/>
      </c>
      <c r="N599" s="9" t="str">
        <f ca="1">IF($G599="","",INDEX(BASE_PRODUTOS!$G$2:$G$1006,$G599))</f>
        <v/>
      </c>
      <c r="O599" s="9" t="str">
        <f ca="1">IF($G599="","",INDEX(BASE_PRODUTOS!$H$2:$H$1006,$G599))</f>
        <v/>
      </c>
      <c r="P599" s="9" t="str">
        <f ca="1">IF($G599="","",INDEX(BASE_PRODUTOS!$I$2:$I$1006,$G599))</f>
        <v/>
      </c>
      <c r="Q599" s="9" t="str">
        <f ca="1">IF($G599="","",INDEX(BASE_PRODUTOS!$J$2:$J$1006,$G599))</f>
        <v/>
      </c>
      <c r="R599" s="9" t="str">
        <f ca="1">IF($G599="","",INDEX(BASE_PRODUTOS!$M$2:$M$1006,$G599))</f>
        <v/>
      </c>
      <c r="S599" s="9" t="str">
        <f ca="1">IF($G599="","",INDEX(BASE_PRODUTOS!$N$2:$N$1006,$G599))</f>
        <v/>
      </c>
      <c r="T599" s="9" t="str">
        <f ca="1">IF($G599="","",INDEX(BASE_PRODUTOS!$D$2:$D$1006,$G599))</f>
        <v/>
      </c>
    </row>
    <row r="600" spans="7:20" ht="18" customHeight="1" x14ac:dyDescent="0.35">
      <c r="G600" t="str">
        <f ca="1">IFERROR(_xludf.aggregate(15,6,(ROW(BASE_PRODUTOS!$L$2:$L$1006)-ROW(BASE_PRODUTOS!$L$2)+1)/(BASE_PRODUTOS!$L$2:$L$1006&gt;0),ROWS($G$10:G600)),"")</f>
        <v/>
      </c>
      <c r="H600" s="9" t="str">
        <f ca="1">IF($G600="","",INDEX(BASE_PRODUTOS!$B$2:$B$1006,$G600))</f>
        <v/>
      </c>
      <c r="I600" s="9" t="str">
        <f ca="1">IF($G600="","",INDEX(BASE_PRODUTOS!$L$2:$L$1006,$G600))</f>
        <v/>
      </c>
      <c r="J600" s="9" t="str">
        <f ca="1">IF($G600="","",INDEX(BASE_PRODUTOS!$A$2:$A$1006,$G600))</f>
        <v/>
      </c>
      <c r="K600" s="9" t="str">
        <f ca="1">IF($G600="","",INDEX(BASE_PRODUTOS!$C$2:$C$1006,$G600))</f>
        <v/>
      </c>
      <c r="L600" s="9" t="str">
        <f ca="1">IF($G600="","",INDEX(BASE_PRODUTOS!$E$2:$E$1006,$G600))</f>
        <v/>
      </c>
      <c r="M600" s="9" t="str">
        <f ca="1">IF($G600="","",INDEX(BASE_PRODUTOS!$F$2:$F$1006,$G600))</f>
        <v/>
      </c>
      <c r="N600" s="9" t="str">
        <f ca="1">IF($G600="","",INDEX(BASE_PRODUTOS!$G$2:$G$1006,$G600))</f>
        <v/>
      </c>
      <c r="O600" s="9" t="str">
        <f ca="1">IF($G600="","",INDEX(BASE_PRODUTOS!$H$2:$H$1006,$G600))</f>
        <v/>
      </c>
      <c r="P600" s="9" t="str">
        <f ca="1">IF($G600="","",INDEX(BASE_PRODUTOS!$I$2:$I$1006,$G600))</f>
        <v/>
      </c>
      <c r="Q600" s="9" t="str">
        <f ca="1">IF($G600="","",INDEX(BASE_PRODUTOS!$J$2:$J$1006,$G600))</f>
        <v/>
      </c>
      <c r="R600" s="9" t="str">
        <f ca="1">IF($G600="","",INDEX(BASE_PRODUTOS!$M$2:$M$1006,$G600))</f>
        <v/>
      </c>
      <c r="S600" s="9" t="str">
        <f ca="1">IF($G600="","",INDEX(BASE_PRODUTOS!$N$2:$N$1006,$G600))</f>
        <v/>
      </c>
      <c r="T600" s="9" t="str">
        <f ca="1">IF($G600="","",INDEX(BASE_PRODUTOS!$D$2:$D$1006,$G600))</f>
        <v/>
      </c>
    </row>
    <row r="601" spans="7:20" ht="18" customHeight="1" x14ac:dyDescent="0.35">
      <c r="G601" t="str">
        <f ca="1">IFERROR(_xludf.aggregate(15,6,(ROW(BASE_PRODUTOS!$L$2:$L$1006)-ROW(BASE_PRODUTOS!$L$2)+1)/(BASE_PRODUTOS!$L$2:$L$1006&gt;0),ROWS($G$10:G601)),"")</f>
        <v/>
      </c>
      <c r="H601" s="9" t="str">
        <f ca="1">IF($G601="","",INDEX(BASE_PRODUTOS!$B$2:$B$1006,$G601))</f>
        <v/>
      </c>
      <c r="I601" s="9" t="str">
        <f ca="1">IF($G601="","",INDEX(BASE_PRODUTOS!$L$2:$L$1006,$G601))</f>
        <v/>
      </c>
      <c r="J601" s="9" t="str">
        <f ca="1">IF($G601="","",INDEX(BASE_PRODUTOS!$A$2:$A$1006,$G601))</f>
        <v/>
      </c>
      <c r="K601" s="9" t="str">
        <f ca="1">IF($G601="","",INDEX(BASE_PRODUTOS!$C$2:$C$1006,$G601))</f>
        <v/>
      </c>
      <c r="L601" s="9" t="str">
        <f ca="1">IF($G601="","",INDEX(BASE_PRODUTOS!$E$2:$E$1006,$G601))</f>
        <v/>
      </c>
      <c r="M601" s="9" t="str">
        <f ca="1">IF($G601="","",INDEX(BASE_PRODUTOS!$F$2:$F$1006,$G601))</f>
        <v/>
      </c>
      <c r="N601" s="9" t="str">
        <f ca="1">IF($G601="","",INDEX(BASE_PRODUTOS!$G$2:$G$1006,$G601))</f>
        <v/>
      </c>
      <c r="O601" s="9" t="str">
        <f ca="1">IF($G601="","",INDEX(BASE_PRODUTOS!$H$2:$H$1006,$G601))</f>
        <v/>
      </c>
      <c r="P601" s="9" t="str">
        <f ca="1">IF($G601="","",INDEX(BASE_PRODUTOS!$I$2:$I$1006,$G601))</f>
        <v/>
      </c>
      <c r="Q601" s="9" t="str">
        <f ca="1">IF($G601="","",INDEX(BASE_PRODUTOS!$J$2:$J$1006,$G601))</f>
        <v/>
      </c>
      <c r="R601" s="9" t="str">
        <f ca="1">IF($G601="","",INDEX(BASE_PRODUTOS!$M$2:$M$1006,$G601))</f>
        <v/>
      </c>
      <c r="S601" s="9" t="str">
        <f ca="1">IF($G601="","",INDEX(BASE_PRODUTOS!$N$2:$N$1006,$G601))</f>
        <v/>
      </c>
      <c r="T601" s="9" t="str">
        <f ca="1">IF($G601="","",INDEX(BASE_PRODUTOS!$D$2:$D$1006,$G601))</f>
        <v/>
      </c>
    </row>
    <row r="602" spans="7:20" ht="18" customHeight="1" x14ac:dyDescent="0.35">
      <c r="G602" t="str">
        <f ca="1">IFERROR(_xludf.aggregate(15,6,(ROW(BASE_PRODUTOS!$L$2:$L$1006)-ROW(BASE_PRODUTOS!$L$2)+1)/(BASE_PRODUTOS!$L$2:$L$1006&gt;0),ROWS($G$10:G602)),"")</f>
        <v/>
      </c>
      <c r="H602" s="9" t="str">
        <f ca="1">IF($G602="","",INDEX(BASE_PRODUTOS!$B$2:$B$1006,$G602))</f>
        <v/>
      </c>
      <c r="I602" s="9" t="str">
        <f ca="1">IF($G602="","",INDEX(BASE_PRODUTOS!$L$2:$L$1006,$G602))</f>
        <v/>
      </c>
      <c r="J602" s="9" t="str">
        <f ca="1">IF($G602="","",INDEX(BASE_PRODUTOS!$A$2:$A$1006,$G602))</f>
        <v/>
      </c>
      <c r="K602" s="9" t="str">
        <f ca="1">IF($G602="","",INDEX(BASE_PRODUTOS!$C$2:$C$1006,$G602))</f>
        <v/>
      </c>
      <c r="L602" s="9" t="str">
        <f ca="1">IF($G602="","",INDEX(BASE_PRODUTOS!$E$2:$E$1006,$G602))</f>
        <v/>
      </c>
      <c r="M602" s="9" t="str">
        <f ca="1">IF($G602="","",INDEX(BASE_PRODUTOS!$F$2:$F$1006,$G602))</f>
        <v/>
      </c>
      <c r="N602" s="9" t="str">
        <f ca="1">IF($G602="","",INDEX(BASE_PRODUTOS!$G$2:$G$1006,$G602))</f>
        <v/>
      </c>
      <c r="O602" s="9" t="str">
        <f ca="1">IF($G602="","",INDEX(BASE_PRODUTOS!$H$2:$H$1006,$G602))</f>
        <v/>
      </c>
      <c r="P602" s="9" t="str">
        <f ca="1">IF($G602="","",INDEX(BASE_PRODUTOS!$I$2:$I$1006,$G602))</f>
        <v/>
      </c>
      <c r="Q602" s="9" t="str">
        <f ca="1">IF($G602="","",INDEX(BASE_PRODUTOS!$J$2:$J$1006,$G602))</f>
        <v/>
      </c>
      <c r="R602" s="9" t="str">
        <f ca="1">IF($G602="","",INDEX(BASE_PRODUTOS!$M$2:$M$1006,$G602))</f>
        <v/>
      </c>
      <c r="S602" s="9" t="str">
        <f ca="1">IF($G602="","",INDEX(BASE_PRODUTOS!$N$2:$N$1006,$G602))</f>
        <v/>
      </c>
      <c r="T602" s="9" t="str">
        <f ca="1">IF($G602="","",INDEX(BASE_PRODUTOS!$D$2:$D$1006,$G602))</f>
        <v/>
      </c>
    </row>
    <row r="603" spans="7:20" ht="18" customHeight="1" x14ac:dyDescent="0.35">
      <c r="G603" t="str">
        <f ca="1">IFERROR(_xludf.aggregate(15,6,(ROW(BASE_PRODUTOS!$L$2:$L$1006)-ROW(BASE_PRODUTOS!$L$2)+1)/(BASE_PRODUTOS!$L$2:$L$1006&gt;0),ROWS($G$10:G603)),"")</f>
        <v/>
      </c>
      <c r="H603" s="9" t="str">
        <f ca="1">IF($G603="","",INDEX(BASE_PRODUTOS!$B$2:$B$1006,$G603))</f>
        <v/>
      </c>
      <c r="I603" s="9" t="str">
        <f ca="1">IF($G603="","",INDEX(BASE_PRODUTOS!$L$2:$L$1006,$G603))</f>
        <v/>
      </c>
      <c r="J603" s="9" t="str">
        <f ca="1">IF($G603="","",INDEX(BASE_PRODUTOS!$A$2:$A$1006,$G603))</f>
        <v/>
      </c>
      <c r="K603" s="9" t="str">
        <f ca="1">IF($G603="","",INDEX(BASE_PRODUTOS!$C$2:$C$1006,$G603))</f>
        <v/>
      </c>
      <c r="L603" s="9" t="str">
        <f ca="1">IF($G603="","",INDEX(BASE_PRODUTOS!$E$2:$E$1006,$G603))</f>
        <v/>
      </c>
      <c r="M603" s="9" t="str">
        <f ca="1">IF($G603="","",INDEX(BASE_PRODUTOS!$F$2:$F$1006,$G603))</f>
        <v/>
      </c>
      <c r="N603" s="9" t="str">
        <f ca="1">IF($G603="","",INDEX(BASE_PRODUTOS!$G$2:$G$1006,$G603))</f>
        <v/>
      </c>
      <c r="O603" s="9" t="str">
        <f ca="1">IF($G603="","",INDEX(BASE_PRODUTOS!$H$2:$H$1006,$G603))</f>
        <v/>
      </c>
      <c r="P603" s="9" t="str">
        <f ca="1">IF($G603="","",INDEX(BASE_PRODUTOS!$I$2:$I$1006,$G603))</f>
        <v/>
      </c>
      <c r="Q603" s="9" t="str">
        <f ca="1">IF($G603="","",INDEX(BASE_PRODUTOS!$J$2:$J$1006,$G603))</f>
        <v/>
      </c>
      <c r="R603" s="9" t="str">
        <f ca="1">IF($G603="","",INDEX(BASE_PRODUTOS!$M$2:$M$1006,$G603))</f>
        <v/>
      </c>
      <c r="S603" s="9" t="str">
        <f ca="1">IF($G603="","",INDEX(BASE_PRODUTOS!$N$2:$N$1006,$G603))</f>
        <v/>
      </c>
      <c r="T603" s="9" t="str">
        <f ca="1">IF($G603="","",INDEX(BASE_PRODUTOS!$D$2:$D$1006,$G603))</f>
        <v/>
      </c>
    </row>
    <row r="604" spans="7:20" ht="18" customHeight="1" x14ac:dyDescent="0.35">
      <c r="G604" t="str">
        <f ca="1">IFERROR(_xludf.aggregate(15,6,(ROW(BASE_PRODUTOS!$L$2:$L$1006)-ROW(BASE_PRODUTOS!$L$2)+1)/(BASE_PRODUTOS!$L$2:$L$1006&gt;0),ROWS($G$10:G604)),"")</f>
        <v/>
      </c>
      <c r="H604" s="9" t="str">
        <f ca="1">IF($G604="","",INDEX(BASE_PRODUTOS!$B$2:$B$1006,$G604))</f>
        <v/>
      </c>
      <c r="I604" s="9" t="str">
        <f ca="1">IF($G604="","",INDEX(BASE_PRODUTOS!$L$2:$L$1006,$G604))</f>
        <v/>
      </c>
      <c r="J604" s="9" t="str">
        <f ca="1">IF($G604="","",INDEX(BASE_PRODUTOS!$A$2:$A$1006,$G604))</f>
        <v/>
      </c>
      <c r="K604" s="9" t="str">
        <f ca="1">IF($G604="","",INDEX(BASE_PRODUTOS!$C$2:$C$1006,$G604))</f>
        <v/>
      </c>
      <c r="L604" s="9" t="str">
        <f ca="1">IF($G604="","",INDEX(BASE_PRODUTOS!$E$2:$E$1006,$G604))</f>
        <v/>
      </c>
      <c r="M604" s="9" t="str">
        <f ca="1">IF($G604="","",INDEX(BASE_PRODUTOS!$F$2:$F$1006,$G604))</f>
        <v/>
      </c>
      <c r="N604" s="9" t="str">
        <f ca="1">IF($G604="","",INDEX(BASE_PRODUTOS!$G$2:$G$1006,$G604))</f>
        <v/>
      </c>
      <c r="O604" s="9" t="str">
        <f ca="1">IF($G604="","",INDEX(BASE_PRODUTOS!$H$2:$H$1006,$G604))</f>
        <v/>
      </c>
      <c r="P604" s="9" t="str">
        <f ca="1">IF($G604="","",INDEX(BASE_PRODUTOS!$I$2:$I$1006,$G604))</f>
        <v/>
      </c>
      <c r="Q604" s="9" t="str">
        <f ca="1">IF($G604="","",INDEX(BASE_PRODUTOS!$J$2:$J$1006,$G604))</f>
        <v/>
      </c>
      <c r="R604" s="9" t="str">
        <f ca="1">IF($G604="","",INDEX(BASE_PRODUTOS!$M$2:$M$1006,$G604))</f>
        <v/>
      </c>
      <c r="S604" s="9" t="str">
        <f ca="1">IF($G604="","",INDEX(BASE_PRODUTOS!$N$2:$N$1006,$G604))</f>
        <v/>
      </c>
      <c r="T604" s="9" t="str">
        <f ca="1">IF($G604="","",INDEX(BASE_PRODUTOS!$D$2:$D$1006,$G604))</f>
        <v/>
      </c>
    </row>
    <row r="605" spans="7:20" ht="18" customHeight="1" x14ac:dyDescent="0.35">
      <c r="G605" t="str">
        <f ca="1">IFERROR(_xludf.aggregate(15,6,(ROW(BASE_PRODUTOS!$L$2:$L$1006)-ROW(BASE_PRODUTOS!$L$2)+1)/(BASE_PRODUTOS!$L$2:$L$1006&gt;0),ROWS($G$10:G605)),"")</f>
        <v/>
      </c>
      <c r="H605" s="9" t="str">
        <f ca="1">IF($G605="","",INDEX(BASE_PRODUTOS!$B$2:$B$1006,$G605))</f>
        <v/>
      </c>
      <c r="I605" s="9" t="str">
        <f ca="1">IF($G605="","",INDEX(BASE_PRODUTOS!$L$2:$L$1006,$G605))</f>
        <v/>
      </c>
      <c r="J605" s="9" t="str">
        <f ca="1">IF($G605="","",INDEX(BASE_PRODUTOS!$A$2:$A$1006,$G605))</f>
        <v/>
      </c>
      <c r="K605" s="9" t="str">
        <f ca="1">IF($G605="","",INDEX(BASE_PRODUTOS!$C$2:$C$1006,$G605))</f>
        <v/>
      </c>
      <c r="L605" s="9" t="str">
        <f ca="1">IF($G605="","",INDEX(BASE_PRODUTOS!$E$2:$E$1006,$G605))</f>
        <v/>
      </c>
      <c r="M605" s="9" t="str">
        <f ca="1">IF($G605="","",INDEX(BASE_PRODUTOS!$F$2:$F$1006,$G605))</f>
        <v/>
      </c>
      <c r="N605" s="9" t="str">
        <f ca="1">IF($G605="","",INDEX(BASE_PRODUTOS!$G$2:$G$1006,$G605))</f>
        <v/>
      </c>
      <c r="O605" s="9" t="str">
        <f ca="1">IF($G605="","",INDEX(BASE_PRODUTOS!$H$2:$H$1006,$G605))</f>
        <v/>
      </c>
      <c r="P605" s="9" t="str">
        <f ca="1">IF($G605="","",INDEX(BASE_PRODUTOS!$I$2:$I$1006,$G605))</f>
        <v/>
      </c>
      <c r="Q605" s="9" t="str">
        <f ca="1">IF($G605="","",INDEX(BASE_PRODUTOS!$J$2:$J$1006,$G605))</f>
        <v/>
      </c>
      <c r="R605" s="9" t="str">
        <f ca="1">IF($G605="","",INDEX(BASE_PRODUTOS!$M$2:$M$1006,$G605))</f>
        <v/>
      </c>
      <c r="S605" s="9" t="str">
        <f ca="1">IF($G605="","",INDEX(BASE_PRODUTOS!$N$2:$N$1006,$G605))</f>
        <v/>
      </c>
      <c r="T605" s="9" t="str">
        <f ca="1">IF($G605="","",INDEX(BASE_PRODUTOS!$D$2:$D$1006,$G605))</f>
        <v/>
      </c>
    </row>
    <row r="606" spans="7:20" ht="18" customHeight="1" x14ac:dyDescent="0.35">
      <c r="G606" t="str">
        <f ca="1">IFERROR(_xludf.aggregate(15,6,(ROW(BASE_PRODUTOS!$L$2:$L$1006)-ROW(BASE_PRODUTOS!$L$2)+1)/(BASE_PRODUTOS!$L$2:$L$1006&gt;0),ROWS($G$10:G606)),"")</f>
        <v/>
      </c>
      <c r="H606" s="9" t="str">
        <f ca="1">IF($G606="","",INDEX(BASE_PRODUTOS!$B$2:$B$1006,$G606))</f>
        <v/>
      </c>
      <c r="I606" s="9" t="str">
        <f ca="1">IF($G606="","",INDEX(BASE_PRODUTOS!$L$2:$L$1006,$G606))</f>
        <v/>
      </c>
      <c r="J606" s="9" t="str">
        <f ca="1">IF($G606="","",INDEX(BASE_PRODUTOS!$A$2:$A$1006,$G606))</f>
        <v/>
      </c>
      <c r="K606" s="9" t="str">
        <f ca="1">IF($G606="","",INDEX(BASE_PRODUTOS!$C$2:$C$1006,$G606))</f>
        <v/>
      </c>
      <c r="L606" s="9" t="str">
        <f ca="1">IF($G606="","",INDEX(BASE_PRODUTOS!$E$2:$E$1006,$G606))</f>
        <v/>
      </c>
      <c r="M606" s="9" t="str">
        <f ca="1">IF($G606="","",INDEX(BASE_PRODUTOS!$F$2:$F$1006,$G606))</f>
        <v/>
      </c>
      <c r="N606" s="9" t="str">
        <f ca="1">IF($G606="","",INDEX(BASE_PRODUTOS!$G$2:$G$1006,$G606))</f>
        <v/>
      </c>
      <c r="O606" s="9" t="str">
        <f ca="1">IF($G606="","",INDEX(BASE_PRODUTOS!$H$2:$H$1006,$G606))</f>
        <v/>
      </c>
      <c r="P606" s="9" t="str">
        <f ca="1">IF($G606="","",INDEX(BASE_PRODUTOS!$I$2:$I$1006,$G606))</f>
        <v/>
      </c>
      <c r="Q606" s="9" t="str">
        <f ca="1">IF($G606="","",INDEX(BASE_PRODUTOS!$J$2:$J$1006,$G606))</f>
        <v/>
      </c>
      <c r="R606" s="9" t="str">
        <f ca="1">IF($G606="","",INDEX(BASE_PRODUTOS!$M$2:$M$1006,$G606))</f>
        <v/>
      </c>
      <c r="S606" s="9" t="str">
        <f ca="1">IF($G606="","",INDEX(BASE_PRODUTOS!$N$2:$N$1006,$G606))</f>
        <v/>
      </c>
      <c r="T606" s="9" t="str">
        <f ca="1">IF($G606="","",INDEX(BASE_PRODUTOS!$D$2:$D$1006,$G606))</f>
        <v/>
      </c>
    </row>
    <row r="607" spans="7:20" ht="18" customHeight="1" x14ac:dyDescent="0.35">
      <c r="G607" t="str">
        <f ca="1">IFERROR(_xludf.aggregate(15,6,(ROW(BASE_PRODUTOS!$L$2:$L$1006)-ROW(BASE_PRODUTOS!$L$2)+1)/(BASE_PRODUTOS!$L$2:$L$1006&gt;0),ROWS($G$10:G607)),"")</f>
        <v/>
      </c>
      <c r="H607" s="9" t="str">
        <f ca="1">IF($G607="","",INDEX(BASE_PRODUTOS!$B$2:$B$1006,$G607))</f>
        <v/>
      </c>
      <c r="I607" s="9" t="str">
        <f ca="1">IF($G607="","",INDEX(BASE_PRODUTOS!$L$2:$L$1006,$G607))</f>
        <v/>
      </c>
      <c r="J607" s="9" t="str">
        <f ca="1">IF($G607="","",INDEX(BASE_PRODUTOS!$A$2:$A$1006,$G607))</f>
        <v/>
      </c>
      <c r="K607" s="9" t="str">
        <f ca="1">IF($G607="","",INDEX(BASE_PRODUTOS!$C$2:$C$1006,$G607))</f>
        <v/>
      </c>
      <c r="L607" s="9" t="str">
        <f ca="1">IF($G607="","",INDEX(BASE_PRODUTOS!$E$2:$E$1006,$G607))</f>
        <v/>
      </c>
      <c r="M607" s="9" t="str">
        <f ca="1">IF($G607="","",INDEX(BASE_PRODUTOS!$F$2:$F$1006,$G607))</f>
        <v/>
      </c>
      <c r="N607" s="9" t="str">
        <f ca="1">IF($G607="","",INDEX(BASE_PRODUTOS!$G$2:$G$1006,$G607))</f>
        <v/>
      </c>
      <c r="O607" s="9" t="str">
        <f ca="1">IF($G607="","",INDEX(BASE_PRODUTOS!$H$2:$H$1006,$G607))</f>
        <v/>
      </c>
      <c r="P607" s="9" t="str">
        <f ca="1">IF($G607="","",INDEX(BASE_PRODUTOS!$I$2:$I$1006,$G607))</f>
        <v/>
      </c>
      <c r="Q607" s="9" t="str">
        <f ca="1">IF($G607="","",INDEX(BASE_PRODUTOS!$J$2:$J$1006,$G607))</f>
        <v/>
      </c>
      <c r="R607" s="9" t="str">
        <f ca="1">IF($G607="","",INDEX(BASE_PRODUTOS!$M$2:$M$1006,$G607))</f>
        <v/>
      </c>
      <c r="S607" s="9" t="str">
        <f ca="1">IF($G607="","",INDEX(BASE_PRODUTOS!$N$2:$N$1006,$G607))</f>
        <v/>
      </c>
      <c r="T607" s="9" t="str">
        <f ca="1">IF($G607="","",INDEX(BASE_PRODUTOS!$D$2:$D$1006,$G607))</f>
        <v/>
      </c>
    </row>
    <row r="608" spans="7:20" ht="18" customHeight="1" x14ac:dyDescent="0.35">
      <c r="G608" t="str">
        <f ca="1">IFERROR(_xludf.aggregate(15,6,(ROW(BASE_PRODUTOS!$L$2:$L$1006)-ROW(BASE_PRODUTOS!$L$2)+1)/(BASE_PRODUTOS!$L$2:$L$1006&gt;0),ROWS($G$10:G608)),"")</f>
        <v/>
      </c>
      <c r="H608" s="9" t="str">
        <f ca="1">IF($G608="","",INDEX(BASE_PRODUTOS!$B$2:$B$1006,$G608))</f>
        <v/>
      </c>
      <c r="I608" s="9" t="str">
        <f ca="1">IF($G608="","",INDEX(BASE_PRODUTOS!$L$2:$L$1006,$G608))</f>
        <v/>
      </c>
      <c r="J608" s="9" t="str">
        <f ca="1">IF($G608="","",INDEX(BASE_PRODUTOS!$A$2:$A$1006,$G608))</f>
        <v/>
      </c>
      <c r="K608" s="9" t="str">
        <f ca="1">IF($G608="","",INDEX(BASE_PRODUTOS!$C$2:$C$1006,$G608))</f>
        <v/>
      </c>
      <c r="L608" s="9" t="str">
        <f ca="1">IF($G608="","",INDEX(BASE_PRODUTOS!$E$2:$E$1006,$G608))</f>
        <v/>
      </c>
      <c r="M608" s="9" t="str">
        <f ca="1">IF($G608="","",INDEX(BASE_PRODUTOS!$F$2:$F$1006,$G608))</f>
        <v/>
      </c>
      <c r="N608" s="9" t="str">
        <f ca="1">IF($G608="","",INDEX(BASE_PRODUTOS!$G$2:$G$1006,$G608))</f>
        <v/>
      </c>
      <c r="O608" s="9" t="str">
        <f ca="1">IF($G608="","",INDEX(BASE_PRODUTOS!$H$2:$H$1006,$G608))</f>
        <v/>
      </c>
      <c r="P608" s="9" t="str">
        <f ca="1">IF($G608="","",INDEX(BASE_PRODUTOS!$I$2:$I$1006,$G608))</f>
        <v/>
      </c>
      <c r="Q608" s="9" t="str">
        <f ca="1">IF($G608="","",INDEX(BASE_PRODUTOS!$J$2:$J$1006,$G608))</f>
        <v/>
      </c>
      <c r="R608" s="9" t="str">
        <f ca="1">IF($G608="","",INDEX(BASE_PRODUTOS!$M$2:$M$1006,$G608))</f>
        <v/>
      </c>
      <c r="S608" s="9" t="str">
        <f ca="1">IF($G608="","",INDEX(BASE_PRODUTOS!$N$2:$N$1006,$G608))</f>
        <v/>
      </c>
      <c r="T608" s="9" t="str">
        <f ca="1">IF($G608="","",INDEX(BASE_PRODUTOS!$D$2:$D$1006,$G608))</f>
        <v/>
      </c>
    </row>
    <row r="609" spans="7:20" ht="18" customHeight="1" x14ac:dyDescent="0.35">
      <c r="G609" t="str">
        <f ca="1">IFERROR(_xludf.aggregate(15,6,(ROW(BASE_PRODUTOS!$L$2:$L$1006)-ROW(BASE_PRODUTOS!$L$2)+1)/(BASE_PRODUTOS!$L$2:$L$1006&gt;0),ROWS($G$10:G609)),"")</f>
        <v/>
      </c>
      <c r="H609" s="9" t="str">
        <f ca="1">IF($G609="","",INDEX(BASE_PRODUTOS!$B$2:$B$1006,$G609))</f>
        <v/>
      </c>
      <c r="I609" s="9" t="str">
        <f ca="1">IF($G609="","",INDEX(BASE_PRODUTOS!$L$2:$L$1006,$G609))</f>
        <v/>
      </c>
      <c r="J609" s="9" t="str">
        <f ca="1">IF($G609="","",INDEX(BASE_PRODUTOS!$A$2:$A$1006,$G609))</f>
        <v/>
      </c>
      <c r="K609" s="9" t="str">
        <f ca="1">IF($G609="","",INDEX(BASE_PRODUTOS!$C$2:$C$1006,$G609))</f>
        <v/>
      </c>
      <c r="L609" s="9" t="str">
        <f ca="1">IF($G609="","",INDEX(BASE_PRODUTOS!$E$2:$E$1006,$G609))</f>
        <v/>
      </c>
      <c r="M609" s="9" t="str">
        <f ca="1">IF($G609="","",INDEX(BASE_PRODUTOS!$F$2:$F$1006,$G609))</f>
        <v/>
      </c>
      <c r="N609" s="9" t="str">
        <f ca="1">IF($G609="","",INDEX(BASE_PRODUTOS!$G$2:$G$1006,$G609))</f>
        <v/>
      </c>
      <c r="O609" s="9" t="str">
        <f ca="1">IF($G609="","",INDEX(BASE_PRODUTOS!$H$2:$H$1006,$G609))</f>
        <v/>
      </c>
      <c r="P609" s="9" t="str">
        <f ca="1">IF($G609="","",INDEX(BASE_PRODUTOS!$I$2:$I$1006,$G609))</f>
        <v/>
      </c>
      <c r="Q609" s="9" t="str">
        <f ca="1">IF($G609="","",INDEX(BASE_PRODUTOS!$J$2:$J$1006,$G609))</f>
        <v/>
      </c>
      <c r="R609" s="9" t="str">
        <f ca="1">IF($G609="","",INDEX(BASE_PRODUTOS!$M$2:$M$1006,$G609))</f>
        <v/>
      </c>
      <c r="S609" s="9" t="str">
        <f ca="1">IF($G609="","",INDEX(BASE_PRODUTOS!$N$2:$N$1006,$G609))</f>
        <v/>
      </c>
      <c r="T609" s="9" t="str">
        <f ca="1">IF($G609="","",INDEX(BASE_PRODUTOS!$D$2:$D$1006,$G609))</f>
        <v/>
      </c>
    </row>
    <row r="610" spans="7:20" ht="18" customHeight="1" x14ac:dyDescent="0.35">
      <c r="G610" t="str">
        <f ca="1">IFERROR(_xludf.aggregate(15,6,(ROW(BASE_PRODUTOS!$L$2:$L$1006)-ROW(BASE_PRODUTOS!$L$2)+1)/(BASE_PRODUTOS!$L$2:$L$1006&gt;0),ROWS($G$10:G610)),"")</f>
        <v/>
      </c>
      <c r="H610" s="9" t="str">
        <f ca="1">IF($G610="","",INDEX(BASE_PRODUTOS!$B$2:$B$1006,$G610))</f>
        <v/>
      </c>
      <c r="I610" s="9" t="str">
        <f ca="1">IF($G610="","",INDEX(BASE_PRODUTOS!$L$2:$L$1006,$G610))</f>
        <v/>
      </c>
      <c r="J610" s="9" t="str">
        <f ca="1">IF($G610="","",INDEX(BASE_PRODUTOS!$A$2:$A$1006,$G610))</f>
        <v/>
      </c>
      <c r="K610" s="9" t="str">
        <f ca="1">IF($G610="","",INDEX(BASE_PRODUTOS!$C$2:$C$1006,$G610))</f>
        <v/>
      </c>
      <c r="L610" s="9" t="str">
        <f ca="1">IF($G610="","",INDEX(BASE_PRODUTOS!$E$2:$E$1006,$G610))</f>
        <v/>
      </c>
      <c r="M610" s="9" t="str">
        <f ca="1">IF($G610="","",INDEX(BASE_PRODUTOS!$F$2:$F$1006,$G610))</f>
        <v/>
      </c>
      <c r="N610" s="9" t="str">
        <f ca="1">IF($G610="","",INDEX(BASE_PRODUTOS!$G$2:$G$1006,$G610))</f>
        <v/>
      </c>
      <c r="O610" s="9" t="str">
        <f ca="1">IF($G610="","",INDEX(BASE_PRODUTOS!$H$2:$H$1006,$G610))</f>
        <v/>
      </c>
      <c r="P610" s="9" t="str">
        <f ca="1">IF($G610="","",INDEX(BASE_PRODUTOS!$I$2:$I$1006,$G610))</f>
        <v/>
      </c>
      <c r="Q610" s="9" t="str">
        <f ca="1">IF($G610="","",INDEX(BASE_PRODUTOS!$J$2:$J$1006,$G610))</f>
        <v/>
      </c>
      <c r="R610" s="9" t="str">
        <f ca="1">IF($G610="","",INDEX(BASE_PRODUTOS!$M$2:$M$1006,$G610))</f>
        <v/>
      </c>
      <c r="S610" s="9" t="str">
        <f ca="1">IF($G610="","",INDEX(BASE_PRODUTOS!$N$2:$N$1006,$G610))</f>
        <v/>
      </c>
      <c r="T610" s="9" t="str">
        <f ca="1">IF($G610="","",INDEX(BASE_PRODUTOS!$D$2:$D$1006,$G610))</f>
        <v/>
      </c>
    </row>
    <row r="611" spans="7:20" ht="18" customHeight="1" x14ac:dyDescent="0.35">
      <c r="G611" t="str">
        <f ca="1">IFERROR(_xludf.aggregate(15,6,(ROW(BASE_PRODUTOS!$L$2:$L$1006)-ROW(BASE_PRODUTOS!$L$2)+1)/(BASE_PRODUTOS!$L$2:$L$1006&gt;0),ROWS($G$10:G611)),"")</f>
        <v/>
      </c>
      <c r="H611" s="9" t="str">
        <f ca="1">IF($G611="","",INDEX(BASE_PRODUTOS!$B$2:$B$1006,$G611))</f>
        <v/>
      </c>
      <c r="I611" s="9" t="str">
        <f ca="1">IF($G611="","",INDEX(BASE_PRODUTOS!$L$2:$L$1006,$G611))</f>
        <v/>
      </c>
      <c r="J611" s="9" t="str">
        <f ca="1">IF($G611="","",INDEX(BASE_PRODUTOS!$A$2:$A$1006,$G611))</f>
        <v/>
      </c>
      <c r="K611" s="9" t="str">
        <f ca="1">IF($G611="","",INDEX(BASE_PRODUTOS!$C$2:$C$1006,$G611))</f>
        <v/>
      </c>
      <c r="L611" s="9" t="str">
        <f ca="1">IF($G611="","",INDEX(BASE_PRODUTOS!$E$2:$E$1006,$G611))</f>
        <v/>
      </c>
      <c r="M611" s="9" t="str">
        <f ca="1">IF($G611="","",INDEX(BASE_PRODUTOS!$F$2:$F$1006,$G611))</f>
        <v/>
      </c>
      <c r="N611" s="9" t="str">
        <f ca="1">IF($G611="","",INDEX(BASE_PRODUTOS!$G$2:$G$1006,$G611))</f>
        <v/>
      </c>
      <c r="O611" s="9" t="str">
        <f ca="1">IF($G611="","",INDEX(BASE_PRODUTOS!$H$2:$H$1006,$G611))</f>
        <v/>
      </c>
      <c r="P611" s="9" t="str">
        <f ca="1">IF($G611="","",INDEX(BASE_PRODUTOS!$I$2:$I$1006,$G611))</f>
        <v/>
      </c>
      <c r="Q611" s="9" t="str">
        <f ca="1">IF($G611="","",INDEX(BASE_PRODUTOS!$J$2:$J$1006,$G611))</f>
        <v/>
      </c>
      <c r="R611" s="9" t="str">
        <f ca="1">IF($G611="","",INDEX(BASE_PRODUTOS!$M$2:$M$1006,$G611))</f>
        <v/>
      </c>
      <c r="S611" s="9" t="str">
        <f ca="1">IF($G611="","",INDEX(BASE_PRODUTOS!$N$2:$N$1006,$G611))</f>
        <v/>
      </c>
      <c r="T611" s="9" t="str">
        <f ca="1">IF($G611="","",INDEX(BASE_PRODUTOS!$D$2:$D$1006,$G611))</f>
        <v/>
      </c>
    </row>
    <row r="612" spans="7:20" ht="18" customHeight="1" x14ac:dyDescent="0.35">
      <c r="G612" t="str">
        <f ca="1">IFERROR(_xludf.aggregate(15,6,(ROW(BASE_PRODUTOS!$L$2:$L$1006)-ROW(BASE_PRODUTOS!$L$2)+1)/(BASE_PRODUTOS!$L$2:$L$1006&gt;0),ROWS($G$10:G612)),"")</f>
        <v/>
      </c>
      <c r="H612" s="9" t="str">
        <f ca="1">IF($G612="","",INDEX(BASE_PRODUTOS!$B$2:$B$1006,$G612))</f>
        <v/>
      </c>
      <c r="I612" s="9" t="str">
        <f ca="1">IF($G612="","",INDEX(BASE_PRODUTOS!$L$2:$L$1006,$G612))</f>
        <v/>
      </c>
      <c r="J612" s="9" t="str">
        <f ca="1">IF($G612="","",INDEX(BASE_PRODUTOS!$A$2:$A$1006,$G612))</f>
        <v/>
      </c>
      <c r="K612" s="9" t="str">
        <f ca="1">IF($G612="","",INDEX(BASE_PRODUTOS!$C$2:$C$1006,$G612))</f>
        <v/>
      </c>
      <c r="L612" s="9" t="str">
        <f ca="1">IF($G612="","",INDEX(BASE_PRODUTOS!$E$2:$E$1006,$G612))</f>
        <v/>
      </c>
      <c r="M612" s="9" t="str">
        <f ca="1">IF($G612="","",INDEX(BASE_PRODUTOS!$F$2:$F$1006,$G612))</f>
        <v/>
      </c>
      <c r="N612" s="9" t="str">
        <f ca="1">IF($G612="","",INDEX(BASE_PRODUTOS!$G$2:$G$1006,$G612))</f>
        <v/>
      </c>
      <c r="O612" s="9" t="str">
        <f ca="1">IF($G612="","",INDEX(BASE_PRODUTOS!$H$2:$H$1006,$G612))</f>
        <v/>
      </c>
      <c r="P612" s="9" t="str">
        <f ca="1">IF($G612="","",INDEX(BASE_PRODUTOS!$I$2:$I$1006,$G612))</f>
        <v/>
      </c>
      <c r="Q612" s="9" t="str">
        <f ca="1">IF($G612="","",INDEX(BASE_PRODUTOS!$J$2:$J$1006,$G612))</f>
        <v/>
      </c>
      <c r="R612" s="9" t="str">
        <f ca="1">IF($G612="","",INDEX(BASE_PRODUTOS!$M$2:$M$1006,$G612))</f>
        <v/>
      </c>
      <c r="S612" s="9" t="str">
        <f ca="1">IF($G612="","",INDEX(BASE_PRODUTOS!$N$2:$N$1006,$G612))</f>
        <v/>
      </c>
      <c r="T612" s="9" t="str">
        <f ca="1">IF($G612="","",INDEX(BASE_PRODUTOS!$D$2:$D$1006,$G612))</f>
        <v/>
      </c>
    </row>
    <row r="613" spans="7:20" ht="18" customHeight="1" x14ac:dyDescent="0.35">
      <c r="G613" t="str">
        <f ca="1">IFERROR(_xludf.aggregate(15,6,(ROW(BASE_PRODUTOS!$L$2:$L$1006)-ROW(BASE_PRODUTOS!$L$2)+1)/(BASE_PRODUTOS!$L$2:$L$1006&gt;0),ROWS($G$10:G613)),"")</f>
        <v/>
      </c>
      <c r="H613" s="9" t="str">
        <f ca="1">IF($G613="","",INDEX(BASE_PRODUTOS!$B$2:$B$1006,$G613))</f>
        <v/>
      </c>
      <c r="I613" s="9" t="str">
        <f ca="1">IF($G613="","",INDEX(BASE_PRODUTOS!$L$2:$L$1006,$G613))</f>
        <v/>
      </c>
      <c r="J613" s="9" t="str">
        <f ca="1">IF($G613="","",INDEX(BASE_PRODUTOS!$A$2:$A$1006,$G613))</f>
        <v/>
      </c>
      <c r="K613" s="9" t="str">
        <f ca="1">IF($G613="","",INDEX(BASE_PRODUTOS!$C$2:$C$1006,$G613))</f>
        <v/>
      </c>
      <c r="L613" s="9" t="str">
        <f ca="1">IF($G613="","",INDEX(BASE_PRODUTOS!$E$2:$E$1006,$G613))</f>
        <v/>
      </c>
      <c r="M613" s="9" t="str">
        <f ca="1">IF($G613="","",INDEX(BASE_PRODUTOS!$F$2:$F$1006,$G613))</f>
        <v/>
      </c>
      <c r="N613" s="9" t="str">
        <f ca="1">IF($G613="","",INDEX(BASE_PRODUTOS!$G$2:$G$1006,$G613))</f>
        <v/>
      </c>
      <c r="O613" s="9" t="str">
        <f ca="1">IF($G613="","",INDEX(BASE_PRODUTOS!$H$2:$H$1006,$G613))</f>
        <v/>
      </c>
      <c r="P613" s="9" t="str">
        <f ca="1">IF($G613="","",INDEX(BASE_PRODUTOS!$I$2:$I$1006,$G613))</f>
        <v/>
      </c>
      <c r="Q613" s="9" t="str">
        <f ca="1">IF($G613="","",INDEX(BASE_PRODUTOS!$J$2:$J$1006,$G613))</f>
        <v/>
      </c>
      <c r="R613" s="9" t="str">
        <f ca="1">IF($G613="","",INDEX(BASE_PRODUTOS!$M$2:$M$1006,$G613))</f>
        <v/>
      </c>
      <c r="S613" s="9" t="str">
        <f ca="1">IF($G613="","",INDEX(BASE_PRODUTOS!$N$2:$N$1006,$G613))</f>
        <v/>
      </c>
      <c r="T613" s="9" t="str">
        <f ca="1">IF($G613="","",INDEX(BASE_PRODUTOS!$D$2:$D$1006,$G613))</f>
        <v/>
      </c>
    </row>
    <row r="614" spans="7:20" ht="18" customHeight="1" x14ac:dyDescent="0.35">
      <c r="G614" t="str">
        <f ca="1">IFERROR(_xludf.aggregate(15,6,(ROW(BASE_PRODUTOS!$L$2:$L$1006)-ROW(BASE_PRODUTOS!$L$2)+1)/(BASE_PRODUTOS!$L$2:$L$1006&gt;0),ROWS($G$10:G614)),"")</f>
        <v/>
      </c>
      <c r="H614" s="9" t="str">
        <f ca="1">IF($G614="","",INDEX(BASE_PRODUTOS!$B$2:$B$1006,$G614))</f>
        <v/>
      </c>
      <c r="I614" s="9" t="str">
        <f ca="1">IF($G614="","",INDEX(BASE_PRODUTOS!$L$2:$L$1006,$G614))</f>
        <v/>
      </c>
      <c r="J614" s="9" t="str">
        <f ca="1">IF($G614="","",INDEX(BASE_PRODUTOS!$A$2:$A$1006,$G614))</f>
        <v/>
      </c>
      <c r="K614" s="9" t="str">
        <f ca="1">IF($G614="","",INDEX(BASE_PRODUTOS!$C$2:$C$1006,$G614))</f>
        <v/>
      </c>
      <c r="L614" s="9" t="str">
        <f ca="1">IF($G614="","",INDEX(BASE_PRODUTOS!$E$2:$E$1006,$G614))</f>
        <v/>
      </c>
      <c r="M614" s="9" t="str">
        <f ca="1">IF($G614="","",INDEX(BASE_PRODUTOS!$F$2:$F$1006,$G614))</f>
        <v/>
      </c>
      <c r="N614" s="9" t="str">
        <f ca="1">IF($G614="","",INDEX(BASE_PRODUTOS!$G$2:$G$1006,$G614))</f>
        <v/>
      </c>
      <c r="O614" s="9" t="str">
        <f ca="1">IF($G614="","",INDEX(BASE_PRODUTOS!$H$2:$H$1006,$G614))</f>
        <v/>
      </c>
      <c r="P614" s="9" t="str">
        <f ca="1">IF($G614="","",INDEX(BASE_PRODUTOS!$I$2:$I$1006,$G614))</f>
        <v/>
      </c>
      <c r="Q614" s="9" t="str">
        <f ca="1">IF($G614="","",INDEX(BASE_PRODUTOS!$J$2:$J$1006,$G614))</f>
        <v/>
      </c>
      <c r="R614" s="9" t="str">
        <f ca="1">IF($G614="","",INDEX(BASE_PRODUTOS!$M$2:$M$1006,$G614))</f>
        <v/>
      </c>
      <c r="S614" s="9" t="str">
        <f ca="1">IF($G614="","",INDEX(BASE_PRODUTOS!$N$2:$N$1006,$G614))</f>
        <v/>
      </c>
      <c r="T614" s="9" t="str">
        <f ca="1">IF($G614="","",INDEX(BASE_PRODUTOS!$D$2:$D$1006,$G614))</f>
        <v/>
      </c>
    </row>
    <row r="615" spans="7:20" ht="18" customHeight="1" x14ac:dyDescent="0.35">
      <c r="G615" t="str">
        <f ca="1">IFERROR(_xludf.aggregate(15,6,(ROW(BASE_PRODUTOS!$L$2:$L$1006)-ROW(BASE_PRODUTOS!$L$2)+1)/(BASE_PRODUTOS!$L$2:$L$1006&gt;0),ROWS($G$10:G615)),"")</f>
        <v/>
      </c>
      <c r="H615" s="9" t="str">
        <f ca="1">IF($G615="","",INDEX(BASE_PRODUTOS!$B$2:$B$1006,$G615))</f>
        <v/>
      </c>
      <c r="I615" s="9" t="str">
        <f ca="1">IF($G615="","",INDEX(BASE_PRODUTOS!$L$2:$L$1006,$G615))</f>
        <v/>
      </c>
      <c r="J615" s="9" t="str">
        <f ca="1">IF($G615="","",INDEX(BASE_PRODUTOS!$A$2:$A$1006,$G615))</f>
        <v/>
      </c>
      <c r="K615" s="9" t="str">
        <f ca="1">IF($G615="","",INDEX(BASE_PRODUTOS!$C$2:$C$1006,$G615))</f>
        <v/>
      </c>
      <c r="L615" s="9" t="str">
        <f ca="1">IF($G615="","",INDEX(BASE_PRODUTOS!$E$2:$E$1006,$G615))</f>
        <v/>
      </c>
      <c r="M615" s="9" t="str">
        <f ca="1">IF($G615="","",INDEX(BASE_PRODUTOS!$F$2:$F$1006,$G615))</f>
        <v/>
      </c>
      <c r="N615" s="9" t="str">
        <f ca="1">IF($G615="","",INDEX(BASE_PRODUTOS!$G$2:$G$1006,$G615))</f>
        <v/>
      </c>
      <c r="O615" s="9" t="str">
        <f ca="1">IF($G615="","",INDEX(BASE_PRODUTOS!$H$2:$H$1006,$G615))</f>
        <v/>
      </c>
      <c r="P615" s="9" t="str">
        <f ca="1">IF($G615="","",INDEX(BASE_PRODUTOS!$I$2:$I$1006,$G615))</f>
        <v/>
      </c>
      <c r="Q615" s="9" t="str">
        <f ca="1">IF($G615="","",INDEX(BASE_PRODUTOS!$J$2:$J$1006,$G615))</f>
        <v/>
      </c>
      <c r="R615" s="9" t="str">
        <f ca="1">IF($G615="","",INDEX(BASE_PRODUTOS!$M$2:$M$1006,$G615))</f>
        <v/>
      </c>
      <c r="S615" s="9" t="str">
        <f ca="1">IF($G615="","",INDEX(BASE_PRODUTOS!$N$2:$N$1006,$G615))</f>
        <v/>
      </c>
      <c r="T615" s="9" t="str">
        <f ca="1">IF($G615="","",INDEX(BASE_PRODUTOS!$D$2:$D$1006,$G615))</f>
        <v/>
      </c>
    </row>
    <row r="616" spans="7:20" ht="18" customHeight="1" x14ac:dyDescent="0.35">
      <c r="G616" t="str">
        <f ca="1">IFERROR(_xludf.aggregate(15,6,(ROW(BASE_PRODUTOS!$L$2:$L$1006)-ROW(BASE_PRODUTOS!$L$2)+1)/(BASE_PRODUTOS!$L$2:$L$1006&gt;0),ROWS($G$10:G616)),"")</f>
        <v/>
      </c>
      <c r="H616" s="9" t="str">
        <f ca="1">IF($G616="","",INDEX(BASE_PRODUTOS!$B$2:$B$1006,$G616))</f>
        <v/>
      </c>
      <c r="I616" s="9" t="str">
        <f ca="1">IF($G616="","",INDEX(BASE_PRODUTOS!$L$2:$L$1006,$G616))</f>
        <v/>
      </c>
      <c r="J616" s="9" t="str">
        <f ca="1">IF($G616="","",INDEX(BASE_PRODUTOS!$A$2:$A$1006,$G616))</f>
        <v/>
      </c>
      <c r="K616" s="9" t="str">
        <f ca="1">IF($G616="","",INDEX(BASE_PRODUTOS!$C$2:$C$1006,$G616))</f>
        <v/>
      </c>
      <c r="L616" s="9" t="str">
        <f ca="1">IF($G616="","",INDEX(BASE_PRODUTOS!$E$2:$E$1006,$G616))</f>
        <v/>
      </c>
      <c r="M616" s="9" t="str">
        <f ca="1">IF($G616="","",INDEX(BASE_PRODUTOS!$F$2:$F$1006,$G616))</f>
        <v/>
      </c>
      <c r="N616" s="9" t="str">
        <f ca="1">IF($G616="","",INDEX(BASE_PRODUTOS!$G$2:$G$1006,$G616))</f>
        <v/>
      </c>
      <c r="O616" s="9" t="str">
        <f ca="1">IF($G616="","",INDEX(BASE_PRODUTOS!$H$2:$H$1006,$G616))</f>
        <v/>
      </c>
      <c r="P616" s="9" t="str">
        <f ca="1">IF($G616="","",INDEX(BASE_PRODUTOS!$I$2:$I$1006,$G616))</f>
        <v/>
      </c>
      <c r="Q616" s="9" t="str">
        <f ca="1">IF($G616="","",INDEX(BASE_PRODUTOS!$J$2:$J$1006,$G616))</f>
        <v/>
      </c>
      <c r="R616" s="9" t="str">
        <f ca="1">IF($G616="","",INDEX(BASE_PRODUTOS!$M$2:$M$1006,$G616))</f>
        <v/>
      </c>
      <c r="S616" s="9" t="str">
        <f ca="1">IF($G616="","",INDEX(BASE_PRODUTOS!$N$2:$N$1006,$G616))</f>
        <v/>
      </c>
      <c r="T616" s="9" t="str">
        <f ca="1">IF($G616="","",INDEX(BASE_PRODUTOS!$D$2:$D$1006,$G616))</f>
        <v/>
      </c>
    </row>
    <row r="617" spans="7:20" ht="18" customHeight="1" x14ac:dyDescent="0.35">
      <c r="G617" t="str">
        <f ca="1">IFERROR(_xludf.aggregate(15,6,(ROW(BASE_PRODUTOS!$L$2:$L$1006)-ROW(BASE_PRODUTOS!$L$2)+1)/(BASE_PRODUTOS!$L$2:$L$1006&gt;0),ROWS($G$10:G617)),"")</f>
        <v/>
      </c>
      <c r="H617" s="9" t="str">
        <f ca="1">IF($G617="","",INDEX(BASE_PRODUTOS!$B$2:$B$1006,$G617))</f>
        <v/>
      </c>
      <c r="I617" s="9" t="str">
        <f ca="1">IF($G617="","",INDEX(BASE_PRODUTOS!$L$2:$L$1006,$G617))</f>
        <v/>
      </c>
      <c r="J617" s="9" t="str">
        <f ca="1">IF($G617="","",INDEX(BASE_PRODUTOS!$A$2:$A$1006,$G617))</f>
        <v/>
      </c>
      <c r="K617" s="9" t="str">
        <f ca="1">IF($G617="","",INDEX(BASE_PRODUTOS!$C$2:$C$1006,$G617))</f>
        <v/>
      </c>
      <c r="L617" s="9" t="str">
        <f ca="1">IF($G617="","",INDEX(BASE_PRODUTOS!$E$2:$E$1006,$G617))</f>
        <v/>
      </c>
      <c r="M617" s="9" t="str">
        <f ca="1">IF($G617="","",INDEX(BASE_PRODUTOS!$F$2:$F$1006,$G617))</f>
        <v/>
      </c>
      <c r="N617" s="9" t="str">
        <f ca="1">IF($G617="","",INDEX(BASE_PRODUTOS!$G$2:$G$1006,$G617))</f>
        <v/>
      </c>
      <c r="O617" s="9" t="str">
        <f ca="1">IF($G617="","",INDEX(BASE_PRODUTOS!$H$2:$H$1006,$G617))</f>
        <v/>
      </c>
      <c r="P617" s="9" t="str">
        <f ca="1">IF($G617="","",INDEX(BASE_PRODUTOS!$I$2:$I$1006,$G617))</f>
        <v/>
      </c>
      <c r="Q617" s="9" t="str">
        <f ca="1">IF($G617="","",INDEX(BASE_PRODUTOS!$J$2:$J$1006,$G617))</f>
        <v/>
      </c>
      <c r="R617" s="9" t="str">
        <f ca="1">IF($G617="","",INDEX(BASE_PRODUTOS!$M$2:$M$1006,$G617))</f>
        <v/>
      </c>
      <c r="S617" s="9" t="str">
        <f ca="1">IF($G617="","",INDEX(BASE_PRODUTOS!$N$2:$N$1006,$G617))</f>
        <v/>
      </c>
      <c r="T617" s="9" t="str">
        <f ca="1">IF($G617="","",INDEX(BASE_PRODUTOS!$D$2:$D$1006,$G617))</f>
        <v/>
      </c>
    </row>
    <row r="618" spans="7:20" ht="18" customHeight="1" x14ac:dyDescent="0.35">
      <c r="G618" t="str">
        <f ca="1">IFERROR(_xludf.aggregate(15,6,(ROW(BASE_PRODUTOS!$L$2:$L$1006)-ROW(BASE_PRODUTOS!$L$2)+1)/(BASE_PRODUTOS!$L$2:$L$1006&gt;0),ROWS($G$10:G618)),"")</f>
        <v/>
      </c>
      <c r="H618" s="9" t="str">
        <f ca="1">IF($G618="","",INDEX(BASE_PRODUTOS!$B$2:$B$1006,$G618))</f>
        <v/>
      </c>
      <c r="I618" s="9" t="str">
        <f ca="1">IF($G618="","",INDEX(BASE_PRODUTOS!$L$2:$L$1006,$G618))</f>
        <v/>
      </c>
      <c r="J618" s="9" t="str">
        <f ca="1">IF($G618="","",INDEX(BASE_PRODUTOS!$A$2:$A$1006,$G618))</f>
        <v/>
      </c>
      <c r="K618" s="9" t="str">
        <f ca="1">IF($G618="","",INDEX(BASE_PRODUTOS!$C$2:$C$1006,$G618))</f>
        <v/>
      </c>
      <c r="L618" s="9" t="str">
        <f ca="1">IF($G618="","",INDEX(BASE_PRODUTOS!$E$2:$E$1006,$G618))</f>
        <v/>
      </c>
      <c r="M618" s="9" t="str">
        <f ca="1">IF($G618="","",INDEX(BASE_PRODUTOS!$F$2:$F$1006,$G618))</f>
        <v/>
      </c>
      <c r="N618" s="9" t="str">
        <f ca="1">IF($G618="","",INDEX(BASE_PRODUTOS!$G$2:$G$1006,$G618))</f>
        <v/>
      </c>
      <c r="O618" s="9" t="str">
        <f ca="1">IF($G618="","",INDEX(BASE_PRODUTOS!$H$2:$H$1006,$G618))</f>
        <v/>
      </c>
      <c r="P618" s="9" t="str">
        <f ca="1">IF($G618="","",INDEX(BASE_PRODUTOS!$I$2:$I$1006,$G618))</f>
        <v/>
      </c>
      <c r="Q618" s="9" t="str">
        <f ca="1">IF($G618="","",INDEX(BASE_PRODUTOS!$J$2:$J$1006,$G618))</f>
        <v/>
      </c>
      <c r="R618" s="9" t="str">
        <f ca="1">IF($G618="","",INDEX(BASE_PRODUTOS!$M$2:$M$1006,$G618))</f>
        <v/>
      </c>
      <c r="S618" s="9" t="str">
        <f ca="1">IF($G618="","",INDEX(BASE_PRODUTOS!$N$2:$N$1006,$G618))</f>
        <v/>
      </c>
      <c r="T618" s="9" t="str">
        <f ca="1">IF($G618="","",INDEX(BASE_PRODUTOS!$D$2:$D$1006,$G618))</f>
        <v/>
      </c>
    </row>
    <row r="619" spans="7:20" ht="18" customHeight="1" x14ac:dyDescent="0.35">
      <c r="G619" t="str">
        <f ca="1">IFERROR(_xludf.aggregate(15,6,(ROW(BASE_PRODUTOS!$L$2:$L$1006)-ROW(BASE_PRODUTOS!$L$2)+1)/(BASE_PRODUTOS!$L$2:$L$1006&gt;0),ROWS($G$10:G619)),"")</f>
        <v/>
      </c>
      <c r="H619" s="9" t="str">
        <f ca="1">IF($G619="","",INDEX(BASE_PRODUTOS!$B$2:$B$1006,$G619))</f>
        <v/>
      </c>
      <c r="I619" s="9" t="str">
        <f ca="1">IF($G619="","",INDEX(BASE_PRODUTOS!$L$2:$L$1006,$G619))</f>
        <v/>
      </c>
      <c r="J619" s="9" t="str">
        <f ca="1">IF($G619="","",INDEX(BASE_PRODUTOS!$A$2:$A$1006,$G619))</f>
        <v/>
      </c>
      <c r="K619" s="9" t="str">
        <f ca="1">IF($G619="","",INDEX(BASE_PRODUTOS!$C$2:$C$1006,$G619))</f>
        <v/>
      </c>
      <c r="L619" s="9" t="str">
        <f ca="1">IF($G619="","",INDEX(BASE_PRODUTOS!$E$2:$E$1006,$G619))</f>
        <v/>
      </c>
      <c r="M619" s="9" t="str">
        <f ca="1">IF($G619="","",INDEX(BASE_PRODUTOS!$F$2:$F$1006,$G619))</f>
        <v/>
      </c>
      <c r="N619" s="9" t="str">
        <f ca="1">IF($G619="","",INDEX(BASE_PRODUTOS!$G$2:$G$1006,$G619))</f>
        <v/>
      </c>
      <c r="O619" s="9" t="str">
        <f ca="1">IF($G619="","",INDEX(BASE_PRODUTOS!$H$2:$H$1006,$G619))</f>
        <v/>
      </c>
      <c r="P619" s="9" t="str">
        <f ca="1">IF($G619="","",INDEX(BASE_PRODUTOS!$I$2:$I$1006,$G619))</f>
        <v/>
      </c>
      <c r="Q619" s="9" t="str">
        <f ca="1">IF($G619="","",INDEX(BASE_PRODUTOS!$J$2:$J$1006,$G619))</f>
        <v/>
      </c>
      <c r="R619" s="9" t="str">
        <f ca="1">IF($G619="","",INDEX(BASE_PRODUTOS!$M$2:$M$1006,$G619))</f>
        <v/>
      </c>
      <c r="S619" s="9" t="str">
        <f ca="1">IF($G619="","",INDEX(BASE_PRODUTOS!$N$2:$N$1006,$G619))</f>
        <v/>
      </c>
      <c r="T619" s="9" t="str">
        <f ca="1">IF($G619="","",INDEX(BASE_PRODUTOS!$D$2:$D$1006,$G619))</f>
        <v/>
      </c>
    </row>
    <row r="620" spans="7:20" ht="18" customHeight="1" x14ac:dyDescent="0.35">
      <c r="G620" t="str">
        <f ca="1">IFERROR(_xludf.aggregate(15,6,(ROW(BASE_PRODUTOS!$L$2:$L$1006)-ROW(BASE_PRODUTOS!$L$2)+1)/(BASE_PRODUTOS!$L$2:$L$1006&gt;0),ROWS($G$10:G620)),"")</f>
        <v/>
      </c>
      <c r="H620" s="9" t="str">
        <f ca="1">IF($G620="","",INDEX(BASE_PRODUTOS!$B$2:$B$1006,$G620))</f>
        <v/>
      </c>
      <c r="I620" s="9" t="str">
        <f ca="1">IF($G620="","",INDEX(BASE_PRODUTOS!$L$2:$L$1006,$G620))</f>
        <v/>
      </c>
      <c r="J620" s="9" t="str">
        <f ca="1">IF($G620="","",INDEX(BASE_PRODUTOS!$A$2:$A$1006,$G620))</f>
        <v/>
      </c>
      <c r="K620" s="9" t="str">
        <f ca="1">IF($G620="","",INDEX(BASE_PRODUTOS!$C$2:$C$1006,$G620))</f>
        <v/>
      </c>
      <c r="L620" s="9" t="str">
        <f ca="1">IF($G620="","",INDEX(BASE_PRODUTOS!$E$2:$E$1006,$G620))</f>
        <v/>
      </c>
      <c r="M620" s="9" t="str">
        <f ca="1">IF($G620="","",INDEX(BASE_PRODUTOS!$F$2:$F$1006,$G620))</f>
        <v/>
      </c>
      <c r="N620" s="9" t="str">
        <f ca="1">IF($G620="","",INDEX(BASE_PRODUTOS!$G$2:$G$1006,$G620))</f>
        <v/>
      </c>
      <c r="O620" s="9" t="str">
        <f ca="1">IF($G620="","",INDEX(BASE_PRODUTOS!$H$2:$H$1006,$G620))</f>
        <v/>
      </c>
      <c r="P620" s="9" t="str">
        <f ca="1">IF($G620="","",INDEX(BASE_PRODUTOS!$I$2:$I$1006,$G620))</f>
        <v/>
      </c>
      <c r="Q620" s="9" t="str">
        <f ca="1">IF($G620="","",INDEX(BASE_PRODUTOS!$J$2:$J$1006,$G620))</f>
        <v/>
      </c>
      <c r="R620" s="9" t="str">
        <f ca="1">IF($G620="","",INDEX(BASE_PRODUTOS!$M$2:$M$1006,$G620))</f>
        <v/>
      </c>
      <c r="S620" s="9" t="str">
        <f ca="1">IF($G620="","",INDEX(BASE_PRODUTOS!$N$2:$N$1006,$G620))</f>
        <v/>
      </c>
      <c r="T620" s="9" t="str">
        <f ca="1">IF($G620="","",INDEX(BASE_PRODUTOS!$D$2:$D$1006,$G620))</f>
        <v/>
      </c>
    </row>
    <row r="621" spans="7:20" ht="18" customHeight="1" x14ac:dyDescent="0.35">
      <c r="G621" t="str">
        <f ca="1">IFERROR(_xludf.aggregate(15,6,(ROW(BASE_PRODUTOS!$L$2:$L$1006)-ROW(BASE_PRODUTOS!$L$2)+1)/(BASE_PRODUTOS!$L$2:$L$1006&gt;0),ROWS($G$10:G621)),"")</f>
        <v/>
      </c>
      <c r="H621" s="9" t="str">
        <f ca="1">IF($G621="","",INDEX(BASE_PRODUTOS!$B$2:$B$1006,$G621))</f>
        <v/>
      </c>
      <c r="I621" s="9" t="str">
        <f ca="1">IF($G621="","",INDEX(BASE_PRODUTOS!$L$2:$L$1006,$G621))</f>
        <v/>
      </c>
      <c r="J621" s="9" t="str">
        <f ca="1">IF($G621="","",INDEX(BASE_PRODUTOS!$A$2:$A$1006,$G621))</f>
        <v/>
      </c>
      <c r="K621" s="9" t="str">
        <f ca="1">IF($G621="","",INDEX(BASE_PRODUTOS!$C$2:$C$1006,$G621))</f>
        <v/>
      </c>
      <c r="L621" s="9" t="str">
        <f ca="1">IF($G621="","",INDEX(BASE_PRODUTOS!$E$2:$E$1006,$G621))</f>
        <v/>
      </c>
      <c r="M621" s="9" t="str">
        <f ca="1">IF($G621="","",INDEX(BASE_PRODUTOS!$F$2:$F$1006,$G621))</f>
        <v/>
      </c>
      <c r="N621" s="9" t="str">
        <f ca="1">IF($G621="","",INDEX(BASE_PRODUTOS!$G$2:$G$1006,$G621))</f>
        <v/>
      </c>
      <c r="O621" s="9" t="str">
        <f ca="1">IF($G621="","",INDEX(BASE_PRODUTOS!$H$2:$H$1006,$G621))</f>
        <v/>
      </c>
      <c r="P621" s="9" t="str">
        <f ca="1">IF($G621="","",INDEX(BASE_PRODUTOS!$I$2:$I$1006,$G621))</f>
        <v/>
      </c>
      <c r="Q621" s="9" t="str">
        <f ca="1">IF($G621="","",INDEX(BASE_PRODUTOS!$J$2:$J$1006,$G621))</f>
        <v/>
      </c>
      <c r="R621" s="9" t="str">
        <f ca="1">IF($G621="","",INDEX(BASE_PRODUTOS!$M$2:$M$1006,$G621))</f>
        <v/>
      </c>
      <c r="S621" s="9" t="str">
        <f ca="1">IF($G621="","",INDEX(BASE_PRODUTOS!$N$2:$N$1006,$G621))</f>
        <v/>
      </c>
      <c r="T621" s="9" t="str">
        <f ca="1">IF($G621="","",INDEX(BASE_PRODUTOS!$D$2:$D$1006,$G621))</f>
        <v/>
      </c>
    </row>
    <row r="622" spans="7:20" ht="18" customHeight="1" x14ac:dyDescent="0.35">
      <c r="G622" t="str">
        <f ca="1">IFERROR(_xludf.aggregate(15,6,(ROW(BASE_PRODUTOS!$L$2:$L$1006)-ROW(BASE_PRODUTOS!$L$2)+1)/(BASE_PRODUTOS!$L$2:$L$1006&gt;0),ROWS($G$10:G622)),"")</f>
        <v/>
      </c>
      <c r="H622" s="9" t="str">
        <f ca="1">IF($G622="","",INDEX(BASE_PRODUTOS!$B$2:$B$1006,$G622))</f>
        <v/>
      </c>
      <c r="I622" s="9" t="str">
        <f ca="1">IF($G622="","",INDEX(BASE_PRODUTOS!$L$2:$L$1006,$G622))</f>
        <v/>
      </c>
      <c r="J622" s="9" t="str">
        <f ca="1">IF($G622="","",INDEX(BASE_PRODUTOS!$A$2:$A$1006,$G622))</f>
        <v/>
      </c>
      <c r="K622" s="9" t="str">
        <f ca="1">IF($G622="","",INDEX(BASE_PRODUTOS!$C$2:$C$1006,$G622))</f>
        <v/>
      </c>
      <c r="L622" s="9" t="str">
        <f ca="1">IF($G622="","",INDEX(BASE_PRODUTOS!$E$2:$E$1006,$G622))</f>
        <v/>
      </c>
      <c r="M622" s="9" t="str">
        <f ca="1">IF($G622="","",INDEX(BASE_PRODUTOS!$F$2:$F$1006,$G622))</f>
        <v/>
      </c>
      <c r="N622" s="9" t="str">
        <f ca="1">IF($G622="","",INDEX(BASE_PRODUTOS!$G$2:$G$1006,$G622))</f>
        <v/>
      </c>
      <c r="O622" s="9" t="str">
        <f ca="1">IF($G622="","",INDEX(BASE_PRODUTOS!$H$2:$H$1006,$G622))</f>
        <v/>
      </c>
      <c r="P622" s="9" t="str">
        <f ca="1">IF($G622="","",INDEX(BASE_PRODUTOS!$I$2:$I$1006,$G622))</f>
        <v/>
      </c>
      <c r="Q622" s="9" t="str">
        <f ca="1">IF($G622="","",INDEX(BASE_PRODUTOS!$J$2:$J$1006,$G622))</f>
        <v/>
      </c>
      <c r="R622" s="9" t="str">
        <f ca="1">IF($G622="","",INDEX(BASE_PRODUTOS!$M$2:$M$1006,$G622))</f>
        <v/>
      </c>
      <c r="S622" s="9" t="str">
        <f ca="1">IF($G622="","",INDEX(BASE_PRODUTOS!$N$2:$N$1006,$G622))</f>
        <v/>
      </c>
      <c r="T622" s="9" t="str">
        <f ca="1">IF($G622="","",INDEX(BASE_PRODUTOS!$D$2:$D$1006,$G622))</f>
        <v/>
      </c>
    </row>
    <row r="623" spans="7:20" ht="18" customHeight="1" x14ac:dyDescent="0.35">
      <c r="G623" t="str">
        <f ca="1">IFERROR(_xludf.aggregate(15,6,(ROW(BASE_PRODUTOS!$L$2:$L$1006)-ROW(BASE_PRODUTOS!$L$2)+1)/(BASE_PRODUTOS!$L$2:$L$1006&gt;0),ROWS($G$10:G623)),"")</f>
        <v/>
      </c>
      <c r="H623" s="9" t="str">
        <f ca="1">IF($G623="","",INDEX(BASE_PRODUTOS!$B$2:$B$1006,$G623))</f>
        <v/>
      </c>
      <c r="I623" s="9" t="str">
        <f ca="1">IF($G623="","",INDEX(BASE_PRODUTOS!$L$2:$L$1006,$G623))</f>
        <v/>
      </c>
      <c r="J623" s="9" t="str">
        <f ca="1">IF($G623="","",INDEX(BASE_PRODUTOS!$A$2:$A$1006,$G623))</f>
        <v/>
      </c>
      <c r="K623" s="9" t="str">
        <f ca="1">IF($G623="","",INDEX(BASE_PRODUTOS!$C$2:$C$1006,$G623))</f>
        <v/>
      </c>
      <c r="L623" s="9" t="str">
        <f ca="1">IF($G623="","",INDEX(BASE_PRODUTOS!$E$2:$E$1006,$G623))</f>
        <v/>
      </c>
      <c r="M623" s="9" t="str">
        <f ca="1">IF($G623="","",INDEX(BASE_PRODUTOS!$F$2:$F$1006,$G623))</f>
        <v/>
      </c>
      <c r="N623" s="9" t="str">
        <f ca="1">IF($G623="","",INDEX(BASE_PRODUTOS!$G$2:$G$1006,$G623))</f>
        <v/>
      </c>
      <c r="O623" s="9" t="str">
        <f ca="1">IF($G623="","",INDEX(BASE_PRODUTOS!$H$2:$H$1006,$G623))</f>
        <v/>
      </c>
      <c r="P623" s="9" t="str">
        <f ca="1">IF($G623="","",INDEX(BASE_PRODUTOS!$I$2:$I$1006,$G623))</f>
        <v/>
      </c>
      <c r="Q623" s="9" t="str">
        <f ca="1">IF($G623="","",INDEX(BASE_PRODUTOS!$J$2:$J$1006,$G623))</f>
        <v/>
      </c>
      <c r="R623" s="9" t="str">
        <f ca="1">IF($G623="","",INDEX(BASE_PRODUTOS!$M$2:$M$1006,$G623))</f>
        <v/>
      </c>
      <c r="S623" s="9" t="str">
        <f ca="1">IF($G623="","",INDEX(BASE_PRODUTOS!$N$2:$N$1006,$G623))</f>
        <v/>
      </c>
      <c r="T623" s="9" t="str">
        <f ca="1">IF($G623="","",INDEX(BASE_PRODUTOS!$D$2:$D$1006,$G623))</f>
        <v/>
      </c>
    </row>
    <row r="624" spans="7:20" ht="18" customHeight="1" x14ac:dyDescent="0.35">
      <c r="G624" t="str">
        <f ca="1">IFERROR(_xludf.aggregate(15,6,(ROW(BASE_PRODUTOS!$L$2:$L$1006)-ROW(BASE_PRODUTOS!$L$2)+1)/(BASE_PRODUTOS!$L$2:$L$1006&gt;0),ROWS($G$10:G624)),"")</f>
        <v/>
      </c>
      <c r="H624" s="9" t="str">
        <f ca="1">IF($G624="","",INDEX(BASE_PRODUTOS!$B$2:$B$1006,$G624))</f>
        <v/>
      </c>
      <c r="I624" s="9" t="str">
        <f ca="1">IF($G624="","",INDEX(BASE_PRODUTOS!$L$2:$L$1006,$G624))</f>
        <v/>
      </c>
      <c r="J624" s="9" t="str">
        <f ca="1">IF($G624="","",INDEX(BASE_PRODUTOS!$A$2:$A$1006,$G624))</f>
        <v/>
      </c>
      <c r="K624" s="9" t="str">
        <f ca="1">IF($G624="","",INDEX(BASE_PRODUTOS!$C$2:$C$1006,$G624))</f>
        <v/>
      </c>
      <c r="L624" s="9" t="str">
        <f ca="1">IF($G624="","",INDEX(BASE_PRODUTOS!$E$2:$E$1006,$G624))</f>
        <v/>
      </c>
      <c r="M624" s="9" t="str">
        <f ca="1">IF($G624="","",INDEX(BASE_PRODUTOS!$F$2:$F$1006,$G624))</f>
        <v/>
      </c>
      <c r="N624" s="9" t="str">
        <f ca="1">IF($G624="","",INDEX(BASE_PRODUTOS!$G$2:$G$1006,$G624))</f>
        <v/>
      </c>
      <c r="O624" s="9" t="str">
        <f ca="1">IF($G624="","",INDEX(BASE_PRODUTOS!$H$2:$H$1006,$G624))</f>
        <v/>
      </c>
      <c r="P624" s="9" t="str">
        <f ca="1">IF($G624="","",INDEX(BASE_PRODUTOS!$I$2:$I$1006,$G624))</f>
        <v/>
      </c>
      <c r="Q624" s="9" t="str">
        <f ca="1">IF($G624="","",INDEX(BASE_PRODUTOS!$J$2:$J$1006,$G624))</f>
        <v/>
      </c>
      <c r="R624" s="9" t="str">
        <f ca="1">IF($G624="","",INDEX(BASE_PRODUTOS!$M$2:$M$1006,$G624))</f>
        <v/>
      </c>
      <c r="S624" s="9" t="str">
        <f ca="1">IF($G624="","",INDEX(BASE_PRODUTOS!$N$2:$N$1006,$G624))</f>
        <v/>
      </c>
      <c r="T624" s="9" t="str">
        <f ca="1">IF($G624="","",INDEX(BASE_PRODUTOS!$D$2:$D$1006,$G624))</f>
        <v/>
      </c>
    </row>
    <row r="625" spans="7:20" ht="18" customHeight="1" x14ac:dyDescent="0.35">
      <c r="G625" t="str">
        <f ca="1">IFERROR(_xludf.aggregate(15,6,(ROW(BASE_PRODUTOS!$L$2:$L$1006)-ROW(BASE_PRODUTOS!$L$2)+1)/(BASE_PRODUTOS!$L$2:$L$1006&gt;0),ROWS($G$10:G625)),"")</f>
        <v/>
      </c>
      <c r="H625" s="9" t="str">
        <f ca="1">IF($G625="","",INDEX(BASE_PRODUTOS!$B$2:$B$1006,$G625))</f>
        <v/>
      </c>
      <c r="I625" s="9" t="str">
        <f ca="1">IF($G625="","",INDEX(BASE_PRODUTOS!$L$2:$L$1006,$G625))</f>
        <v/>
      </c>
      <c r="J625" s="9" t="str">
        <f ca="1">IF($G625="","",INDEX(BASE_PRODUTOS!$A$2:$A$1006,$G625))</f>
        <v/>
      </c>
      <c r="K625" s="9" t="str">
        <f ca="1">IF($G625="","",INDEX(BASE_PRODUTOS!$C$2:$C$1006,$G625))</f>
        <v/>
      </c>
      <c r="L625" s="9" t="str">
        <f ca="1">IF($G625="","",INDEX(BASE_PRODUTOS!$E$2:$E$1006,$G625))</f>
        <v/>
      </c>
      <c r="M625" s="9" t="str">
        <f ca="1">IF($G625="","",INDEX(BASE_PRODUTOS!$F$2:$F$1006,$G625))</f>
        <v/>
      </c>
      <c r="N625" s="9" t="str">
        <f ca="1">IF($G625="","",INDEX(BASE_PRODUTOS!$G$2:$G$1006,$G625))</f>
        <v/>
      </c>
      <c r="O625" s="9" t="str">
        <f ca="1">IF($G625="","",INDEX(BASE_PRODUTOS!$H$2:$H$1006,$G625))</f>
        <v/>
      </c>
      <c r="P625" s="9" t="str">
        <f ca="1">IF($G625="","",INDEX(BASE_PRODUTOS!$I$2:$I$1006,$G625))</f>
        <v/>
      </c>
      <c r="Q625" s="9" t="str">
        <f ca="1">IF($G625="","",INDEX(BASE_PRODUTOS!$J$2:$J$1006,$G625))</f>
        <v/>
      </c>
      <c r="R625" s="9" t="str">
        <f ca="1">IF($G625="","",INDEX(BASE_PRODUTOS!$M$2:$M$1006,$G625))</f>
        <v/>
      </c>
      <c r="S625" s="9" t="str">
        <f ca="1">IF($G625="","",INDEX(BASE_PRODUTOS!$N$2:$N$1006,$G625))</f>
        <v/>
      </c>
      <c r="T625" s="9" t="str">
        <f ca="1">IF($G625="","",INDEX(BASE_PRODUTOS!$D$2:$D$1006,$G625))</f>
        <v/>
      </c>
    </row>
    <row r="626" spans="7:20" ht="18" customHeight="1" x14ac:dyDescent="0.35">
      <c r="G626" t="str">
        <f ca="1">IFERROR(_xludf.aggregate(15,6,(ROW(BASE_PRODUTOS!$L$2:$L$1006)-ROW(BASE_PRODUTOS!$L$2)+1)/(BASE_PRODUTOS!$L$2:$L$1006&gt;0),ROWS($G$10:G626)),"")</f>
        <v/>
      </c>
      <c r="H626" s="9" t="str">
        <f ca="1">IF($G626="","",INDEX(BASE_PRODUTOS!$B$2:$B$1006,$G626))</f>
        <v/>
      </c>
      <c r="I626" s="9" t="str">
        <f ca="1">IF($G626="","",INDEX(BASE_PRODUTOS!$L$2:$L$1006,$G626))</f>
        <v/>
      </c>
      <c r="J626" s="9" t="str">
        <f ca="1">IF($G626="","",INDEX(BASE_PRODUTOS!$A$2:$A$1006,$G626))</f>
        <v/>
      </c>
      <c r="K626" s="9" t="str">
        <f ca="1">IF($G626="","",INDEX(BASE_PRODUTOS!$C$2:$C$1006,$G626))</f>
        <v/>
      </c>
      <c r="L626" s="9" t="str">
        <f ca="1">IF($G626="","",INDEX(BASE_PRODUTOS!$E$2:$E$1006,$G626))</f>
        <v/>
      </c>
      <c r="M626" s="9" t="str">
        <f ca="1">IF($G626="","",INDEX(BASE_PRODUTOS!$F$2:$F$1006,$G626))</f>
        <v/>
      </c>
      <c r="N626" s="9" t="str">
        <f ca="1">IF($G626="","",INDEX(BASE_PRODUTOS!$G$2:$G$1006,$G626))</f>
        <v/>
      </c>
      <c r="O626" s="9" t="str">
        <f ca="1">IF($G626="","",INDEX(BASE_PRODUTOS!$H$2:$H$1006,$G626))</f>
        <v/>
      </c>
      <c r="P626" s="9" t="str">
        <f ca="1">IF($G626="","",INDEX(BASE_PRODUTOS!$I$2:$I$1006,$G626))</f>
        <v/>
      </c>
      <c r="Q626" s="9" t="str">
        <f ca="1">IF($G626="","",INDEX(BASE_PRODUTOS!$J$2:$J$1006,$G626))</f>
        <v/>
      </c>
      <c r="R626" s="9" t="str">
        <f ca="1">IF($G626="","",INDEX(BASE_PRODUTOS!$M$2:$M$1006,$G626))</f>
        <v/>
      </c>
      <c r="S626" s="9" t="str">
        <f ca="1">IF($G626="","",INDEX(BASE_PRODUTOS!$N$2:$N$1006,$G626))</f>
        <v/>
      </c>
      <c r="T626" s="9" t="str">
        <f ca="1">IF($G626="","",INDEX(BASE_PRODUTOS!$D$2:$D$1006,$G626))</f>
        <v/>
      </c>
    </row>
    <row r="627" spans="7:20" ht="18" customHeight="1" x14ac:dyDescent="0.35">
      <c r="G627" t="str">
        <f ca="1">IFERROR(_xludf.aggregate(15,6,(ROW(BASE_PRODUTOS!$L$2:$L$1006)-ROW(BASE_PRODUTOS!$L$2)+1)/(BASE_PRODUTOS!$L$2:$L$1006&gt;0),ROWS($G$10:G627)),"")</f>
        <v/>
      </c>
      <c r="H627" s="9" t="str">
        <f ca="1">IF($G627="","",INDEX(BASE_PRODUTOS!$B$2:$B$1006,$G627))</f>
        <v/>
      </c>
      <c r="I627" s="9" t="str">
        <f ca="1">IF($G627="","",INDEX(BASE_PRODUTOS!$L$2:$L$1006,$G627))</f>
        <v/>
      </c>
      <c r="J627" s="9" t="str">
        <f ca="1">IF($G627="","",INDEX(BASE_PRODUTOS!$A$2:$A$1006,$G627))</f>
        <v/>
      </c>
      <c r="K627" s="9" t="str">
        <f ca="1">IF($G627="","",INDEX(BASE_PRODUTOS!$C$2:$C$1006,$G627))</f>
        <v/>
      </c>
      <c r="L627" s="9" t="str">
        <f ca="1">IF($G627="","",INDEX(BASE_PRODUTOS!$E$2:$E$1006,$G627))</f>
        <v/>
      </c>
      <c r="M627" s="9" t="str">
        <f ca="1">IF($G627="","",INDEX(BASE_PRODUTOS!$F$2:$F$1006,$G627))</f>
        <v/>
      </c>
      <c r="N627" s="9" t="str">
        <f ca="1">IF($G627="","",INDEX(BASE_PRODUTOS!$G$2:$G$1006,$G627))</f>
        <v/>
      </c>
      <c r="O627" s="9" t="str">
        <f ca="1">IF($G627="","",INDEX(BASE_PRODUTOS!$H$2:$H$1006,$G627))</f>
        <v/>
      </c>
      <c r="P627" s="9" t="str">
        <f ca="1">IF($G627="","",INDEX(BASE_PRODUTOS!$I$2:$I$1006,$G627))</f>
        <v/>
      </c>
      <c r="Q627" s="9" t="str">
        <f ca="1">IF($G627="","",INDEX(BASE_PRODUTOS!$J$2:$J$1006,$G627))</f>
        <v/>
      </c>
      <c r="R627" s="9" t="str">
        <f ca="1">IF($G627="","",INDEX(BASE_PRODUTOS!$M$2:$M$1006,$G627))</f>
        <v/>
      </c>
      <c r="S627" s="9" t="str">
        <f ca="1">IF($G627="","",INDEX(BASE_PRODUTOS!$N$2:$N$1006,$G627))</f>
        <v/>
      </c>
      <c r="T627" s="9" t="str">
        <f ca="1">IF($G627="","",INDEX(BASE_PRODUTOS!$D$2:$D$1006,$G627))</f>
        <v/>
      </c>
    </row>
    <row r="628" spans="7:20" ht="18" customHeight="1" x14ac:dyDescent="0.35">
      <c r="G628" t="str">
        <f ca="1">IFERROR(_xludf.aggregate(15,6,(ROW(BASE_PRODUTOS!$L$2:$L$1006)-ROW(BASE_PRODUTOS!$L$2)+1)/(BASE_PRODUTOS!$L$2:$L$1006&gt;0),ROWS($G$10:G628)),"")</f>
        <v/>
      </c>
      <c r="H628" s="9" t="str">
        <f ca="1">IF($G628="","",INDEX(BASE_PRODUTOS!$B$2:$B$1006,$G628))</f>
        <v/>
      </c>
      <c r="I628" s="9" t="str">
        <f ca="1">IF($G628="","",INDEX(BASE_PRODUTOS!$L$2:$L$1006,$G628))</f>
        <v/>
      </c>
      <c r="J628" s="9" t="str">
        <f ca="1">IF($G628="","",INDEX(BASE_PRODUTOS!$A$2:$A$1006,$G628))</f>
        <v/>
      </c>
      <c r="K628" s="9" t="str">
        <f ca="1">IF($G628="","",INDEX(BASE_PRODUTOS!$C$2:$C$1006,$G628))</f>
        <v/>
      </c>
      <c r="L628" s="9" t="str">
        <f ca="1">IF($G628="","",INDEX(BASE_PRODUTOS!$E$2:$E$1006,$G628))</f>
        <v/>
      </c>
      <c r="M628" s="9" t="str">
        <f ca="1">IF($G628="","",INDEX(BASE_PRODUTOS!$F$2:$F$1006,$G628))</f>
        <v/>
      </c>
      <c r="N628" s="9" t="str">
        <f ca="1">IF($G628="","",INDEX(BASE_PRODUTOS!$G$2:$G$1006,$G628))</f>
        <v/>
      </c>
      <c r="O628" s="9" t="str">
        <f ca="1">IF($G628="","",INDEX(BASE_PRODUTOS!$H$2:$H$1006,$G628))</f>
        <v/>
      </c>
      <c r="P628" s="9" t="str">
        <f ca="1">IF($G628="","",INDEX(BASE_PRODUTOS!$I$2:$I$1006,$G628))</f>
        <v/>
      </c>
      <c r="Q628" s="9" t="str">
        <f ca="1">IF($G628="","",INDEX(BASE_PRODUTOS!$J$2:$J$1006,$G628))</f>
        <v/>
      </c>
      <c r="R628" s="9" t="str">
        <f ca="1">IF($G628="","",INDEX(BASE_PRODUTOS!$M$2:$M$1006,$G628))</f>
        <v/>
      </c>
      <c r="S628" s="9" t="str">
        <f ca="1">IF($G628="","",INDEX(BASE_PRODUTOS!$N$2:$N$1006,$G628))</f>
        <v/>
      </c>
      <c r="T628" s="9" t="str">
        <f ca="1">IF($G628="","",INDEX(BASE_PRODUTOS!$D$2:$D$1006,$G628))</f>
        <v/>
      </c>
    </row>
    <row r="629" spans="7:20" ht="18" customHeight="1" x14ac:dyDescent="0.35">
      <c r="G629" t="str">
        <f ca="1">IFERROR(_xludf.aggregate(15,6,(ROW(BASE_PRODUTOS!$L$2:$L$1006)-ROW(BASE_PRODUTOS!$L$2)+1)/(BASE_PRODUTOS!$L$2:$L$1006&gt;0),ROWS($G$10:G629)),"")</f>
        <v/>
      </c>
      <c r="H629" s="9" t="str">
        <f ca="1">IF($G629="","",INDEX(BASE_PRODUTOS!$B$2:$B$1006,$G629))</f>
        <v/>
      </c>
      <c r="I629" s="9" t="str">
        <f ca="1">IF($G629="","",INDEX(BASE_PRODUTOS!$L$2:$L$1006,$G629))</f>
        <v/>
      </c>
      <c r="J629" s="9" t="str">
        <f ca="1">IF($G629="","",INDEX(BASE_PRODUTOS!$A$2:$A$1006,$G629))</f>
        <v/>
      </c>
      <c r="K629" s="9" t="str">
        <f ca="1">IF($G629="","",INDEX(BASE_PRODUTOS!$C$2:$C$1006,$G629))</f>
        <v/>
      </c>
      <c r="L629" s="9" t="str">
        <f ca="1">IF($G629="","",INDEX(BASE_PRODUTOS!$E$2:$E$1006,$G629))</f>
        <v/>
      </c>
      <c r="M629" s="9" t="str">
        <f ca="1">IF($G629="","",INDEX(BASE_PRODUTOS!$F$2:$F$1006,$G629))</f>
        <v/>
      </c>
      <c r="N629" s="9" t="str">
        <f ca="1">IF($G629="","",INDEX(BASE_PRODUTOS!$G$2:$G$1006,$G629))</f>
        <v/>
      </c>
      <c r="O629" s="9" t="str">
        <f ca="1">IF($G629="","",INDEX(BASE_PRODUTOS!$H$2:$H$1006,$G629))</f>
        <v/>
      </c>
      <c r="P629" s="9" t="str">
        <f ca="1">IF($G629="","",INDEX(BASE_PRODUTOS!$I$2:$I$1006,$G629))</f>
        <v/>
      </c>
      <c r="Q629" s="9" t="str">
        <f ca="1">IF($G629="","",INDEX(BASE_PRODUTOS!$J$2:$J$1006,$G629))</f>
        <v/>
      </c>
      <c r="R629" s="9" t="str">
        <f ca="1">IF($G629="","",INDEX(BASE_PRODUTOS!$M$2:$M$1006,$G629))</f>
        <v/>
      </c>
      <c r="S629" s="9" t="str">
        <f ca="1">IF($G629="","",INDEX(BASE_PRODUTOS!$N$2:$N$1006,$G629))</f>
        <v/>
      </c>
      <c r="T629" s="9" t="str">
        <f ca="1">IF($G629="","",INDEX(BASE_PRODUTOS!$D$2:$D$1006,$G629))</f>
        <v/>
      </c>
    </row>
    <row r="630" spans="7:20" ht="18" customHeight="1" x14ac:dyDescent="0.35">
      <c r="G630" t="str">
        <f ca="1">IFERROR(_xludf.aggregate(15,6,(ROW(BASE_PRODUTOS!$L$2:$L$1006)-ROW(BASE_PRODUTOS!$L$2)+1)/(BASE_PRODUTOS!$L$2:$L$1006&gt;0),ROWS($G$10:G630)),"")</f>
        <v/>
      </c>
      <c r="H630" s="9" t="str">
        <f ca="1">IF($G630="","",INDEX(BASE_PRODUTOS!$B$2:$B$1006,$G630))</f>
        <v/>
      </c>
      <c r="I630" s="9" t="str">
        <f ca="1">IF($G630="","",INDEX(BASE_PRODUTOS!$L$2:$L$1006,$G630))</f>
        <v/>
      </c>
      <c r="J630" s="9" t="str">
        <f ca="1">IF($G630="","",INDEX(BASE_PRODUTOS!$A$2:$A$1006,$G630))</f>
        <v/>
      </c>
      <c r="K630" s="9" t="str">
        <f ca="1">IF($G630="","",INDEX(BASE_PRODUTOS!$C$2:$C$1006,$G630))</f>
        <v/>
      </c>
      <c r="L630" s="9" t="str">
        <f ca="1">IF($G630="","",INDEX(BASE_PRODUTOS!$E$2:$E$1006,$G630))</f>
        <v/>
      </c>
      <c r="M630" s="9" t="str">
        <f ca="1">IF($G630="","",INDEX(BASE_PRODUTOS!$F$2:$F$1006,$G630))</f>
        <v/>
      </c>
      <c r="N630" s="9" t="str">
        <f ca="1">IF($G630="","",INDEX(BASE_PRODUTOS!$G$2:$G$1006,$G630))</f>
        <v/>
      </c>
      <c r="O630" s="9" t="str">
        <f ca="1">IF($G630="","",INDEX(BASE_PRODUTOS!$H$2:$H$1006,$G630))</f>
        <v/>
      </c>
      <c r="P630" s="9" t="str">
        <f ca="1">IF($G630="","",INDEX(BASE_PRODUTOS!$I$2:$I$1006,$G630))</f>
        <v/>
      </c>
      <c r="Q630" s="9" t="str">
        <f ca="1">IF($G630="","",INDEX(BASE_PRODUTOS!$J$2:$J$1006,$G630))</f>
        <v/>
      </c>
      <c r="R630" s="9" t="str">
        <f ca="1">IF($G630="","",INDEX(BASE_PRODUTOS!$M$2:$M$1006,$G630))</f>
        <v/>
      </c>
      <c r="S630" s="9" t="str">
        <f ca="1">IF($G630="","",INDEX(BASE_PRODUTOS!$N$2:$N$1006,$G630))</f>
        <v/>
      </c>
      <c r="T630" s="9" t="str">
        <f ca="1">IF($G630="","",INDEX(BASE_PRODUTOS!$D$2:$D$1006,$G630))</f>
        <v/>
      </c>
    </row>
    <row r="631" spans="7:20" ht="18" customHeight="1" x14ac:dyDescent="0.35">
      <c r="G631" t="str">
        <f ca="1">IFERROR(_xludf.aggregate(15,6,(ROW(BASE_PRODUTOS!$L$2:$L$1006)-ROW(BASE_PRODUTOS!$L$2)+1)/(BASE_PRODUTOS!$L$2:$L$1006&gt;0),ROWS($G$10:G631)),"")</f>
        <v/>
      </c>
      <c r="H631" s="9" t="str">
        <f ca="1">IF($G631="","",INDEX(BASE_PRODUTOS!$B$2:$B$1006,$G631))</f>
        <v/>
      </c>
      <c r="I631" s="9" t="str">
        <f ca="1">IF($G631="","",INDEX(BASE_PRODUTOS!$L$2:$L$1006,$G631))</f>
        <v/>
      </c>
      <c r="J631" s="9" t="str">
        <f ca="1">IF($G631="","",INDEX(BASE_PRODUTOS!$A$2:$A$1006,$G631))</f>
        <v/>
      </c>
      <c r="K631" s="9" t="str">
        <f ca="1">IF($G631="","",INDEX(BASE_PRODUTOS!$C$2:$C$1006,$G631))</f>
        <v/>
      </c>
      <c r="L631" s="9" t="str">
        <f ca="1">IF($G631="","",INDEX(BASE_PRODUTOS!$E$2:$E$1006,$G631))</f>
        <v/>
      </c>
      <c r="M631" s="9" t="str">
        <f ca="1">IF($G631="","",INDEX(BASE_PRODUTOS!$F$2:$F$1006,$G631))</f>
        <v/>
      </c>
      <c r="N631" s="9" t="str">
        <f ca="1">IF($G631="","",INDEX(BASE_PRODUTOS!$G$2:$G$1006,$G631))</f>
        <v/>
      </c>
      <c r="O631" s="9" t="str">
        <f ca="1">IF($G631="","",INDEX(BASE_PRODUTOS!$H$2:$H$1006,$G631))</f>
        <v/>
      </c>
      <c r="P631" s="9" t="str">
        <f ca="1">IF($G631="","",INDEX(BASE_PRODUTOS!$I$2:$I$1006,$G631))</f>
        <v/>
      </c>
      <c r="Q631" s="9" t="str">
        <f ca="1">IF($G631="","",INDEX(BASE_PRODUTOS!$J$2:$J$1006,$G631))</f>
        <v/>
      </c>
      <c r="R631" s="9" t="str">
        <f ca="1">IF($G631="","",INDEX(BASE_PRODUTOS!$M$2:$M$1006,$G631))</f>
        <v/>
      </c>
      <c r="S631" s="9" t="str">
        <f ca="1">IF($G631="","",INDEX(BASE_PRODUTOS!$N$2:$N$1006,$G631))</f>
        <v/>
      </c>
      <c r="T631" s="9" t="str">
        <f ca="1">IF($G631="","",INDEX(BASE_PRODUTOS!$D$2:$D$1006,$G631))</f>
        <v/>
      </c>
    </row>
    <row r="632" spans="7:20" ht="18" customHeight="1" x14ac:dyDescent="0.35">
      <c r="G632" t="str">
        <f ca="1">IFERROR(_xludf.aggregate(15,6,(ROW(BASE_PRODUTOS!$L$2:$L$1006)-ROW(BASE_PRODUTOS!$L$2)+1)/(BASE_PRODUTOS!$L$2:$L$1006&gt;0),ROWS($G$10:G632)),"")</f>
        <v/>
      </c>
      <c r="H632" s="9" t="str">
        <f ca="1">IF($G632="","",INDEX(BASE_PRODUTOS!$B$2:$B$1006,$G632))</f>
        <v/>
      </c>
      <c r="I632" s="9" t="str">
        <f ca="1">IF($G632="","",INDEX(BASE_PRODUTOS!$L$2:$L$1006,$G632))</f>
        <v/>
      </c>
      <c r="J632" s="9" t="str">
        <f ca="1">IF($G632="","",INDEX(BASE_PRODUTOS!$A$2:$A$1006,$G632))</f>
        <v/>
      </c>
      <c r="K632" s="9" t="str">
        <f ca="1">IF($G632="","",INDEX(BASE_PRODUTOS!$C$2:$C$1006,$G632))</f>
        <v/>
      </c>
      <c r="L632" s="9" t="str">
        <f ca="1">IF($G632="","",INDEX(BASE_PRODUTOS!$E$2:$E$1006,$G632))</f>
        <v/>
      </c>
      <c r="M632" s="9" t="str">
        <f ca="1">IF($G632="","",INDEX(BASE_PRODUTOS!$F$2:$F$1006,$G632))</f>
        <v/>
      </c>
      <c r="N632" s="9" t="str">
        <f ca="1">IF($G632="","",INDEX(BASE_PRODUTOS!$G$2:$G$1006,$G632))</f>
        <v/>
      </c>
      <c r="O632" s="9" t="str">
        <f ca="1">IF($G632="","",INDEX(BASE_PRODUTOS!$H$2:$H$1006,$G632))</f>
        <v/>
      </c>
      <c r="P632" s="9" t="str">
        <f ca="1">IF($G632="","",INDEX(BASE_PRODUTOS!$I$2:$I$1006,$G632))</f>
        <v/>
      </c>
      <c r="Q632" s="9" t="str">
        <f ca="1">IF($G632="","",INDEX(BASE_PRODUTOS!$J$2:$J$1006,$G632))</f>
        <v/>
      </c>
      <c r="R632" s="9" t="str">
        <f ca="1">IF($G632="","",INDEX(BASE_PRODUTOS!$M$2:$M$1006,$G632))</f>
        <v/>
      </c>
      <c r="S632" s="9" t="str">
        <f ca="1">IF($G632="","",INDEX(BASE_PRODUTOS!$N$2:$N$1006,$G632))</f>
        <v/>
      </c>
      <c r="T632" s="9" t="str">
        <f ca="1">IF($G632="","",INDEX(BASE_PRODUTOS!$D$2:$D$1006,$G632))</f>
        <v/>
      </c>
    </row>
    <row r="633" spans="7:20" ht="18" customHeight="1" x14ac:dyDescent="0.35">
      <c r="G633" t="str">
        <f ca="1">IFERROR(_xludf.aggregate(15,6,(ROW(BASE_PRODUTOS!$L$2:$L$1006)-ROW(BASE_PRODUTOS!$L$2)+1)/(BASE_PRODUTOS!$L$2:$L$1006&gt;0),ROWS($G$10:G633)),"")</f>
        <v/>
      </c>
      <c r="H633" s="9" t="str">
        <f ca="1">IF($G633="","",INDEX(BASE_PRODUTOS!$B$2:$B$1006,$G633))</f>
        <v/>
      </c>
      <c r="I633" s="9" t="str">
        <f ca="1">IF($G633="","",INDEX(BASE_PRODUTOS!$L$2:$L$1006,$G633))</f>
        <v/>
      </c>
      <c r="J633" s="9" t="str">
        <f ca="1">IF($G633="","",INDEX(BASE_PRODUTOS!$A$2:$A$1006,$G633))</f>
        <v/>
      </c>
      <c r="K633" s="9" t="str">
        <f ca="1">IF($G633="","",INDEX(BASE_PRODUTOS!$C$2:$C$1006,$G633))</f>
        <v/>
      </c>
      <c r="L633" s="9" t="str">
        <f ca="1">IF($G633="","",INDEX(BASE_PRODUTOS!$E$2:$E$1006,$G633))</f>
        <v/>
      </c>
      <c r="M633" s="9" t="str">
        <f ca="1">IF($G633="","",INDEX(BASE_PRODUTOS!$F$2:$F$1006,$G633))</f>
        <v/>
      </c>
      <c r="N633" s="9" t="str">
        <f ca="1">IF($G633="","",INDEX(BASE_PRODUTOS!$G$2:$G$1006,$G633))</f>
        <v/>
      </c>
      <c r="O633" s="9" t="str">
        <f ca="1">IF($G633="","",INDEX(BASE_PRODUTOS!$H$2:$H$1006,$G633))</f>
        <v/>
      </c>
      <c r="P633" s="9" t="str">
        <f ca="1">IF($G633="","",INDEX(BASE_PRODUTOS!$I$2:$I$1006,$G633))</f>
        <v/>
      </c>
      <c r="Q633" s="9" t="str">
        <f ca="1">IF($G633="","",INDEX(BASE_PRODUTOS!$J$2:$J$1006,$G633))</f>
        <v/>
      </c>
      <c r="R633" s="9" t="str">
        <f ca="1">IF($G633="","",INDEX(BASE_PRODUTOS!$M$2:$M$1006,$G633))</f>
        <v/>
      </c>
      <c r="S633" s="9" t="str">
        <f ca="1">IF($G633="","",INDEX(BASE_PRODUTOS!$N$2:$N$1006,$G633))</f>
        <v/>
      </c>
      <c r="T633" s="9" t="str">
        <f ca="1">IF($G633="","",INDEX(BASE_PRODUTOS!$D$2:$D$1006,$G633))</f>
        <v/>
      </c>
    </row>
    <row r="634" spans="7:20" ht="18" customHeight="1" x14ac:dyDescent="0.35">
      <c r="G634" t="str">
        <f ca="1">IFERROR(_xludf.aggregate(15,6,(ROW(BASE_PRODUTOS!$L$2:$L$1006)-ROW(BASE_PRODUTOS!$L$2)+1)/(BASE_PRODUTOS!$L$2:$L$1006&gt;0),ROWS($G$10:G634)),"")</f>
        <v/>
      </c>
      <c r="H634" s="9" t="str">
        <f ca="1">IF($G634="","",INDEX(BASE_PRODUTOS!$B$2:$B$1006,$G634))</f>
        <v/>
      </c>
      <c r="I634" s="9" t="str">
        <f ca="1">IF($G634="","",INDEX(BASE_PRODUTOS!$L$2:$L$1006,$G634))</f>
        <v/>
      </c>
      <c r="J634" s="9" t="str">
        <f ca="1">IF($G634="","",INDEX(BASE_PRODUTOS!$A$2:$A$1006,$G634))</f>
        <v/>
      </c>
      <c r="K634" s="9" t="str">
        <f ca="1">IF($G634="","",INDEX(BASE_PRODUTOS!$C$2:$C$1006,$G634))</f>
        <v/>
      </c>
      <c r="L634" s="9" t="str">
        <f ca="1">IF($G634="","",INDEX(BASE_PRODUTOS!$E$2:$E$1006,$G634))</f>
        <v/>
      </c>
      <c r="M634" s="9" t="str">
        <f ca="1">IF($G634="","",INDEX(BASE_PRODUTOS!$F$2:$F$1006,$G634))</f>
        <v/>
      </c>
      <c r="N634" s="9" t="str">
        <f ca="1">IF($G634="","",INDEX(BASE_PRODUTOS!$G$2:$G$1006,$G634))</f>
        <v/>
      </c>
      <c r="O634" s="9" t="str">
        <f ca="1">IF($G634="","",INDEX(BASE_PRODUTOS!$H$2:$H$1006,$G634))</f>
        <v/>
      </c>
      <c r="P634" s="9" t="str">
        <f ca="1">IF($G634="","",INDEX(BASE_PRODUTOS!$I$2:$I$1006,$G634))</f>
        <v/>
      </c>
      <c r="Q634" s="9" t="str">
        <f ca="1">IF($G634="","",INDEX(BASE_PRODUTOS!$J$2:$J$1006,$G634))</f>
        <v/>
      </c>
      <c r="R634" s="9" t="str">
        <f ca="1">IF($G634="","",INDEX(BASE_PRODUTOS!$M$2:$M$1006,$G634))</f>
        <v/>
      </c>
      <c r="S634" s="9" t="str">
        <f ca="1">IF($G634="","",INDEX(BASE_PRODUTOS!$N$2:$N$1006,$G634))</f>
        <v/>
      </c>
      <c r="T634" s="9" t="str">
        <f ca="1">IF($G634="","",INDEX(BASE_PRODUTOS!$D$2:$D$1006,$G634))</f>
        <v/>
      </c>
    </row>
    <row r="635" spans="7:20" ht="18" customHeight="1" x14ac:dyDescent="0.35">
      <c r="G635" t="str">
        <f ca="1">IFERROR(_xludf.aggregate(15,6,(ROW(BASE_PRODUTOS!$L$2:$L$1006)-ROW(BASE_PRODUTOS!$L$2)+1)/(BASE_PRODUTOS!$L$2:$L$1006&gt;0),ROWS($G$10:G635)),"")</f>
        <v/>
      </c>
      <c r="H635" s="9" t="str">
        <f ca="1">IF($G635="","",INDEX(BASE_PRODUTOS!$B$2:$B$1006,$G635))</f>
        <v/>
      </c>
      <c r="I635" s="9" t="str">
        <f ca="1">IF($G635="","",INDEX(BASE_PRODUTOS!$L$2:$L$1006,$G635))</f>
        <v/>
      </c>
      <c r="J635" s="9" t="str">
        <f ca="1">IF($G635="","",INDEX(BASE_PRODUTOS!$A$2:$A$1006,$G635))</f>
        <v/>
      </c>
      <c r="K635" s="9" t="str">
        <f ca="1">IF($G635="","",INDEX(BASE_PRODUTOS!$C$2:$C$1006,$G635))</f>
        <v/>
      </c>
      <c r="L635" s="9" t="str">
        <f ca="1">IF($G635="","",INDEX(BASE_PRODUTOS!$E$2:$E$1006,$G635))</f>
        <v/>
      </c>
      <c r="M635" s="9" t="str">
        <f ca="1">IF($G635="","",INDEX(BASE_PRODUTOS!$F$2:$F$1006,$G635))</f>
        <v/>
      </c>
      <c r="N635" s="9" t="str">
        <f ca="1">IF($G635="","",INDEX(BASE_PRODUTOS!$G$2:$G$1006,$G635))</f>
        <v/>
      </c>
      <c r="O635" s="9" t="str">
        <f ca="1">IF($G635="","",INDEX(BASE_PRODUTOS!$H$2:$H$1006,$G635))</f>
        <v/>
      </c>
      <c r="P635" s="9" t="str">
        <f ca="1">IF($G635="","",INDEX(BASE_PRODUTOS!$I$2:$I$1006,$G635))</f>
        <v/>
      </c>
      <c r="Q635" s="9" t="str">
        <f ca="1">IF($G635="","",INDEX(BASE_PRODUTOS!$J$2:$J$1006,$G635))</f>
        <v/>
      </c>
      <c r="R635" s="9" t="str">
        <f ca="1">IF($G635="","",INDEX(BASE_PRODUTOS!$M$2:$M$1006,$G635))</f>
        <v/>
      </c>
      <c r="S635" s="9" t="str">
        <f ca="1">IF($G635="","",INDEX(BASE_PRODUTOS!$N$2:$N$1006,$G635))</f>
        <v/>
      </c>
      <c r="T635" s="9" t="str">
        <f ca="1">IF($G635="","",INDEX(BASE_PRODUTOS!$D$2:$D$1006,$G635))</f>
        <v/>
      </c>
    </row>
    <row r="636" spans="7:20" ht="18" customHeight="1" x14ac:dyDescent="0.35">
      <c r="G636" t="str">
        <f ca="1">IFERROR(_xludf.aggregate(15,6,(ROW(BASE_PRODUTOS!$L$2:$L$1006)-ROW(BASE_PRODUTOS!$L$2)+1)/(BASE_PRODUTOS!$L$2:$L$1006&gt;0),ROWS($G$10:G636)),"")</f>
        <v/>
      </c>
      <c r="H636" s="9" t="str">
        <f ca="1">IF($G636="","",INDEX(BASE_PRODUTOS!$B$2:$B$1006,$G636))</f>
        <v/>
      </c>
      <c r="I636" s="9" t="str">
        <f ca="1">IF($G636="","",INDEX(BASE_PRODUTOS!$L$2:$L$1006,$G636))</f>
        <v/>
      </c>
      <c r="J636" s="9" t="str">
        <f ca="1">IF($G636="","",INDEX(BASE_PRODUTOS!$A$2:$A$1006,$G636))</f>
        <v/>
      </c>
      <c r="K636" s="9" t="str">
        <f ca="1">IF($G636="","",INDEX(BASE_PRODUTOS!$C$2:$C$1006,$G636))</f>
        <v/>
      </c>
      <c r="L636" s="9" t="str">
        <f ca="1">IF($G636="","",INDEX(BASE_PRODUTOS!$E$2:$E$1006,$G636))</f>
        <v/>
      </c>
      <c r="M636" s="9" t="str">
        <f ca="1">IF($G636="","",INDEX(BASE_PRODUTOS!$F$2:$F$1006,$G636))</f>
        <v/>
      </c>
      <c r="N636" s="9" t="str">
        <f ca="1">IF($G636="","",INDEX(BASE_PRODUTOS!$G$2:$G$1006,$G636))</f>
        <v/>
      </c>
      <c r="O636" s="9" t="str">
        <f ca="1">IF($G636="","",INDEX(BASE_PRODUTOS!$H$2:$H$1006,$G636))</f>
        <v/>
      </c>
      <c r="P636" s="9" t="str">
        <f ca="1">IF($G636="","",INDEX(BASE_PRODUTOS!$I$2:$I$1006,$G636))</f>
        <v/>
      </c>
      <c r="Q636" s="9" t="str">
        <f ca="1">IF($G636="","",INDEX(BASE_PRODUTOS!$J$2:$J$1006,$G636))</f>
        <v/>
      </c>
      <c r="R636" s="9" t="str">
        <f ca="1">IF($G636="","",INDEX(BASE_PRODUTOS!$M$2:$M$1006,$G636))</f>
        <v/>
      </c>
      <c r="S636" s="9" t="str">
        <f ca="1">IF($G636="","",INDEX(BASE_PRODUTOS!$N$2:$N$1006,$G636))</f>
        <v/>
      </c>
      <c r="T636" s="9" t="str">
        <f ca="1">IF($G636="","",INDEX(BASE_PRODUTOS!$D$2:$D$1006,$G636))</f>
        <v/>
      </c>
    </row>
    <row r="637" spans="7:20" ht="18" customHeight="1" x14ac:dyDescent="0.35">
      <c r="G637" t="str">
        <f ca="1">IFERROR(_xludf.aggregate(15,6,(ROW(BASE_PRODUTOS!$L$2:$L$1006)-ROW(BASE_PRODUTOS!$L$2)+1)/(BASE_PRODUTOS!$L$2:$L$1006&gt;0),ROWS($G$10:G637)),"")</f>
        <v/>
      </c>
      <c r="H637" s="9" t="str">
        <f ca="1">IF($G637="","",INDEX(BASE_PRODUTOS!$B$2:$B$1006,$G637))</f>
        <v/>
      </c>
      <c r="I637" s="9" t="str">
        <f ca="1">IF($G637="","",INDEX(BASE_PRODUTOS!$L$2:$L$1006,$G637))</f>
        <v/>
      </c>
      <c r="J637" s="9" t="str">
        <f ca="1">IF($G637="","",INDEX(BASE_PRODUTOS!$A$2:$A$1006,$G637))</f>
        <v/>
      </c>
      <c r="K637" s="9" t="str">
        <f ca="1">IF($G637="","",INDEX(BASE_PRODUTOS!$C$2:$C$1006,$G637))</f>
        <v/>
      </c>
      <c r="L637" s="9" t="str">
        <f ca="1">IF($G637="","",INDEX(BASE_PRODUTOS!$E$2:$E$1006,$G637))</f>
        <v/>
      </c>
      <c r="M637" s="9" t="str">
        <f ca="1">IF($G637="","",INDEX(BASE_PRODUTOS!$F$2:$F$1006,$G637))</f>
        <v/>
      </c>
      <c r="N637" s="9" t="str">
        <f ca="1">IF($G637="","",INDEX(BASE_PRODUTOS!$G$2:$G$1006,$G637))</f>
        <v/>
      </c>
      <c r="O637" s="9" t="str">
        <f ca="1">IF($G637="","",INDEX(BASE_PRODUTOS!$H$2:$H$1006,$G637))</f>
        <v/>
      </c>
      <c r="P637" s="9" t="str">
        <f ca="1">IF($G637="","",INDEX(BASE_PRODUTOS!$I$2:$I$1006,$G637))</f>
        <v/>
      </c>
      <c r="Q637" s="9" t="str">
        <f ca="1">IF($G637="","",INDEX(BASE_PRODUTOS!$J$2:$J$1006,$G637))</f>
        <v/>
      </c>
      <c r="R637" s="9" t="str">
        <f ca="1">IF($G637="","",INDEX(BASE_PRODUTOS!$M$2:$M$1006,$G637))</f>
        <v/>
      </c>
      <c r="S637" s="9" t="str">
        <f ca="1">IF($G637="","",INDEX(BASE_PRODUTOS!$N$2:$N$1006,$G637))</f>
        <v/>
      </c>
      <c r="T637" s="9" t="str">
        <f ca="1">IF($G637="","",INDEX(BASE_PRODUTOS!$D$2:$D$1006,$G637))</f>
        <v/>
      </c>
    </row>
    <row r="638" spans="7:20" ht="18" customHeight="1" x14ac:dyDescent="0.35">
      <c r="G638" t="str">
        <f ca="1">IFERROR(_xludf.aggregate(15,6,(ROW(BASE_PRODUTOS!$L$2:$L$1006)-ROW(BASE_PRODUTOS!$L$2)+1)/(BASE_PRODUTOS!$L$2:$L$1006&gt;0),ROWS($G$10:G638)),"")</f>
        <v/>
      </c>
      <c r="H638" s="9" t="str">
        <f ca="1">IF($G638="","",INDEX(BASE_PRODUTOS!$B$2:$B$1006,$G638))</f>
        <v/>
      </c>
      <c r="I638" s="9" t="str">
        <f ca="1">IF($G638="","",INDEX(BASE_PRODUTOS!$L$2:$L$1006,$G638))</f>
        <v/>
      </c>
      <c r="J638" s="9" t="str">
        <f ca="1">IF($G638="","",INDEX(BASE_PRODUTOS!$A$2:$A$1006,$G638))</f>
        <v/>
      </c>
      <c r="K638" s="9" t="str">
        <f ca="1">IF($G638="","",INDEX(BASE_PRODUTOS!$C$2:$C$1006,$G638))</f>
        <v/>
      </c>
      <c r="L638" s="9" t="str">
        <f ca="1">IF($G638="","",INDEX(BASE_PRODUTOS!$E$2:$E$1006,$G638))</f>
        <v/>
      </c>
      <c r="M638" s="9" t="str">
        <f ca="1">IF($G638="","",INDEX(BASE_PRODUTOS!$F$2:$F$1006,$G638))</f>
        <v/>
      </c>
      <c r="N638" s="9" t="str">
        <f ca="1">IF($G638="","",INDEX(BASE_PRODUTOS!$G$2:$G$1006,$G638))</f>
        <v/>
      </c>
      <c r="O638" s="9" t="str">
        <f ca="1">IF($G638="","",INDEX(BASE_PRODUTOS!$H$2:$H$1006,$G638))</f>
        <v/>
      </c>
      <c r="P638" s="9" t="str">
        <f ca="1">IF($G638="","",INDEX(BASE_PRODUTOS!$I$2:$I$1006,$G638))</f>
        <v/>
      </c>
      <c r="Q638" s="9" t="str">
        <f ca="1">IF($G638="","",INDEX(BASE_PRODUTOS!$J$2:$J$1006,$G638))</f>
        <v/>
      </c>
      <c r="R638" s="9" t="str">
        <f ca="1">IF($G638="","",INDEX(BASE_PRODUTOS!$M$2:$M$1006,$G638))</f>
        <v/>
      </c>
      <c r="S638" s="9" t="str">
        <f ca="1">IF($G638="","",INDEX(BASE_PRODUTOS!$N$2:$N$1006,$G638))</f>
        <v/>
      </c>
      <c r="T638" s="9" t="str">
        <f ca="1">IF($G638="","",INDEX(BASE_PRODUTOS!$D$2:$D$1006,$G638))</f>
        <v/>
      </c>
    </row>
    <row r="639" spans="7:20" ht="18" customHeight="1" x14ac:dyDescent="0.35">
      <c r="G639" t="str">
        <f ca="1">IFERROR(_xludf.aggregate(15,6,(ROW(BASE_PRODUTOS!$L$2:$L$1006)-ROW(BASE_PRODUTOS!$L$2)+1)/(BASE_PRODUTOS!$L$2:$L$1006&gt;0),ROWS($G$10:G639)),"")</f>
        <v/>
      </c>
      <c r="H639" s="9" t="str">
        <f ca="1">IF($G639="","",INDEX(BASE_PRODUTOS!$B$2:$B$1006,$G639))</f>
        <v/>
      </c>
      <c r="I639" s="9" t="str">
        <f ca="1">IF($G639="","",INDEX(BASE_PRODUTOS!$L$2:$L$1006,$G639))</f>
        <v/>
      </c>
      <c r="J639" s="9" t="str">
        <f ca="1">IF($G639="","",INDEX(BASE_PRODUTOS!$A$2:$A$1006,$G639))</f>
        <v/>
      </c>
      <c r="K639" s="9" t="str">
        <f ca="1">IF($G639="","",INDEX(BASE_PRODUTOS!$C$2:$C$1006,$G639))</f>
        <v/>
      </c>
      <c r="L639" s="9" t="str">
        <f ca="1">IF($G639="","",INDEX(BASE_PRODUTOS!$E$2:$E$1006,$G639))</f>
        <v/>
      </c>
      <c r="M639" s="9" t="str">
        <f ca="1">IF($G639="","",INDEX(BASE_PRODUTOS!$F$2:$F$1006,$G639))</f>
        <v/>
      </c>
      <c r="N639" s="9" t="str">
        <f ca="1">IF($G639="","",INDEX(BASE_PRODUTOS!$G$2:$G$1006,$G639))</f>
        <v/>
      </c>
      <c r="O639" s="9" t="str">
        <f ca="1">IF($G639="","",INDEX(BASE_PRODUTOS!$H$2:$H$1006,$G639))</f>
        <v/>
      </c>
      <c r="P639" s="9" t="str">
        <f ca="1">IF($G639="","",INDEX(BASE_PRODUTOS!$I$2:$I$1006,$G639))</f>
        <v/>
      </c>
      <c r="Q639" s="9" t="str">
        <f ca="1">IF($G639="","",INDEX(BASE_PRODUTOS!$J$2:$J$1006,$G639))</f>
        <v/>
      </c>
      <c r="R639" s="9" t="str">
        <f ca="1">IF($G639="","",INDEX(BASE_PRODUTOS!$M$2:$M$1006,$G639))</f>
        <v/>
      </c>
      <c r="S639" s="9" t="str">
        <f ca="1">IF($G639="","",INDEX(BASE_PRODUTOS!$N$2:$N$1006,$G639))</f>
        <v/>
      </c>
      <c r="T639" s="9" t="str">
        <f ca="1">IF($G639="","",INDEX(BASE_PRODUTOS!$D$2:$D$1006,$G639))</f>
        <v/>
      </c>
    </row>
    <row r="640" spans="7:20" ht="18" customHeight="1" x14ac:dyDescent="0.35">
      <c r="G640" t="str">
        <f ca="1">IFERROR(_xludf.aggregate(15,6,(ROW(BASE_PRODUTOS!$L$2:$L$1006)-ROW(BASE_PRODUTOS!$L$2)+1)/(BASE_PRODUTOS!$L$2:$L$1006&gt;0),ROWS($G$10:G640)),"")</f>
        <v/>
      </c>
      <c r="H640" s="9" t="str">
        <f ca="1">IF($G640="","",INDEX(BASE_PRODUTOS!$B$2:$B$1006,$G640))</f>
        <v/>
      </c>
      <c r="I640" s="9" t="str">
        <f ca="1">IF($G640="","",INDEX(BASE_PRODUTOS!$L$2:$L$1006,$G640))</f>
        <v/>
      </c>
      <c r="J640" s="9" t="str">
        <f ca="1">IF($G640="","",INDEX(BASE_PRODUTOS!$A$2:$A$1006,$G640))</f>
        <v/>
      </c>
      <c r="K640" s="9" t="str">
        <f ca="1">IF($G640="","",INDEX(BASE_PRODUTOS!$C$2:$C$1006,$G640))</f>
        <v/>
      </c>
      <c r="L640" s="9" t="str">
        <f ca="1">IF($G640="","",INDEX(BASE_PRODUTOS!$E$2:$E$1006,$G640))</f>
        <v/>
      </c>
      <c r="M640" s="9" t="str">
        <f ca="1">IF($G640="","",INDEX(BASE_PRODUTOS!$F$2:$F$1006,$G640))</f>
        <v/>
      </c>
      <c r="N640" s="9" t="str">
        <f ca="1">IF($G640="","",INDEX(BASE_PRODUTOS!$G$2:$G$1006,$G640))</f>
        <v/>
      </c>
      <c r="O640" s="9" t="str">
        <f ca="1">IF($G640="","",INDEX(BASE_PRODUTOS!$H$2:$H$1006,$G640))</f>
        <v/>
      </c>
      <c r="P640" s="9" t="str">
        <f ca="1">IF($G640="","",INDEX(BASE_PRODUTOS!$I$2:$I$1006,$G640))</f>
        <v/>
      </c>
      <c r="Q640" s="9" t="str">
        <f ca="1">IF($G640="","",INDEX(BASE_PRODUTOS!$J$2:$J$1006,$G640))</f>
        <v/>
      </c>
      <c r="R640" s="9" t="str">
        <f ca="1">IF($G640="","",INDEX(BASE_PRODUTOS!$M$2:$M$1006,$G640))</f>
        <v/>
      </c>
      <c r="S640" s="9" t="str">
        <f ca="1">IF($G640="","",INDEX(BASE_PRODUTOS!$N$2:$N$1006,$G640))</f>
        <v/>
      </c>
      <c r="T640" s="9" t="str">
        <f ca="1">IF($G640="","",INDEX(BASE_PRODUTOS!$D$2:$D$1006,$G640))</f>
        <v/>
      </c>
    </row>
    <row r="641" spans="7:20" ht="18" customHeight="1" x14ac:dyDescent="0.35">
      <c r="G641" t="str">
        <f ca="1">IFERROR(_xludf.aggregate(15,6,(ROW(BASE_PRODUTOS!$L$2:$L$1006)-ROW(BASE_PRODUTOS!$L$2)+1)/(BASE_PRODUTOS!$L$2:$L$1006&gt;0),ROWS($G$10:G641)),"")</f>
        <v/>
      </c>
      <c r="H641" s="9" t="str">
        <f ca="1">IF($G641="","",INDEX(BASE_PRODUTOS!$B$2:$B$1006,$G641))</f>
        <v/>
      </c>
      <c r="I641" s="9" t="str">
        <f ca="1">IF($G641="","",INDEX(BASE_PRODUTOS!$L$2:$L$1006,$G641))</f>
        <v/>
      </c>
      <c r="J641" s="9" t="str">
        <f ca="1">IF($G641="","",INDEX(BASE_PRODUTOS!$A$2:$A$1006,$G641))</f>
        <v/>
      </c>
      <c r="K641" s="9" t="str">
        <f ca="1">IF($G641="","",INDEX(BASE_PRODUTOS!$C$2:$C$1006,$G641))</f>
        <v/>
      </c>
      <c r="L641" s="9" t="str">
        <f ca="1">IF($G641="","",INDEX(BASE_PRODUTOS!$E$2:$E$1006,$G641))</f>
        <v/>
      </c>
      <c r="M641" s="9" t="str">
        <f ca="1">IF($G641="","",INDEX(BASE_PRODUTOS!$F$2:$F$1006,$G641))</f>
        <v/>
      </c>
      <c r="N641" s="9" t="str">
        <f ca="1">IF($G641="","",INDEX(BASE_PRODUTOS!$G$2:$G$1006,$G641))</f>
        <v/>
      </c>
      <c r="O641" s="9" t="str">
        <f ca="1">IF($G641="","",INDEX(BASE_PRODUTOS!$H$2:$H$1006,$G641))</f>
        <v/>
      </c>
      <c r="P641" s="9" t="str">
        <f ca="1">IF($G641="","",INDEX(BASE_PRODUTOS!$I$2:$I$1006,$G641))</f>
        <v/>
      </c>
      <c r="Q641" s="9" t="str">
        <f ca="1">IF($G641="","",INDEX(BASE_PRODUTOS!$J$2:$J$1006,$G641))</f>
        <v/>
      </c>
      <c r="R641" s="9" t="str">
        <f ca="1">IF($G641="","",INDEX(BASE_PRODUTOS!$M$2:$M$1006,$G641))</f>
        <v/>
      </c>
      <c r="S641" s="9" t="str">
        <f ca="1">IF($G641="","",INDEX(BASE_PRODUTOS!$N$2:$N$1006,$G641))</f>
        <v/>
      </c>
      <c r="T641" s="9" t="str">
        <f ca="1">IF($G641="","",INDEX(BASE_PRODUTOS!$D$2:$D$1006,$G641))</f>
        <v/>
      </c>
    </row>
    <row r="642" spans="7:20" ht="18" customHeight="1" x14ac:dyDescent="0.35">
      <c r="G642" t="str">
        <f ca="1">IFERROR(_xludf.aggregate(15,6,(ROW(BASE_PRODUTOS!$L$2:$L$1006)-ROW(BASE_PRODUTOS!$L$2)+1)/(BASE_PRODUTOS!$L$2:$L$1006&gt;0),ROWS($G$10:G642)),"")</f>
        <v/>
      </c>
      <c r="H642" s="9" t="str">
        <f ca="1">IF($G642="","",INDEX(BASE_PRODUTOS!$B$2:$B$1006,$G642))</f>
        <v/>
      </c>
      <c r="I642" s="9" t="str">
        <f ca="1">IF($G642="","",INDEX(BASE_PRODUTOS!$L$2:$L$1006,$G642))</f>
        <v/>
      </c>
      <c r="J642" s="9" t="str">
        <f ca="1">IF($G642="","",INDEX(BASE_PRODUTOS!$A$2:$A$1006,$G642))</f>
        <v/>
      </c>
      <c r="K642" s="9" t="str">
        <f ca="1">IF($G642="","",INDEX(BASE_PRODUTOS!$C$2:$C$1006,$G642))</f>
        <v/>
      </c>
      <c r="L642" s="9" t="str">
        <f ca="1">IF($G642="","",INDEX(BASE_PRODUTOS!$E$2:$E$1006,$G642))</f>
        <v/>
      </c>
      <c r="M642" s="9" t="str">
        <f ca="1">IF($G642="","",INDEX(BASE_PRODUTOS!$F$2:$F$1006,$G642))</f>
        <v/>
      </c>
      <c r="N642" s="9" t="str">
        <f ca="1">IF($G642="","",INDEX(BASE_PRODUTOS!$G$2:$G$1006,$G642))</f>
        <v/>
      </c>
      <c r="O642" s="9" t="str">
        <f ca="1">IF($G642="","",INDEX(BASE_PRODUTOS!$H$2:$H$1006,$G642))</f>
        <v/>
      </c>
      <c r="P642" s="9" t="str">
        <f ca="1">IF($G642="","",INDEX(BASE_PRODUTOS!$I$2:$I$1006,$G642))</f>
        <v/>
      </c>
      <c r="Q642" s="9" t="str">
        <f ca="1">IF($G642="","",INDEX(BASE_PRODUTOS!$J$2:$J$1006,$G642))</f>
        <v/>
      </c>
      <c r="R642" s="9" t="str">
        <f ca="1">IF($G642="","",INDEX(BASE_PRODUTOS!$M$2:$M$1006,$G642))</f>
        <v/>
      </c>
      <c r="S642" s="9" t="str">
        <f ca="1">IF($G642="","",INDEX(BASE_PRODUTOS!$N$2:$N$1006,$G642))</f>
        <v/>
      </c>
      <c r="T642" s="9" t="str">
        <f ca="1">IF($G642="","",INDEX(BASE_PRODUTOS!$D$2:$D$1006,$G642))</f>
        <v/>
      </c>
    </row>
    <row r="643" spans="7:20" ht="18" customHeight="1" x14ac:dyDescent="0.35">
      <c r="G643" t="str">
        <f ca="1">IFERROR(_xludf.aggregate(15,6,(ROW(BASE_PRODUTOS!$L$2:$L$1006)-ROW(BASE_PRODUTOS!$L$2)+1)/(BASE_PRODUTOS!$L$2:$L$1006&gt;0),ROWS($G$10:G643)),"")</f>
        <v/>
      </c>
      <c r="H643" s="9" t="str">
        <f ca="1">IF($G643="","",INDEX(BASE_PRODUTOS!$B$2:$B$1006,$G643))</f>
        <v/>
      </c>
      <c r="I643" s="9" t="str">
        <f ca="1">IF($G643="","",INDEX(BASE_PRODUTOS!$L$2:$L$1006,$G643))</f>
        <v/>
      </c>
      <c r="J643" s="9" t="str">
        <f ca="1">IF($G643="","",INDEX(BASE_PRODUTOS!$A$2:$A$1006,$G643))</f>
        <v/>
      </c>
      <c r="K643" s="9" t="str">
        <f ca="1">IF($G643="","",INDEX(BASE_PRODUTOS!$C$2:$C$1006,$G643))</f>
        <v/>
      </c>
      <c r="L643" s="9" t="str">
        <f ca="1">IF($G643="","",INDEX(BASE_PRODUTOS!$E$2:$E$1006,$G643))</f>
        <v/>
      </c>
      <c r="M643" s="9" t="str">
        <f ca="1">IF($G643="","",INDEX(BASE_PRODUTOS!$F$2:$F$1006,$G643))</f>
        <v/>
      </c>
      <c r="N643" s="9" t="str">
        <f ca="1">IF($G643="","",INDEX(BASE_PRODUTOS!$G$2:$G$1006,$G643))</f>
        <v/>
      </c>
      <c r="O643" s="9" t="str">
        <f ca="1">IF($G643="","",INDEX(BASE_PRODUTOS!$H$2:$H$1006,$G643))</f>
        <v/>
      </c>
      <c r="P643" s="9" t="str">
        <f ca="1">IF($G643="","",INDEX(BASE_PRODUTOS!$I$2:$I$1006,$G643))</f>
        <v/>
      </c>
      <c r="Q643" s="9" t="str">
        <f ca="1">IF($G643="","",INDEX(BASE_PRODUTOS!$J$2:$J$1006,$G643))</f>
        <v/>
      </c>
      <c r="R643" s="9" t="str">
        <f ca="1">IF($G643="","",INDEX(BASE_PRODUTOS!$M$2:$M$1006,$G643))</f>
        <v/>
      </c>
      <c r="S643" s="9" t="str">
        <f ca="1">IF($G643="","",INDEX(BASE_PRODUTOS!$N$2:$N$1006,$G643))</f>
        <v/>
      </c>
      <c r="T643" s="9" t="str">
        <f ca="1">IF($G643="","",INDEX(BASE_PRODUTOS!$D$2:$D$1006,$G643))</f>
        <v/>
      </c>
    </row>
    <row r="644" spans="7:20" ht="18" customHeight="1" x14ac:dyDescent="0.35">
      <c r="G644" t="str">
        <f ca="1">IFERROR(_xludf.aggregate(15,6,(ROW(BASE_PRODUTOS!$L$2:$L$1006)-ROW(BASE_PRODUTOS!$L$2)+1)/(BASE_PRODUTOS!$L$2:$L$1006&gt;0),ROWS($G$10:G644)),"")</f>
        <v/>
      </c>
      <c r="H644" s="9" t="str">
        <f ca="1">IF($G644="","",INDEX(BASE_PRODUTOS!$B$2:$B$1006,$G644))</f>
        <v/>
      </c>
      <c r="I644" s="9" t="str">
        <f ca="1">IF($G644="","",INDEX(BASE_PRODUTOS!$L$2:$L$1006,$G644))</f>
        <v/>
      </c>
      <c r="J644" s="9" t="str">
        <f ca="1">IF($G644="","",INDEX(BASE_PRODUTOS!$A$2:$A$1006,$G644))</f>
        <v/>
      </c>
      <c r="K644" s="9" t="str">
        <f ca="1">IF($G644="","",INDEX(BASE_PRODUTOS!$C$2:$C$1006,$G644))</f>
        <v/>
      </c>
      <c r="L644" s="9" t="str">
        <f ca="1">IF($G644="","",INDEX(BASE_PRODUTOS!$E$2:$E$1006,$G644))</f>
        <v/>
      </c>
      <c r="M644" s="9" t="str">
        <f ca="1">IF($G644="","",INDEX(BASE_PRODUTOS!$F$2:$F$1006,$G644))</f>
        <v/>
      </c>
      <c r="N644" s="9" t="str">
        <f ca="1">IF($G644="","",INDEX(BASE_PRODUTOS!$G$2:$G$1006,$G644))</f>
        <v/>
      </c>
      <c r="O644" s="9" t="str">
        <f ca="1">IF($G644="","",INDEX(BASE_PRODUTOS!$H$2:$H$1006,$G644))</f>
        <v/>
      </c>
      <c r="P644" s="9" t="str">
        <f ca="1">IF($G644="","",INDEX(BASE_PRODUTOS!$I$2:$I$1006,$G644))</f>
        <v/>
      </c>
      <c r="Q644" s="9" t="str">
        <f ca="1">IF($G644="","",INDEX(BASE_PRODUTOS!$J$2:$J$1006,$G644))</f>
        <v/>
      </c>
      <c r="R644" s="9" t="str">
        <f ca="1">IF($G644="","",INDEX(BASE_PRODUTOS!$M$2:$M$1006,$G644))</f>
        <v/>
      </c>
      <c r="S644" s="9" t="str">
        <f ca="1">IF($G644="","",INDEX(BASE_PRODUTOS!$N$2:$N$1006,$G644))</f>
        <v/>
      </c>
      <c r="T644" s="9" t="str">
        <f ca="1">IF($G644="","",INDEX(BASE_PRODUTOS!$D$2:$D$1006,$G644))</f>
        <v/>
      </c>
    </row>
    <row r="645" spans="7:20" ht="18" customHeight="1" x14ac:dyDescent="0.35">
      <c r="G645" t="str">
        <f ca="1">IFERROR(_xludf.aggregate(15,6,(ROW(BASE_PRODUTOS!$L$2:$L$1006)-ROW(BASE_PRODUTOS!$L$2)+1)/(BASE_PRODUTOS!$L$2:$L$1006&gt;0),ROWS($G$10:G645)),"")</f>
        <v/>
      </c>
      <c r="H645" s="9" t="str">
        <f ca="1">IF($G645="","",INDEX(BASE_PRODUTOS!$B$2:$B$1006,$G645))</f>
        <v/>
      </c>
      <c r="I645" s="9" t="str">
        <f ca="1">IF($G645="","",INDEX(BASE_PRODUTOS!$L$2:$L$1006,$G645))</f>
        <v/>
      </c>
      <c r="J645" s="9" t="str">
        <f ca="1">IF($G645="","",INDEX(BASE_PRODUTOS!$A$2:$A$1006,$G645))</f>
        <v/>
      </c>
      <c r="K645" s="9" t="str">
        <f ca="1">IF($G645="","",INDEX(BASE_PRODUTOS!$C$2:$C$1006,$G645))</f>
        <v/>
      </c>
      <c r="L645" s="9" t="str">
        <f ca="1">IF($G645="","",INDEX(BASE_PRODUTOS!$E$2:$E$1006,$G645))</f>
        <v/>
      </c>
      <c r="M645" s="9" t="str">
        <f ca="1">IF($G645="","",INDEX(BASE_PRODUTOS!$F$2:$F$1006,$G645))</f>
        <v/>
      </c>
      <c r="N645" s="9" t="str">
        <f ca="1">IF($G645="","",INDEX(BASE_PRODUTOS!$G$2:$G$1006,$G645))</f>
        <v/>
      </c>
      <c r="O645" s="9" t="str">
        <f ca="1">IF($G645="","",INDEX(BASE_PRODUTOS!$H$2:$H$1006,$G645))</f>
        <v/>
      </c>
      <c r="P645" s="9" t="str">
        <f ca="1">IF($G645="","",INDEX(BASE_PRODUTOS!$I$2:$I$1006,$G645))</f>
        <v/>
      </c>
      <c r="Q645" s="9" t="str">
        <f ca="1">IF($G645="","",INDEX(BASE_PRODUTOS!$J$2:$J$1006,$G645))</f>
        <v/>
      </c>
      <c r="R645" s="9" t="str">
        <f ca="1">IF($G645="","",INDEX(BASE_PRODUTOS!$M$2:$M$1006,$G645))</f>
        <v/>
      </c>
      <c r="S645" s="9" t="str">
        <f ca="1">IF($G645="","",INDEX(BASE_PRODUTOS!$N$2:$N$1006,$G645))</f>
        <v/>
      </c>
      <c r="T645" s="9" t="str">
        <f ca="1">IF($G645="","",INDEX(BASE_PRODUTOS!$D$2:$D$1006,$G645))</f>
        <v/>
      </c>
    </row>
    <row r="646" spans="7:20" ht="18" customHeight="1" x14ac:dyDescent="0.35">
      <c r="G646" t="str">
        <f ca="1">IFERROR(_xludf.aggregate(15,6,(ROW(BASE_PRODUTOS!$L$2:$L$1006)-ROW(BASE_PRODUTOS!$L$2)+1)/(BASE_PRODUTOS!$L$2:$L$1006&gt;0),ROWS($G$10:G646)),"")</f>
        <v/>
      </c>
      <c r="H646" s="9" t="str">
        <f ca="1">IF($G646="","",INDEX(BASE_PRODUTOS!$B$2:$B$1006,$G646))</f>
        <v/>
      </c>
      <c r="I646" s="9" t="str">
        <f ca="1">IF($G646="","",INDEX(BASE_PRODUTOS!$L$2:$L$1006,$G646))</f>
        <v/>
      </c>
      <c r="J646" s="9" t="str">
        <f ca="1">IF($G646="","",INDEX(BASE_PRODUTOS!$A$2:$A$1006,$G646))</f>
        <v/>
      </c>
      <c r="K646" s="9" t="str">
        <f ca="1">IF($G646="","",INDEX(BASE_PRODUTOS!$C$2:$C$1006,$G646))</f>
        <v/>
      </c>
      <c r="L646" s="9" t="str">
        <f ca="1">IF($G646="","",INDEX(BASE_PRODUTOS!$E$2:$E$1006,$G646))</f>
        <v/>
      </c>
      <c r="M646" s="9" t="str">
        <f ca="1">IF($G646="","",INDEX(BASE_PRODUTOS!$F$2:$F$1006,$G646))</f>
        <v/>
      </c>
      <c r="N646" s="9" t="str">
        <f ca="1">IF($G646="","",INDEX(BASE_PRODUTOS!$G$2:$G$1006,$G646))</f>
        <v/>
      </c>
      <c r="O646" s="9" t="str">
        <f ca="1">IF($G646="","",INDEX(BASE_PRODUTOS!$H$2:$H$1006,$G646))</f>
        <v/>
      </c>
      <c r="P646" s="9" t="str">
        <f ca="1">IF($G646="","",INDEX(BASE_PRODUTOS!$I$2:$I$1006,$G646))</f>
        <v/>
      </c>
      <c r="Q646" s="9" t="str">
        <f ca="1">IF($G646="","",INDEX(BASE_PRODUTOS!$J$2:$J$1006,$G646))</f>
        <v/>
      </c>
      <c r="R646" s="9" t="str">
        <f ca="1">IF($G646="","",INDEX(BASE_PRODUTOS!$M$2:$M$1006,$G646))</f>
        <v/>
      </c>
      <c r="S646" s="9" t="str">
        <f ca="1">IF($G646="","",INDEX(BASE_PRODUTOS!$N$2:$N$1006,$G646))</f>
        <v/>
      </c>
      <c r="T646" s="9" t="str">
        <f ca="1">IF($G646="","",INDEX(BASE_PRODUTOS!$D$2:$D$1006,$G646))</f>
        <v/>
      </c>
    </row>
    <row r="647" spans="7:20" ht="18" customHeight="1" x14ac:dyDescent="0.35">
      <c r="G647" t="str">
        <f ca="1">IFERROR(_xludf.aggregate(15,6,(ROW(BASE_PRODUTOS!$L$2:$L$1006)-ROW(BASE_PRODUTOS!$L$2)+1)/(BASE_PRODUTOS!$L$2:$L$1006&gt;0),ROWS($G$10:G647)),"")</f>
        <v/>
      </c>
      <c r="H647" s="9" t="str">
        <f ca="1">IF($G647="","",INDEX(BASE_PRODUTOS!$B$2:$B$1006,$G647))</f>
        <v/>
      </c>
      <c r="I647" s="9" t="str">
        <f ca="1">IF($G647="","",INDEX(BASE_PRODUTOS!$L$2:$L$1006,$G647))</f>
        <v/>
      </c>
      <c r="J647" s="9" t="str">
        <f ca="1">IF($G647="","",INDEX(BASE_PRODUTOS!$A$2:$A$1006,$G647))</f>
        <v/>
      </c>
      <c r="K647" s="9" t="str">
        <f ca="1">IF($G647="","",INDEX(BASE_PRODUTOS!$C$2:$C$1006,$G647))</f>
        <v/>
      </c>
      <c r="L647" s="9" t="str">
        <f ca="1">IF($G647="","",INDEX(BASE_PRODUTOS!$E$2:$E$1006,$G647))</f>
        <v/>
      </c>
      <c r="M647" s="9" t="str">
        <f ca="1">IF($G647="","",INDEX(BASE_PRODUTOS!$F$2:$F$1006,$G647))</f>
        <v/>
      </c>
      <c r="N647" s="9" t="str">
        <f ca="1">IF($G647="","",INDEX(BASE_PRODUTOS!$G$2:$G$1006,$G647))</f>
        <v/>
      </c>
      <c r="O647" s="9" t="str">
        <f ca="1">IF($G647="","",INDEX(BASE_PRODUTOS!$H$2:$H$1006,$G647))</f>
        <v/>
      </c>
      <c r="P647" s="9" t="str">
        <f ca="1">IF($G647="","",INDEX(BASE_PRODUTOS!$I$2:$I$1006,$G647))</f>
        <v/>
      </c>
      <c r="Q647" s="9" t="str">
        <f ca="1">IF($G647="","",INDEX(BASE_PRODUTOS!$J$2:$J$1006,$G647))</f>
        <v/>
      </c>
      <c r="R647" s="9" t="str">
        <f ca="1">IF($G647="","",INDEX(BASE_PRODUTOS!$M$2:$M$1006,$G647))</f>
        <v/>
      </c>
      <c r="S647" s="9" t="str">
        <f ca="1">IF($G647="","",INDEX(BASE_PRODUTOS!$N$2:$N$1006,$G647))</f>
        <v/>
      </c>
      <c r="T647" s="9" t="str">
        <f ca="1">IF($G647="","",INDEX(BASE_PRODUTOS!$D$2:$D$1006,$G647))</f>
        <v/>
      </c>
    </row>
    <row r="648" spans="7:20" ht="18" customHeight="1" x14ac:dyDescent="0.35">
      <c r="G648" t="str">
        <f ca="1">IFERROR(_xludf.aggregate(15,6,(ROW(BASE_PRODUTOS!$L$2:$L$1006)-ROW(BASE_PRODUTOS!$L$2)+1)/(BASE_PRODUTOS!$L$2:$L$1006&gt;0),ROWS($G$10:G648)),"")</f>
        <v/>
      </c>
      <c r="H648" s="9" t="str">
        <f ca="1">IF($G648="","",INDEX(BASE_PRODUTOS!$B$2:$B$1006,$G648))</f>
        <v/>
      </c>
      <c r="I648" s="9" t="str">
        <f ca="1">IF($G648="","",INDEX(BASE_PRODUTOS!$L$2:$L$1006,$G648))</f>
        <v/>
      </c>
      <c r="J648" s="9" t="str">
        <f ca="1">IF($G648="","",INDEX(BASE_PRODUTOS!$A$2:$A$1006,$G648))</f>
        <v/>
      </c>
      <c r="K648" s="9" t="str">
        <f ca="1">IF($G648="","",INDEX(BASE_PRODUTOS!$C$2:$C$1006,$G648))</f>
        <v/>
      </c>
      <c r="L648" s="9" t="str">
        <f ca="1">IF($G648="","",INDEX(BASE_PRODUTOS!$E$2:$E$1006,$G648))</f>
        <v/>
      </c>
      <c r="M648" s="9" t="str">
        <f ca="1">IF($G648="","",INDEX(BASE_PRODUTOS!$F$2:$F$1006,$G648))</f>
        <v/>
      </c>
      <c r="N648" s="9" t="str">
        <f ca="1">IF($G648="","",INDEX(BASE_PRODUTOS!$G$2:$G$1006,$G648))</f>
        <v/>
      </c>
      <c r="O648" s="9" t="str">
        <f ca="1">IF($G648="","",INDEX(BASE_PRODUTOS!$H$2:$H$1006,$G648))</f>
        <v/>
      </c>
      <c r="P648" s="9" t="str">
        <f ca="1">IF($G648="","",INDEX(BASE_PRODUTOS!$I$2:$I$1006,$G648))</f>
        <v/>
      </c>
      <c r="Q648" s="9" t="str">
        <f ca="1">IF($G648="","",INDEX(BASE_PRODUTOS!$J$2:$J$1006,$G648))</f>
        <v/>
      </c>
      <c r="R648" s="9" t="str">
        <f ca="1">IF($G648="","",INDEX(BASE_PRODUTOS!$M$2:$M$1006,$G648))</f>
        <v/>
      </c>
      <c r="S648" s="9" t="str">
        <f ca="1">IF($G648="","",INDEX(BASE_PRODUTOS!$N$2:$N$1006,$G648))</f>
        <v/>
      </c>
      <c r="T648" s="9" t="str">
        <f ca="1">IF($G648="","",INDEX(BASE_PRODUTOS!$D$2:$D$1006,$G648))</f>
        <v/>
      </c>
    </row>
    <row r="649" spans="7:20" ht="18" customHeight="1" x14ac:dyDescent="0.35">
      <c r="G649" t="str">
        <f ca="1">IFERROR(_xludf.aggregate(15,6,(ROW(BASE_PRODUTOS!$L$2:$L$1006)-ROW(BASE_PRODUTOS!$L$2)+1)/(BASE_PRODUTOS!$L$2:$L$1006&gt;0),ROWS($G$10:G649)),"")</f>
        <v/>
      </c>
      <c r="H649" s="9" t="str">
        <f ca="1">IF($G649="","",INDEX(BASE_PRODUTOS!$B$2:$B$1006,$G649))</f>
        <v/>
      </c>
      <c r="I649" s="9" t="str">
        <f ca="1">IF($G649="","",INDEX(BASE_PRODUTOS!$L$2:$L$1006,$G649))</f>
        <v/>
      </c>
      <c r="J649" s="9" t="str">
        <f ca="1">IF($G649="","",INDEX(BASE_PRODUTOS!$A$2:$A$1006,$G649))</f>
        <v/>
      </c>
      <c r="K649" s="9" t="str">
        <f ca="1">IF($G649="","",INDEX(BASE_PRODUTOS!$C$2:$C$1006,$G649))</f>
        <v/>
      </c>
      <c r="L649" s="9" t="str">
        <f ca="1">IF($G649="","",INDEX(BASE_PRODUTOS!$E$2:$E$1006,$G649))</f>
        <v/>
      </c>
      <c r="M649" s="9" t="str">
        <f ca="1">IF($G649="","",INDEX(BASE_PRODUTOS!$F$2:$F$1006,$G649))</f>
        <v/>
      </c>
      <c r="N649" s="9" t="str">
        <f ca="1">IF($G649="","",INDEX(BASE_PRODUTOS!$G$2:$G$1006,$G649))</f>
        <v/>
      </c>
      <c r="O649" s="9" t="str">
        <f ca="1">IF($G649="","",INDEX(BASE_PRODUTOS!$H$2:$H$1006,$G649))</f>
        <v/>
      </c>
      <c r="P649" s="9" t="str">
        <f ca="1">IF($G649="","",INDEX(BASE_PRODUTOS!$I$2:$I$1006,$G649))</f>
        <v/>
      </c>
      <c r="Q649" s="9" t="str">
        <f ca="1">IF($G649="","",INDEX(BASE_PRODUTOS!$J$2:$J$1006,$G649))</f>
        <v/>
      </c>
      <c r="R649" s="9" t="str">
        <f ca="1">IF($G649="","",INDEX(BASE_PRODUTOS!$M$2:$M$1006,$G649))</f>
        <v/>
      </c>
      <c r="S649" s="9" t="str">
        <f ca="1">IF($G649="","",INDEX(BASE_PRODUTOS!$N$2:$N$1006,$G649))</f>
        <v/>
      </c>
      <c r="T649" s="9" t="str">
        <f ca="1">IF($G649="","",INDEX(BASE_PRODUTOS!$D$2:$D$1006,$G649))</f>
        <v/>
      </c>
    </row>
    <row r="650" spans="7:20" ht="18" customHeight="1" x14ac:dyDescent="0.35">
      <c r="G650" t="str">
        <f ca="1">IFERROR(_xludf.aggregate(15,6,(ROW(BASE_PRODUTOS!$L$2:$L$1006)-ROW(BASE_PRODUTOS!$L$2)+1)/(BASE_PRODUTOS!$L$2:$L$1006&gt;0),ROWS($G$10:G650)),"")</f>
        <v/>
      </c>
      <c r="H650" s="9" t="str">
        <f ca="1">IF($G650="","",INDEX(BASE_PRODUTOS!$B$2:$B$1006,$G650))</f>
        <v/>
      </c>
      <c r="I650" s="9" t="str">
        <f ca="1">IF($G650="","",INDEX(BASE_PRODUTOS!$L$2:$L$1006,$G650))</f>
        <v/>
      </c>
      <c r="J650" s="9" t="str">
        <f ca="1">IF($G650="","",INDEX(BASE_PRODUTOS!$A$2:$A$1006,$G650))</f>
        <v/>
      </c>
      <c r="K650" s="9" t="str">
        <f ca="1">IF($G650="","",INDEX(BASE_PRODUTOS!$C$2:$C$1006,$G650))</f>
        <v/>
      </c>
      <c r="L650" s="9" t="str">
        <f ca="1">IF($G650="","",INDEX(BASE_PRODUTOS!$E$2:$E$1006,$G650))</f>
        <v/>
      </c>
      <c r="M650" s="9" t="str">
        <f ca="1">IF($G650="","",INDEX(BASE_PRODUTOS!$F$2:$F$1006,$G650))</f>
        <v/>
      </c>
      <c r="N650" s="9" t="str">
        <f ca="1">IF($G650="","",INDEX(BASE_PRODUTOS!$G$2:$G$1006,$G650))</f>
        <v/>
      </c>
      <c r="O650" s="9" t="str">
        <f ca="1">IF($G650="","",INDEX(BASE_PRODUTOS!$H$2:$H$1006,$G650))</f>
        <v/>
      </c>
      <c r="P650" s="9" t="str">
        <f ca="1">IF($G650="","",INDEX(BASE_PRODUTOS!$I$2:$I$1006,$G650))</f>
        <v/>
      </c>
      <c r="Q650" s="9" t="str">
        <f ca="1">IF($G650="","",INDEX(BASE_PRODUTOS!$J$2:$J$1006,$G650))</f>
        <v/>
      </c>
      <c r="R650" s="9" t="str">
        <f ca="1">IF($G650="","",INDEX(BASE_PRODUTOS!$M$2:$M$1006,$G650))</f>
        <v/>
      </c>
      <c r="S650" s="9" t="str">
        <f ca="1">IF($G650="","",INDEX(BASE_PRODUTOS!$N$2:$N$1006,$G650))</f>
        <v/>
      </c>
      <c r="T650" s="9" t="str">
        <f ca="1">IF($G650="","",INDEX(BASE_PRODUTOS!$D$2:$D$1006,$G650))</f>
        <v/>
      </c>
    </row>
    <row r="651" spans="7:20" ht="18" customHeight="1" x14ac:dyDescent="0.35">
      <c r="G651" t="str">
        <f ca="1">IFERROR(_xludf.aggregate(15,6,(ROW(BASE_PRODUTOS!$L$2:$L$1006)-ROW(BASE_PRODUTOS!$L$2)+1)/(BASE_PRODUTOS!$L$2:$L$1006&gt;0),ROWS($G$10:G651)),"")</f>
        <v/>
      </c>
      <c r="H651" s="9" t="str">
        <f ca="1">IF($G651="","",INDEX(BASE_PRODUTOS!$B$2:$B$1006,$G651))</f>
        <v/>
      </c>
      <c r="I651" s="9" t="str">
        <f ca="1">IF($G651="","",INDEX(BASE_PRODUTOS!$L$2:$L$1006,$G651))</f>
        <v/>
      </c>
      <c r="J651" s="9" t="str">
        <f ca="1">IF($G651="","",INDEX(BASE_PRODUTOS!$A$2:$A$1006,$G651))</f>
        <v/>
      </c>
      <c r="K651" s="9" t="str">
        <f ca="1">IF($G651="","",INDEX(BASE_PRODUTOS!$C$2:$C$1006,$G651))</f>
        <v/>
      </c>
      <c r="L651" s="9" t="str">
        <f ca="1">IF($G651="","",INDEX(BASE_PRODUTOS!$E$2:$E$1006,$G651))</f>
        <v/>
      </c>
      <c r="M651" s="9" t="str">
        <f ca="1">IF($G651="","",INDEX(BASE_PRODUTOS!$F$2:$F$1006,$G651))</f>
        <v/>
      </c>
      <c r="N651" s="9" t="str">
        <f ca="1">IF($G651="","",INDEX(BASE_PRODUTOS!$G$2:$G$1006,$G651))</f>
        <v/>
      </c>
      <c r="O651" s="9" t="str">
        <f ca="1">IF($G651="","",INDEX(BASE_PRODUTOS!$H$2:$H$1006,$G651))</f>
        <v/>
      </c>
      <c r="P651" s="9" t="str">
        <f ca="1">IF($G651="","",INDEX(BASE_PRODUTOS!$I$2:$I$1006,$G651))</f>
        <v/>
      </c>
      <c r="Q651" s="9" t="str">
        <f ca="1">IF($G651="","",INDEX(BASE_PRODUTOS!$J$2:$J$1006,$G651))</f>
        <v/>
      </c>
      <c r="R651" s="9" t="str">
        <f ca="1">IF($G651="","",INDEX(BASE_PRODUTOS!$M$2:$M$1006,$G651))</f>
        <v/>
      </c>
      <c r="S651" s="9" t="str">
        <f ca="1">IF($G651="","",INDEX(BASE_PRODUTOS!$N$2:$N$1006,$G651))</f>
        <v/>
      </c>
      <c r="T651" s="9" t="str">
        <f ca="1">IF($G651="","",INDEX(BASE_PRODUTOS!$D$2:$D$1006,$G651))</f>
        <v/>
      </c>
    </row>
    <row r="652" spans="7:20" ht="18" customHeight="1" x14ac:dyDescent="0.35">
      <c r="G652" t="str">
        <f ca="1">IFERROR(_xludf.aggregate(15,6,(ROW(BASE_PRODUTOS!$L$2:$L$1006)-ROW(BASE_PRODUTOS!$L$2)+1)/(BASE_PRODUTOS!$L$2:$L$1006&gt;0),ROWS($G$10:G652)),"")</f>
        <v/>
      </c>
      <c r="H652" s="9" t="str">
        <f ca="1">IF($G652="","",INDEX(BASE_PRODUTOS!$B$2:$B$1006,$G652))</f>
        <v/>
      </c>
      <c r="I652" s="9" t="str">
        <f ca="1">IF($G652="","",INDEX(BASE_PRODUTOS!$L$2:$L$1006,$G652))</f>
        <v/>
      </c>
      <c r="J652" s="9" t="str">
        <f ca="1">IF($G652="","",INDEX(BASE_PRODUTOS!$A$2:$A$1006,$G652))</f>
        <v/>
      </c>
      <c r="K652" s="9" t="str">
        <f ca="1">IF($G652="","",INDEX(BASE_PRODUTOS!$C$2:$C$1006,$G652))</f>
        <v/>
      </c>
      <c r="L652" s="9" t="str">
        <f ca="1">IF($G652="","",INDEX(BASE_PRODUTOS!$E$2:$E$1006,$G652))</f>
        <v/>
      </c>
      <c r="M652" s="9" t="str">
        <f ca="1">IF($G652="","",INDEX(BASE_PRODUTOS!$F$2:$F$1006,$G652))</f>
        <v/>
      </c>
      <c r="N652" s="9" t="str">
        <f ca="1">IF($G652="","",INDEX(BASE_PRODUTOS!$G$2:$G$1006,$G652))</f>
        <v/>
      </c>
      <c r="O652" s="9" t="str">
        <f ca="1">IF($G652="","",INDEX(BASE_PRODUTOS!$H$2:$H$1006,$G652))</f>
        <v/>
      </c>
      <c r="P652" s="9" t="str">
        <f ca="1">IF($G652="","",INDEX(BASE_PRODUTOS!$I$2:$I$1006,$G652))</f>
        <v/>
      </c>
      <c r="Q652" s="9" t="str">
        <f ca="1">IF($G652="","",INDEX(BASE_PRODUTOS!$J$2:$J$1006,$G652))</f>
        <v/>
      </c>
      <c r="R652" s="9" t="str">
        <f ca="1">IF($G652="","",INDEX(BASE_PRODUTOS!$M$2:$M$1006,$G652))</f>
        <v/>
      </c>
      <c r="S652" s="9" t="str">
        <f ca="1">IF($G652="","",INDEX(BASE_PRODUTOS!$N$2:$N$1006,$G652))</f>
        <v/>
      </c>
      <c r="T652" s="9" t="str">
        <f ca="1">IF($G652="","",INDEX(BASE_PRODUTOS!$D$2:$D$1006,$G652))</f>
        <v/>
      </c>
    </row>
    <row r="653" spans="7:20" ht="18" customHeight="1" x14ac:dyDescent="0.35">
      <c r="G653" t="str">
        <f ca="1">IFERROR(_xludf.aggregate(15,6,(ROW(BASE_PRODUTOS!$L$2:$L$1006)-ROW(BASE_PRODUTOS!$L$2)+1)/(BASE_PRODUTOS!$L$2:$L$1006&gt;0),ROWS($G$10:G653)),"")</f>
        <v/>
      </c>
      <c r="H653" s="9" t="str">
        <f ca="1">IF($G653="","",INDEX(BASE_PRODUTOS!$B$2:$B$1006,$G653))</f>
        <v/>
      </c>
      <c r="I653" s="9" t="str">
        <f ca="1">IF($G653="","",INDEX(BASE_PRODUTOS!$L$2:$L$1006,$G653))</f>
        <v/>
      </c>
      <c r="J653" s="9" t="str">
        <f ca="1">IF($G653="","",INDEX(BASE_PRODUTOS!$A$2:$A$1006,$G653))</f>
        <v/>
      </c>
      <c r="K653" s="9" t="str">
        <f ca="1">IF($G653="","",INDEX(BASE_PRODUTOS!$C$2:$C$1006,$G653))</f>
        <v/>
      </c>
      <c r="L653" s="9" t="str">
        <f ca="1">IF($G653="","",INDEX(BASE_PRODUTOS!$E$2:$E$1006,$G653))</f>
        <v/>
      </c>
      <c r="M653" s="9" t="str">
        <f ca="1">IF($G653="","",INDEX(BASE_PRODUTOS!$F$2:$F$1006,$G653))</f>
        <v/>
      </c>
      <c r="N653" s="9" t="str">
        <f ca="1">IF($G653="","",INDEX(BASE_PRODUTOS!$G$2:$G$1006,$G653))</f>
        <v/>
      </c>
      <c r="O653" s="9" t="str">
        <f ca="1">IF($G653="","",INDEX(BASE_PRODUTOS!$H$2:$H$1006,$G653))</f>
        <v/>
      </c>
      <c r="P653" s="9" t="str">
        <f ca="1">IF($G653="","",INDEX(BASE_PRODUTOS!$I$2:$I$1006,$G653))</f>
        <v/>
      </c>
      <c r="Q653" s="9" t="str">
        <f ca="1">IF($G653="","",INDEX(BASE_PRODUTOS!$J$2:$J$1006,$G653))</f>
        <v/>
      </c>
      <c r="R653" s="9" t="str">
        <f ca="1">IF($G653="","",INDEX(BASE_PRODUTOS!$M$2:$M$1006,$G653))</f>
        <v/>
      </c>
      <c r="S653" s="9" t="str">
        <f ca="1">IF($G653="","",INDEX(BASE_PRODUTOS!$N$2:$N$1006,$G653))</f>
        <v/>
      </c>
      <c r="T653" s="9" t="str">
        <f ca="1">IF($G653="","",INDEX(BASE_PRODUTOS!$D$2:$D$1006,$G653))</f>
        <v/>
      </c>
    </row>
    <row r="654" spans="7:20" ht="18" customHeight="1" x14ac:dyDescent="0.35">
      <c r="G654" t="str">
        <f ca="1">IFERROR(_xludf.aggregate(15,6,(ROW(BASE_PRODUTOS!$L$2:$L$1006)-ROW(BASE_PRODUTOS!$L$2)+1)/(BASE_PRODUTOS!$L$2:$L$1006&gt;0),ROWS($G$10:G654)),"")</f>
        <v/>
      </c>
      <c r="H654" s="9" t="str">
        <f ca="1">IF($G654="","",INDEX(BASE_PRODUTOS!$B$2:$B$1006,$G654))</f>
        <v/>
      </c>
      <c r="I654" s="9" t="str">
        <f ca="1">IF($G654="","",INDEX(BASE_PRODUTOS!$L$2:$L$1006,$G654))</f>
        <v/>
      </c>
      <c r="J654" s="9" t="str">
        <f ca="1">IF($G654="","",INDEX(BASE_PRODUTOS!$A$2:$A$1006,$G654))</f>
        <v/>
      </c>
      <c r="K654" s="9" t="str">
        <f ca="1">IF($G654="","",INDEX(BASE_PRODUTOS!$C$2:$C$1006,$G654))</f>
        <v/>
      </c>
      <c r="L654" s="9" t="str">
        <f ca="1">IF($G654="","",INDEX(BASE_PRODUTOS!$E$2:$E$1006,$G654))</f>
        <v/>
      </c>
      <c r="M654" s="9" t="str">
        <f ca="1">IF($G654="","",INDEX(BASE_PRODUTOS!$F$2:$F$1006,$G654))</f>
        <v/>
      </c>
      <c r="N654" s="9" t="str">
        <f ca="1">IF($G654="","",INDEX(BASE_PRODUTOS!$G$2:$G$1006,$G654))</f>
        <v/>
      </c>
      <c r="O654" s="9" t="str">
        <f ca="1">IF($G654="","",INDEX(BASE_PRODUTOS!$H$2:$H$1006,$G654))</f>
        <v/>
      </c>
      <c r="P654" s="9" t="str">
        <f ca="1">IF($G654="","",INDEX(BASE_PRODUTOS!$I$2:$I$1006,$G654))</f>
        <v/>
      </c>
      <c r="Q654" s="9" t="str">
        <f ca="1">IF($G654="","",INDEX(BASE_PRODUTOS!$J$2:$J$1006,$G654))</f>
        <v/>
      </c>
      <c r="R654" s="9" t="str">
        <f ca="1">IF($G654="","",INDEX(BASE_PRODUTOS!$M$2:$M$1006,$G654))</f>
        <v/>
      </c>
      <c r="S654" s="9" t="str">
        <f ca="1">IF($G654="","",INDEX(BASE_PRODUTOS!$N$2:$N$1006,$G654))</f>
        <v/>
      </c>
      <c r="T654" s="9" t="str">
        <f ca="1">IF($G654="","",INDEX(BASE_PRODUTOS!$D$2:$D$1006,$G654))</f>
        <v/>
      </c>
    </row>
    <row r="655" spans="7:20" ht="18" customHeight="1" x14ac:dyDescent="0.35">
      <c r="G655" t="str">
        <f ca="1">IFERROR(_xludf.aggregate(15,6,(ROW(BASE_PRODUTOS!$L$2:$L$1006)-ROW(BASE_PRODUTOS!$L$2)+1)/(BASE_PRODUTOS!$L$2:$L$1006&gt;0),ROWS($G$10:G655)),"")</f>
        <v/>
      </c>
      <c r="H655" s="9" t="str">
        <f ca="1">IF($G655="","",INDEX(BASE_PRODUTOS!$B$2:$B$1006,$G655))</f>
        <v/>
      </c>
      <c r="I655" s="9" t="str">
        <f ca="1">IF($G655="","",INDEX(BASE_PRODUTOS!$L$2:$L$1006,$G655))</f>
        <v/>
      </c>
      <c r="J655" s="9" t="str">
        <f ca="1">IF($G655="","",INDEX(BASE_PRODUTOS!$A$2:$A$1006,$G655))</f>
        <v/>
      </c>
      <c r="K655" s="9" t="str">
        <f ca="1">IF($G655="","",INDEX(BASE_PRODUTOS!$C$2:$C$1006,$G655))</f>
        <v/>
      </c>
      <c r="L655" s="9" t="str">
        <f ca="1">IF($G655="","",INDEX(BASE_PRODUTOS!$E$2:$E$1006,$G655))</f>
        <v/>
      </c>
      <c r="M655" s="9" t="str">
        <f ca="1">IF($G655="","",INDEX(BASE_PRODUTOS!$F$2:$F$1006,$G655))</f>
        <v/>
      </c>
      <c r="N655" s="9" t="str">
        <f ca="1">IF($G655="","",INDEX(BASE_PRODUTOS!$G$2:$G$1006,$G655))</f>
        <v/>
      </c>
      <c r="O655" s="9" t="str">
        <f ca="1">IF($G655="","",INDEX(BASE_PRODUTOS!$H$2:$H$1006,$G655))</f>
        <v/>
      </c>
      <c r="P655" s="9" t="str">
        <f ca="1">IF($G655="","",INDEX(BASE_PRODUTOS!$I$2:$I$1006,$G655))</f>
        <v/>
      </c>
      <c r="Q655" s="9" t="str">
        <f ca="1">IF($G655="","",INDEX(BASE_PRODUTOS!$J$2:$J$1006,$G655))</f>
        <v/>
      </c>
      <c r="R655" s="9" t="str">
        <f ca="1">IF($G655="","",INDEX(BASE_PRODUTOS!$M$2:$M$1006,$G655))</f>
        <v/>
      </c>
      <c r="S655" s="9" t="str">
        <f ca="1">IF($G655="","",INDEX(BASE_PRODUTOS!$N$2:$N$1006,$G655))</f>
        <v/>
      </c>
      <c r="T655" s="9" t="str">
        <f ca="1">IF($G655="","",INDEX(BASE_PRODUTOS!$D$2:$D$1006,$G655))</f>
        <v/>
      </c>
    </row>
    <row r="656" spans="7:20" ht="18" customHeight="1" x14ac:dyDescent="0.35">
      <c r="G656" t="str">
        <f ca="1">IFERROR(_xludf.aggregate(15,6,(ROW(BASE_PRODUTOS!$L$2:$L$1006)-ROW(BASE_PRODUTOS!$L$2)+1)/(BASE_PRODUTOS!$L$2:$L$1006&gt;0),ROWS($G$10:G656)),"")</f>
        <v/>
      </c>
      <c r="H656" s="9" t="str">
        <f ca="1">IF($G656="","",INDEX(BASE_PRODUTOS!$B$2:$B$1006,$G656))</f>
        <v/>
      </c>
      <c r="I656" s="9" t="str">
        <f ca="1">IF($G656="","",INDEX(BASE_PRODUTOS!$L$2:$L$1006,$G656))</f>
        <v/>
      </c>
      <c r="J656" s="9" t="str">
        <f ca="1">IF($G656="","",INDEX(BASE_PRODUTOS!$A$2:$A$1006,$G656))</f>
        <v/>
      </c>
      <c r="K656" s="9" t="str">
        <f ca="1">IF($G656="","",INDEX(BASE_PRODUTOS!$C$2:$C$1006,$G656))</f>
        <v/>
      </c>
      <c r="L656" s="9" t="str">
        <f ca="1">IF($G656="","",INDEX(BASE_PRODUTOS!$E$2:$E$1006,$G656))</f>
        <v/>
      </c>
      <c r="M656" s="9" t="str">
        <f ca="1">IF($G656="","",INDEX(BASE_PRODUTOS!$F$2:$F$1006,$G656))</f>
        <v/>
      </c>
      <c r="N656" s="9" t="str">
        <f ca="1">IF($G656="","",INDEX(BASE_PRODUTOS!$G$2:$G$1006,$G656))</f>
        <v/>
      </c>
      <c r="O656" s="9" t="str">
        <f ca="1">IF($G656="","",INDEX(BASE_PRODUTOS!$H$2:$H$1006,$G656))</f>
        <v/>
      </c>
      <c r="P656" s="9" t="str">
        <f ca="1">IF($G656="","",INDEX(BASE_PRODUTOS!$I$2:$I$1006,$G656))</f>
        <v/>
      </c>
      <c r="Q656" s="9" t="str">
        <f ca="1">IF($G656="","",INDEX(BASE_PRODUTOS!$J$2:$J$1006,$G656))</f>
        <v/>
      </c>
      <c r="R656" s="9" t="str">
        <f ca="1">IF($G656="","",INDEX(BASE_PRODUTOS!$M$2:$M$1006,$G656))</f>
        <v/>
      </c>
      <c r="S656" s="9" t="str">
        <f ca="1">IF($G656="","",INDEX(BASE_PRODUTOS!$N$2:$N$1006,$G656))</f>
        <v/>
      </c>
      <c r="T656" s="9" t="str">
        <f ca="1">IF($G656="","",INDEX(BASE_PRODUTOS!$D$2:$D$1006,$G656))</f>
        <v/>
      </c>
    </row>
    <row r="657" spans="7:20" ht="18" customHeight="1" x14ac:dyDescent="0.35">
      <c r="G657" t="str">
        <f ca="1">IFERROR(_xludf.aggregate(15,6,(ROW(BASE_PRODUTOS!$L$2:$L$1006)-ROW(BASE_PRODUTOS!$L$2)+1)/(BASE_PRODUTOS!$L$2:$L$1006&gt;0),ROWS($G$10:G657)),"")</f>
        <v/>
      </c>
      <c r="H657" s="9" t="str">
        <f ca="1">IF($G657="","",INDEX(BASE_PRODUTOS!$B$2:$B$1006,$G657))</f>
        <v/>
      </c>
      <c r="I657" s="9" t="str">
        <f ca="1">IF($G657="","",INDEX(BASE_PRODUTOS!$L$2:$L$1006,$G657))</f>
        <v/>
      </c>
      <c r="J657" s="9" t="str">
        <f ca="1">IF($G657="","",INDEX(BASE_PRODUTOS!$A$2:$A$1006,$G657))</f>
        <v/>
      </c>
      <c r="K657" s="9" t="str">
        <f ca="1">IF($G657="","",INDEX(BASE_PRODUTOS!$C$2:$C$1006,$G657))</f>
        <v/>
      </c>
      <c r="L657" s="9" t="str">
        <f ca="1">IF($G657="","",INDEX(BASE_PRODUTOS!$E$2:$E$1006,$G657))</f>
        <v/>
      </c>
      <c r="M657" s="9" t="str">
        <f ca="1">IF($G657="","",INDEX(BASE_PRODUTOS!$F$2:$F$1006,$G657))</f>
        <v/>
      </c>
      <c r="N657" s="9" t="str">
        <f ca="1">IF($G657="","",INDEX(BASE_PRODUTOS!$G$2:$G$1006,$G657))</f>
        <v/>
      </c>
      <c r="O657" s="9" t="str">
        <f ca="1">IF($G657="","",INDEX(BASE_PRODUTOS!$H$2:$H$1006,$G657))</f>
        <v/>
      </c>
      <c r="P657" s="9" t="str">
        <f ca="1">IF($G657="","",INDEX(BASE_PRODUTOS!$I$2:$I$1006,$G657))</f>
        <v/>
      </c>
      <c r="Q657" s="9" t="str">
        <f ca="1">IF($G657="","",INDEX(BASE_PRODUTOS!$J$2:$J$1006,$G657))</f>
        <v/>
      </c>
      <c r="R657" s="9" t="str">
        <f ca="1">IF($G657="","",INDEX(BASE_PRODUTOS!$M$2:$M$1006,$G657))</f>
        <v/>
      </c>
      <c r="S657" s="9" t="str">
        <f ca="1">IF($G657="","",INDEX(BASE_PRODUTOS!$N$2:$N$1006,$G657))</f>
        <v/>
      </c>
      <c r="T657" s="9" t="str">
        <f ca="1">IF($G657="","",INDEX(BASE_PRODUTOS!$D$2:$D$1006,$G657))</f>
        <v/>
      </c>
    </row>
    <row r="658" spans="7:20" ht="18" customHeight="1" x14ac:dyDescent="0.35">
      <c r="G658" t="str">
        <f ca="1">IFERROR(_xludf.aggregate(15,6,(ROW(BASE_PRODUTOS!$L$2:$L$1006)-ROW(BASE_PRODUTOS!$L$2)+1)/(BASE_PRODUTOS!$L$2:$L$1006&gt;0),ROWS($G$10:G658)),"")</f>
        <v/>
      </c>
      <c r="H658" s="9" t="str">
        <f ca="1">IF($G658="","",INDEX(BASE_PRODUTOS!$B$2:$B$1006,$G658))</f>
        <v/>
      </c>
      <c r="I658" s="9" t="str">
        <f ca="1">IF($G658="","",INDEX(BASE_PRODUTOS!$L$2:$L$1006,$G658))</f>
        <v/>
      </c>
      <c r="J658" s="9" t="str">
        <f ca="1">IF($G658="","",INDEX(BASE_PRODUTOS!$A$2:$A$1006,$G658))</f>
        <v/>
      </c>
      <c r="K658" s="9" t="str">
        <f ca="1">IF($G658="","",INDEX(BASE_PRODUTOS!$C$2:$C$1006,$G658))</f>
        <v/>
      </c>
      <c r="L658" s="9" t="str">
        <f ca="1">IF($G658="","",INDEX(BASE_PRODUTOS!$E$2:$E$1006,$G658))</f>
        <v/>
      </c>
      <c r="M658" s="9" t="str">
        <f ca="1">IF($G658="","",INDEX(BASE_PRODUTOS!$F$2:$F$1006,$G658))</f>
        <v/>
      </c>
      <c r="N658" s="9" t="str">
        <f ca="1">IF($G658="","",INDEX(BASE_PRODUTOS!$G$2:$G$1006,$G658))</f>
        <v/>
      </c>
      <c r="O658" s="9" t="str">
        <f ca="1">IF($G658="","",INDEX(BASE_PRODUTOS!$H$2:$H$1006,$G658))</f>
        <v/>
      </c>
      <c r="P658" s="9" t="str">
        <f ca="1">IF($G658="","",INDEX(BASE_PRODUTOS!$I$2:$I$1006,$G658))</f>
        <v/>
      </c>
      <c r="Q658" s="9" t="str">
        <f ca="1">IF($G658="","",INDEX(BASE_PRODUTOS!$J$2:$J$1006,$G658))</f>
        <v/>
      </c>
      <c r="R658" s="9" t="str">
        <f ca="1">IF($G658="","",INDEX(BASE_PRODUTOS!$M$2:$M$1006,$G658))</f>
        <v/>
      </c>
      <c r="S658" s="9" t="str">
        <f ca="1">IF($G658="","",INDEX(BASE_PRODUTOS!$N$2:$N$1006,$G658))</f>
        <v/>
      </c>
      <c r="T658" s="9" t="str">
        <f ca="1">IF($G658="","",INDEX(BASE_PRODUTOS!$D$2:$D$1006,$G658))</f>
        <v/>
      </c>
    </row>
    <row r="659" spans="7:20" ht="18" customHeight="1" x14ac:dyDescent="0.35">
      <c r="G659" t="str">
        <f ca="1">IFERROR(_xludf.aggregate(15,6,(ROW(BASE_PRODUTOS!$L$2:$L$1006)-ROW(BASE_PRODUTOS!$L$2)+1)/(BASE_PRODUTOS!$L$2:$L$1006&gt;0),ROWS($G$10:G659)),"")</f>
        <v/>
      </c>
      <c r="H659" s="9" t="str">
        <f ca="1">IF($G659="","",INDEX(BASE_PRODUTOS!$B$2:$B$1006,$G659))</f>
        <v/>
      </c>
      <c r="I659" s="9" t="str">
        <f ca="1">IF($G659="","",INDEX(BASE_PRODUTOS!$L$2:$L$1006,$G659))</f>
        <v/>
      </c>
      <c r="J659" s="9" t="str">
        <f ca="1">IF($G659="","",INDEX(BASE_PRODUTOS!$A$2:$A$1006,$G659))</f>
        <v/>
      </c>
      <c r="K659" s="9" t="str">
        <f ca="1">IF($G659="","",INDEX(BASE_PRODUTOS!$C$2:$C$1006,$G659))</f>
        <v/>
      </c>
      <c r="L659" s="9" t="str">
        <f ca="1">IF($G659="","",INDEX(BASE_PRODUTOS!$E$2:$E$1006,$G659))</f>
        <v/>
      </c>
      <c r="M659" s="9" t="str">
        <f ca="1">IF($G659="","",INDEX(BASE_PRODUTOS!$F$2:$F$1006,$G659))</f>
        <v/>
      </c>
      <c r="N659" s="9" t="str">
        <f ca="1">IF($G659="","",INDEX(BASE_PRODUTOS!$G$2:$G$1006,$G659))</f>
        <v/>
      </c>
      <c r="O659" s="9" t="str">
        <f ca="1">IF($G659="","",INDEX(BASE_PRODUTOS!$H$2:$H$1006,$G659))</f>
        <v/>
      </c>
      <c r="P659" s="9" t="str">
        <f ca="1">IF($G659="","",INDEX(BASE_PRODUTOS!$I$2:$I$1006,$G659))</f>
        <v/>
      </c>
      <c r="Q659" s="9" t="str">
        <f ca="1">IF($G659="","",INDEX(BASE_PRODUTOS!$J$2:$J$1006,$G659))</f>
        <v/>
      </c>
      <c r="R659" s="9" t="str">
        <f ca="1">IF($G659="","",INDEX(BASE_PRODUTOS!$M$2:$M$1006,$G659))</f>
        <v/>
      </c>
      <c r="S659" s="9" t="str">
        <f ca="1">IF($G659="","",INDEX(BASE_PRODUTOS!$N$2:$N$1006,$G659))</f>
        <v/>
      </c>
      <c r="T659" s="9" t="str">
        <f ca="1">IF($G659="","",INDEX(BASE_PRODUTOS!$D$2:$D$1006,$G659))</f>
        <v/>
      </c>
    </row>
    <row r="660" spans="7:20" ht="18" customHeight="1" x14ac:dyDescent="0.35">
      <c r="G660" t="str">
        <f ca="1">IFERROR(_xludf.aggregate(15,6,(ROW(BASE_PRODUTOS!$L$2:$L$1006)-ROW(BASE_PRODUTOS!$L$2)+1)/(BASE_PRODUTOS!$L$2:$L$1006&gt;0),ROWS($G$10:G660)),"")</f>
        <v/>
      </c>
      <c r="H660" s="9" t="str">
        <f ca="1">IF($G660="","",INDEX(BASE_PRODUTOS!$B$2:$B$1006,$G660))</f>
        <v/>
      </c>
      <c r="I660" s="9" t="str">
        <f ca="1">IF($G660="","",INDEX(BASE_PRODUTOS!$L$2:$L$1006,$G660))</f>
        <v/>
      </c>
      <c r="J660" s="9" t="str">
        <f ca="1">IF($G660="","",INDEX(BASE_PRODUTOS!$A$2:$A$1006,$G660))</f>
        <v/>
      </c>
      <c r="K660" s="9" t="str">
        <f ca="1">IF($G660="","",INDEX(BASE_PRODUTOS!$C$2:$C$1006,$G660))</f>
        <v/>
      </c>
      <c r="L660" s="9" t="str">
        <f ca="1">IF($G660="","",INDEX(BASE_PRODUTOS!$E$2:$E$1006,$G660))</f>
        <v/>
      </c>
      <c r="M660" s="9" t="str">
        <f ca="1">IF($G660="","",INDEX(BASE_PRODUTOS!$F$2:$F$1006,$G660))</f>
        <v/>
      </c>
      <c r="N660" s="9" t="str">
        <f ca="1">IF($G660="","",INDEX(BASE_PRODUTOS!$G$2:$G$1006,$G660))</f>
        <v/>
      </c>
      <c r="O660" s="9" t="str">
        <f ca="1">IF($G660="","",INDEX(BASE_PRODUTOS!$H$2:$H$1006,$G660))</f>
        <v/>
      </c>
      <c r="P660" s="9" t="str">
        <f ca="1">IF($G660="","",INDEX(BASE_PRODUTOS!$I$2:$I$1006,$G660))</f>
        <v/>
      </c>
      <c r="Q660" s="9" t="str">
        <f ca="1">IF($G660="","",INDEX(BASE_PRODUTOS!$J$2:$J$1006,$G660))</f>
        <v/>
      </c>
      <c r="R660" s="9" t="str">
        <f ca="1">IF($G660="","",INDEX(BASE_PRODUTOS!$M$2:$M$1006,$G660))</f>
        <v/>
      </c>
      <c r="S660" s="9" t="str">
        <f ca="1">IF($G660="","",INDEX(BASE_PRODUTOS!$N$2:$N$1006,$G660))</f>
        <v/>
      </c>
      <c r="T660" s="9" t="str">
        <f ca="1">IF($G660="","",INDEX(BASE_PRODUTOS!$D$2:$D$1006,$G660))</f>
        <v/>
      </c>
    </row>
    <row r="661" spans="7:20" ht="18" customHeight="1" x14ac:dyDescent="0.35">
      <c r="G661" t="str">
        <f ca="1">IFERROR(_xludf.aggregate(15,6,(ROW(BASE_PRODUTOS!$L$2:$L$1006)-ROW(BASE_PRODUTOS!$L$2)+1)/(BASE_PRODUTOS!$L$2:$L$1006&gt;0),ROWS($G$10:G661)),"")</f>
        <v/>
      </c>
      <c r="H661" s="9" t="str">
        <f ca="1">IF($G661="","",INDEX(BASE_PRODUTOS!$B$2:$B$1006,$G661))</f>
        <v/>
      </c>
      <c r="I661" s="9" t="str">
        <f ca="1">IF($G661="","",INDEX(BASE_PRODUTOS!$L$2:$L$1006,$G661))</f>
        <v/>
      </c>
      <c r="J661" s="9" t="str">
        <f ca="1">IF($G661="","",INDEX(BASE_PRODUTOS!$A$2:$A$1006,$G661))</f>
        <v/>
      </c>
      <c r="K661" s="9" t="str">
        <f ca="1">IF($G661="","",INDEX(BASE_PRODUTOS!$C$2:$C$1006,$G661))</f>
        <v/>
      </c>
      <c r="L661" s="9" t="str">
        <f ca="1">IF($G661="","",INDEX(BASE_PRODUTOS!$E$2:$E$1006,$G661))</f>
        <v/>
      </c>
      <c r="M661" s="9" t="str">
        <f ca="1">IF($G661="","",INDEX(BASE_PRODUTOS!$F$2:$F$1006,$G661))</f>
        <v/>
      </c>
      <c r="N661" s="9" t="str">
        <f ca="1">IF($G661="","",INDEX(BASE_PRODUTOS!$G$2:$G$1006,$G661))</f>
        <v/>
      </c>
      <c r="O661" s="9" t="str">
        <f ca="1">IF($G661="","",INDEX(BASE_PRODUTOS!$H$2:$H$1006,$G661))</f>
        <v/>
      </c>
      <c r="P661" s="9" t="str">
        <f ca="1">IF($G661="","",INDEX(BASE_PRODUTOS!$I$2:$I$1006,$G661))</f>
        <v/>
      </c>
      <c r="Q661" s="9" t="str">
        <f ca="1">IF($G661="","",INDEX(BASE_PRODUTOS!$J$2:$J$1006,$G661))</f>
        <v/>
      </c>
      <c r="R661" s="9" t="str">
        <f ca="1">IF($G661="","",INDEX(BASE_PRODUTOS!$M$2:$M$1006,$G661))</f>
        <v/>
      </c>
      <c r="S661" s="9" t="str">
        <f ca="1">IF($G661="","",INDEX(BASE_PRODUTOS!$N$2:$N$1006,$G661))</f>
        <v/>
      </c>
      <c r="T661" s="9" t="str">
        <f ca="1">IF($G661="","",INDEX(BASE_PRODUTOS!$D$2:$D$1006,$G661))</f>
        <v/>
      </c>
    </row>
    <row r="662" spans="7:20" ht="18" customHeight="1" x14ac:dyDescent="0.35">
      <c r="G662" t="str">
        <f ca="1">IFERROR(_xludf.aggregate(15,6,(ROW(BASE_PRODUTOS!$L$2:$L$1006)-ROW(BASE_PRODUTOS!$L$2)+1)/(BASE_PRODUTOS!$L$2:$L$1006&gt;0),ROWS($G$10:G662)),"")</f>
        <v/>
      </c>
      <c r="H662" s="9" t="str">
        <f ca="1">IF($G662="","",INDEX(BASE_PRODUTOS!$B$2:$B$1006,$G662))</f>
        <v/>
      </c>
      <c r="I662" s="9" t="str">
        <f ca="1">IF($G662="","",INDEX(BASE_PRODUTOS!$L$2:$L$1006,$G662))</f>
        <v/>
      </c>
      <c r="J662" s="9" t="str">
        <f ca="1">IF($G662="","",INDEX(BASE_PRODUTOS!$A$2:$A$1006,$G662))</f>
        <v/>
      </c>
      <c r="K662" s="9" t="str">
        <f ca="1">IF($G662="","",INDEX(BASE_PRODUTOS!$C$2:$C$1006,$G662))</f>
        <v/>
      </c>
      <c r="L662" s="9" t="str">
        <f ca="1">IF($G662="","",INDEX(BASE_PRODUTOS!$E$2:$E$1006,$G662))</f>
        <v/>
      </c>
      <c r="M662" s="9" t="str">
        <f ca="1">IF($G662="","",INDEX(BASE_PRODUTOS!$F$2:$F$1006,$G662))</f>
        <v/>
      </c>
      <c r="N662" s="9" t="str">
        <f ca="1">IF($G662="","",INDEX(BASE_PRODUTOS!$G$2:$G$1006,$G662))</f>
        <v/>
      </c>
      <c r="O662" s="9" t="str">
        <f ca="1">IF($G662="","",INDEX(BASE_PRODUTOS!$H$2:$H$1006,$G662))</f>
        <v/>
      </c>
      <c r="P662" s="9" t="str">
        <f ca="1">IF($G662="","",INDEX(BASE_PRODUTOS!$I$2:$I$1006,$G662))</f>
        <v/>
      </c>
      <c r="Q662" s="9" t="str">
        <f ca="1">IF($G662="","",INDEX(BASE_PRODUTOS!$J$2:$J$1006,$G662))</f>
        <v/>
      </c>
      <c r="R662" s="9" t="str">
        <f ca="1">IF($G662="","",INDEX(BASE_PRODUTOS!$M$2:$M$1006,$G662))</f>
        <v/>
      </c>
      <c r="S662" s="9" t="str">
        <f ca="1">IF($G662="","",INDEX(BASE_PRODUTOS!$N$2:$N$1006,$G662))</f>
        <v/>
      </c>
      <c r="T662" s="9" t="str">
        <f ca="1">IF($G662="","",INDEX(BASE_PRODUTOS!$D$2:$D$1006,$G662))</f>
        <v/>
      </c>
    </row>
    <row r="663" spans="7:20" ht="18" customHeight="1" x14ac:dyDescent="0.35">
      <c r="G663" t="str">
        <f ca="1">IFERROR(_xludf.aggregate(15,6,(ROW(BASE_PRODUTOS!$L$2:$L$1006)-ROW(BASE_PRODUTOS!$L$2)+1)/(BASE_PRODUTOS!$L$2:$L$1006&gt;0),ROWS($G$10:G663)),"")</f>
        <v/>
      </c>
      <c r="H663" s="9" t="str">
        <f ca="1">IF($G663="","",INDEX(BASE_PRODUTOS!$B$2:$B$1006,$G663))</f>
        <v/>
      </c>
      <c r="I663" s="9" t="str">
        <f ca="1">IF($G663="","",INDEX(BASE_PRODUTOS!$L$2:$L$1006,$G663))</f>
        <v/>
      </c>
      <c r="J663" s="9" t="str">
        <f ca="1">IF($G663="","",INDEX(BASE_PRODUTOS!$A$2:$A$1006,$G663))</f>
        <v/>
      </c>
      <c r="K663" s="9" t="str">
        <f ca="1">IF($G663="","",INDEX(BASE_PRODUTOS!$C$2:$C$1006,$G663))</f>
        <v/>
      </c>
      <c r="L663" s="9" t="str">
        <f ca="1">IF($G663="","",INDEX(BASE_PRODUTOS!$E$2:$E$1006,$G663))</f>
        <v/>
      </c>
      <c r="M663" s="9" t="str">
        <f ca="1">IF($G663="","",INDEX(BASE_PRODUTOS!$F$2:$F$1006,$G663))</f>
        <v/>
      </c>
      <c r="N663" s="9" t="str">
        <f ca="1">IF($G663="","",INDEX(BASE_PRODUTOS!$G$2:$G$1006,$G663))</f>
        <v/>
      </c>
      <c r="O663" s="9" t="str">
        <f ca="1">IF($G663="","",INDEX(BASE_PRODUTOS!$H$2:$H$1006,$G663))</f>
        <v/>
      </c>
      <c r="P663" s="9" t="str">
        <f ca="1">IF($G663="","",INDEX(BASE_PRODUTOS!$I$2:$I$1006,$G663))</f>
        <v/>
      </c>
      <c r="Q663" s="9" t="str">
        <f ca="1">IF($G663="","",INDEX(BASE_PRODUTOS!$J$2:$J$1006,$G663))</f>
        <v/>
      </c>
      <c r="R663" s="9" t="str">
        <f ca="1">IF($G663="","",INDEX(BASE_PRODUTOS!$M$2:$M$1006,$G663))</f>
        <v/>
      </c>
      <c r="S663" s="9" t="str">
        <f ca="1">IF($G663="","",INDEX(BASE_PRODUTOS!$N$2:$N$1006,$G663))</f>
        <v/>
      </c>
      <c r="T663" s="9" t="str">
        <f ca="1">IF($G663="","",INDEX(BASE_PRODUTOS!$D$2:$D$1006,$G663))</f>
        <v/>
      </c>
    </row>
    <row r="664" spans="7:20" ht="18" customHeight="1" x14ac:dyDescent="0.35">
      <c r="G664" t="str">
        <f ca="1">IFERROR(_xludf.aggregate(15,6,(ROW(BASE_PRODUTOS!$L$2:$L$1006)-ROW(BASE_PRODUTOS!$L$2)+1)/(BASE_PRODUTOS!$L$2:$L$1006&gt;0),ROWS($G$10:G664)),"")</f>
        <v/>
      </c>
      <c r="H664" s="9" t="str">
        <f ca="1">IF($G664="","",INDEX(BASE_PRODUTOS!$B$2:$B$1006,$G664))</f>
        <v/>
      </c>
      <c r="I664" s="9" t="str">
        <f ca="1">IF($G664="","",INDEX(BASE_PRODUTOS!$L$2:$L$1006,$G664))</f>
        <v/>
      </c>
      <c r="J664" s="9" t="str">
        <f ca="1">IF($G664="","",INDEX(BASE_PRODUTOS!$A$2:$A$1006,$G664))</f>
        <v/>
      </c>
      <c r="K664" s="9" t="str">
        <f ca="1">IF($G664="","",INDEX(BASE_PRODUTOS!$C$2:$C$1006,$G664))</f>
        <v/>
      </c>
      <c r="L664" s="9" t="str">
        <f ca="1">IF($G664="","",INDEX(BASE_PRODUTOS!$E$2:$E$1006,$G664))</f>
        <v/>
      </c>
      <c r="M664" s="9" t="str">
        <f ca="1">IF($G664="","",INDEX(BASE_PRODUTOS!$F$2:$F$1006,$G664))</f>
        <v/>
      </c>
      <c r="N664" s="9" t="str">
        <f ca="1">IF($G664="","",INDEX(BASE_PRODUTOS!$G$2:$G$1006,$G664))</f>
        <v/>
      </c>
      <c r="O664" s="9" t="str">
        <f ca="1">IF($G664="","",INDEX(BASE_PRODUTOS!$H$2:$H$1006,$G664))</f>
        <v/>
      </c>
      <c r="P664" s="9" t="str">
        <f ca="1">IF($G664="","",INDEX(BASE_PRODUTOS!$I$2:$I$1006,$G664))</f>
        <v/>
      </c>
      <c r="Q664" s="9" t="str">
        <f ca="1">IF($G664="","",INDEX(BASE_PRODUTOS!$J$2:$J$1006,$G664))</f>
        <v/>
      </c>
      <c r="R664" s="9" t="str">
        <f ca="1">IF($G664="","",INDEX(BASE_PRODUTOS!$M$2:$M$1006,$G664))</f>
        <v/>
      </c>
      <c r="S664" s="9" t="str">
        <f ca="1">IF($G664="","",INDEX(BASE_PRODUTOS!$N$2:$N$1006,$G664))</f>
        <v/>
      </c>
      <c r="T664" s="9" t="str">
        <f ca="1">IF($G664="","",INDEX(BASE_PRODUTOS!$D$2:$D$1006,$G664))</f>
        <v/>
      </c>
    </row>
    <row r="665" spans="7:20" ht="18" customHeight="1" x14ac:dyDescent="0.35">
      <c r="G665" t="str">
        <f ca="1">IFERROR(_xludf.aggregate(15,6,(ROW(BASE_PRODUTOS!$L$2:$L$1006)-ROW(BASE_PRODUTOS!$L$2)+1)/(BASE_PRODUTOS!$L$2:$L$1006&gt;0),ROWS($G$10:G665)),"")</f>
        <v/>
      </c>
      <c r="H665" s="9" t="str">
        <f ca="1">IF($G665="","",INDEX(BASE_PRODUTOS!$B$2:$B$1006,$G665))</f>
        <v/>
      </c>
      <c r="I665" s="9" t="str">
        <f ca="1">IF($G665="","",INDEX(BASE_PRODUTOS!$L$2:$L$1006,$G665))</f>
        <v/>
      </c>
      <c r="J665" s="9" t="str">
        <f ca="1">IF($G665="","",INDEX(BASE_PRODUTOS!$A$2:$A$1006,$G665))</f>
        <v/>
      </c>
      <c r="K665" s="9" t="str">
        <f ca="1">IF($G665="","",INDEX(BASE_PRODUTOS!$C$2:$C$1006,$G665))</f>
        <v/>
      </c>
      <c r="L665" s="9" t="str">
        <f ca="1">IF($G665="","",INDEX(BASE_PRODUTOS!$E$2:$E$1006,$G665))</f>
        <v/>
      </c>
      <c r="M665" s="9" t="str">
        <f ca="1">IF($G665="","",INDEX(BASE_PRODUTOS!$F$2:$F$1006,$G665))</f>
        <v/>
      </c>
      <c r="N665" s="9" t="str">
        <f ca="1">IF($G665="","",INDEX(BASE_PRODUTOS!$G$2:$G$1006,$G665))</f>
        <v/>
      </c>
      <c r="O665" s="9" t="str">
        <f ca="1">IF($G665="","",INDEX(BASE_PRODUTOS!$H$2:$H$1006,$G665))</f>
        <v/>
      </c>
      <c r="P665" s="9" t="str">
        <f ca="1">IF($G665="","",INDEX(BASE_PRODUTOS!$I$2:$I$1006,$G665))</f>
        <v/>
      </c>
      <c r="Q665" s="9" t="str">
        <f ca="1">IF($G665="","",INDEX(BASE_PRODUTOS!$J$2:$J$1006,$G665))</f>
        <v/>
      </c>
      <c r="R665" s="9" t="str">
        <f ca="1">IF($G665="","",INDEX(BASE_PRODUTOS!$M$2:$M$1006,$G665))</f>
        <v/>
      </c>
      <c r="S665" s="9" t="str">
        <f ca="1">IF($G665="","",INDEX(BASE_PRODUTOS!$N$2:$N$1006,$G665))</f>
        <v/>
      </c>
      <c r="T665" s="9" t="str">
        <f ca="1">IF($G665="","",INDEX(BASE_PRODUTOS!$D$2:$D$1006,$G665))</f>
        <v/>
      </c>
    </row>
    <row r="666" spans="7:20" ht="18" customHeight="1" x14ac:dyDescent="0.35">
      <c r="G666" t="str">
        <f ca="1">IFERROR(_xludf.aggregate(15,6,(ROW(BASE_PRODUTOS!$L$2:$L$1006)-ROW(BASE_PRODUTOS!$L$2)+1)/(BASE_PRODUTOS!$L$2:$L$1006&gt;0),ROWS($G$10:G666)),"")</f>
        <v/>
      </c>
      <c r="H666" s="9" t="str">
        <f ca="1">IF($G666="","",INDEX(BASE_PRODUTOS!$B$2:$B$1006,$G666))</f>
        <v/>
      </c>
      <c r="I666" s="9" t="str">
        <f ca="1">IF($G666="","",INDEX(BASE_PRODUTOS!$L$2:$L$1006,$G666))</f>
        <v/>
      </c>
      <c r="J666" s="9" t="str">
        <f ca="1">IF($G666="","",INDEX(BASE_PRODUTOS!$A$2:$A$1006,$G666))</f>
        <v/>
      </c>
      <c r="K666" s="9" t="str">
        <f ca="1">IF($G666="","",INDEX(BASE_PRODUTOS!$C$2:$C$1006,$G666))</f>
        <v/>
      </c>
      <c r="L666" s="9" t="str">
        <f ca="1">IF($G666="","",INDEX(BASE_PRODUTOS!$E$2:$E$1006,$G666))</f>
        <v/>
      </c>
      <c r="M666" s="9" t="str">
        <f ca="1">IF($G666="","",INDEX(BASE_PRODUTOS!$F$2:$F$1006,$G666))</f>
        <v/>
      </c>
      <c r="N666" s="9" t="str">
        <f ca="1">IF($G666="","",INDEX(BASE_PRODUTOS!$G$2:$G$1006,$G666))</f>
        <v/>
      </c>
      <c r="O666" s="9" t="str">
        <f ca="1">IF($G666="","",INDEX(BASE_PRODUTOS!$H$2:$H$1006,$G666))</f>
        <v/>
      </c>
      <c r="P666" s="9" t="str">
        <f ca="1">IF($G666="","",INDEX(BASE_PRODUTOS!$I$2:$I$1006,$G666))</f>
        <v/>
      </c>
      <c r="Q666" s="9" t="str">
        <f ca="1">IF($G666="","",INDEX(BASE_PRODUTOS!$J$2:$J$1006,$G666))</f>
        <v/>
      </c>
      <c r="R666" s="9" t="str">
        <f ca="1">IF($G666="","",INDEX(BASE_PRODUTOS!$M$2:$M$1006,$G666))</f>
        <v/>
      </c>
      <c r="S666" s="9" t="str">
        <f ca="1">IF($G666="","",INDEX(BASE_PRODUTOS!$N$2:$N$1006,$G666))</f>
        <v/>
      </c>
      <c r="T666" s="9" t="str">
        <f ca="1">IF($G666="","",INDEX(BASE_PRODUTOS!$D$2:$D$1006,$G666))</f>
        <v/>
      </c>
    </row>
    <row r="667" spans="7:20" ht="18" customHeight="1" x14ac:dyDescent="0.35">
      <c r="G667" t="str">
        <f ca="1">IFERROR(_xludf.aggregate(15,6,(ROW(BASE_PRODUTOS!$L$2:$L$1006)-ROW(BASE_PRODUTOS!$L$2)+1)/(BASE_PRODUTOS!$L$2:$L$1006&gt;0),ROWS($G$10:G667)),"")</f>
        <v/>
      </c>
      <c r="H667" s="9" t="str">
        <f ca="1">IF($G667="","",INDEX(BASE_PRODUTOS!$B$2:$B$1006,$G667))</f>
        <v/>
      </c>
      <c r="I667" s="9" t="str">
        <f ca="1">IF($G667="","",INDEX(BASE_PRODUTOS!$L$2:$L$1006,$G667))</f>
        <v/>
      </c>
      <c r="J667" s="9" t="str">
        <f ca="1">IF($G667="","",INDEX(BASE_PRODUTOS!$A$2:$A$1006,$G667))</f>
        <v/>
      </c>
      <c r="K667" s="9" t="str">
        <f ca="1">IF($G667="","",INDEX(BASE_PRODUTOS!$C$2:$C$1006,$G667))</f>
        <v/>
      </c>
      <c r="L667" s="9" t="str">
        <f ca="1">IF($G667="","",INDEX(BASE_PRODUTOS!$E$2:$E$1006,$G667))</f>
        <v/>
      </c>
      <c r="M667" s="9" t="str">
        <f ca="1">IF($G667="","",INDEX(BASE_PRODUTOS!$F$2:$F$1006,$G667))</f>
        <v/>
      </c>
      <c r="N667" s="9" t="str">
        <f ca="1">IF($G667="","",INDEX(BASE_PRODUTOS!$G$2:$G$1006,$G667))</f>
        <v/>
      </c>
      <c r="O667" s="9" t="str">
        <f ca="1">IF($G667="","",INDEX(BASE_PRODUTOS!$H$2:$H$1006,$G667))</f>
        <v/>
      </c>
      <c r="P667" s="9" t="str">
        <f ca="1">IF($G667="","",INDEX(BASE_PRODUTOS!$I$2:$I$1006,$G667))</f>
        <v/>
      </c>
      <c r="Q667" s="9" t="str">
        <f ca="1">IF($G667="","",INDEX(BASE_PRODUTOS!$J$2:$J$1006,$G667))</f>
        <v/>
      </c>
      <c r="R667" s="9" t="str">
        <f ca="1">IF($G667="","",INDEX(BASE_PRODUTOS!$M$2:$M$1006,$G667))</f>
        <v/>
      </c>
      <c r="S667" s="9" t="str">
        <f ca="1">IF($G667="","",INDEX(BASE_PRODUTOS!$N$2:$N$1006,$G667))</f>
        <v/>
      </c>
      <c r="T667" s="9" t="str">
        <f ca="1">IF($G667="","",INDEX(BASE_PRODUTOS!$D$2:$D$1006,$G667))</f>
        <v/>
      </c>
    </row>
    <row r="668" spans="7:20" ht="18" customHeight="1" x14ac:dyDescent="0.35">
      <c r="G668" t="str">
        <f ca="1">IFERROR(_xludf.aggregate(15,6,(ROW(BASE_PRODUTOS!$L$2:$L$1006)-ROW(BASE_PRODUTOS!$L$2)+1)/(BASE_PRODUTOS!$L$2:$L$1006&gt;0),ROWS($G$10:G668)),"")</f>
        <v/>
      </c>
      <c r="H668" s="9" t="str">
        <f ca="1">IF($G668="","",INDEX(BASE_PRODUTOS!$B$2:$B$1006,$G668))</f>
        <v/>
      </c>
      <c r="I668" s="9" t="str">
        <f ca="1">IF($G668="","",INDEX(BASE_PRODUTOS!$L$2:$L$1006,$G668))</f>
        <v/>
      </c>
      <c r="J668" s="9" t="str">
        <f ca="1">IF($G668="","",INDEX(BASE_PRODUTOS!$A$2:$A$1006,$G668))</f>
        <v/>
      </c>
      <c r="K668" s="9" t="str">
        <f ca="1">IF($G668="","",INDEX(BASE_PRODUTOS!$C$2:$C$1006,$G668))</f>
        <v/>
      </c>
      <c r="L668" s="9" t="str">
        <f ca="1">IF($G668="","",INDEX(BASE_PRODUTOS!$E$2:$E$1006,$G668))</f>
        <v/>
      </c>
      <c r="M668" s="9" t="str">
        <f ca="1">IF($G668="","",INDEX(BASE_PRODUTOS!$F$2:$F$1006,$G668))</f>
        <v/>
      </c>
      <c r="N668" s="9" t="str">
        <f ca="1">IF($G668="","",INDEX(BASE_PRODUTOS!$G$2:$G$1006,$G668))</f>
        <v/>
      </c>
      <c r="O668" s="9" t="str">
        <f ca="1">IF($G668="","",INDEX(BASE_PRODUTOS!$H$2:$H$1006,$G668))</f>
        <v/>
      </c>
      <c r="P668" s="9" t="str">
        <f ca="1">IF($G668="","",INDEX(BASE_PRODUTOS!$I$2:$I$1006,$G668))</f>
        <v/>
      </c>
      <c r="Q668" s="9" t="str">
        <f ca="1">IF($G668="","",INDEX(BASE_PRODUTOS!$J$2:$J$1006,$G668))</f>
        <v/>
      </c>
      <c r="R668" s="9" t="str">
        <f ca="1">IF($G668="","",INDEX(BASE_PRODUTOS!$M$2:$M$1006,$G668))</f>
        <v/>
      </c>
      <c r="S668" s="9" t="str">
        <f ca="1">IF($G668="","",INDEX(BASE_PRODUTOS!$N$2:$N$1006,$G668))</f>
        <v/>
      </c>
      <c r="T668" s="9" t="str">
        <f ca="1">IF($G668="","",INDEX(BASE_PRODUTOS!$D$2:$D$1006,$G668))</f>
        <v/>
      </c>
    </row>
    <row r="669" spans="7:20" ht="18" customHeight="1" x14ac:dyDescent="0.35">
      <c r="G669" t="str">
        <f ca="1">IFERROR(_xludf.aggregate(15,6,(ROW(BASE_PRODUTOS!$L$2:$L$1006)-ROW(BASE_PRODUTOS!$L$2)+1)/(BASE_PRODUTOS!$L$2:$L$1006&gt;0),ROWS($G$10:G669)),"")</f>
        <v/>
      </c>
      <c r="H669" s="9" t="str">
        <f ca="1">IF($G669="","",INDEX(BASE_PRODUTOS!$B$2:$B$1006,$G669))</f>
        <v/>
      </c>
      <c r="I669" s="9" t="str">
        <f ca="1">IF($G669="","",INDEX(BASE_PRODUTOS!$L$2:$L$1006,$G669))</f>
        <v/>
      </c>
      <c r="J669" s="9" t="str">
        <f ca="1">IF($G669="","",INDEX(BASE_PRODUTOS!$A$2:$A$1006,$G669))</f>
        <v/>
      </c>
      <c r="K669" s="9" t="str">
        <f ca="1">IF($G669="","",INDEX(BASE_PRODUTOS!$C$2:$C$1006,$G669))</f>
        <v/>
      </c>
      <c r="L669" s="9" t="str">
        <f ca="1">IF($G669="","",INDEX(BASE_PRODUTOS!$E$2:$E$1006,$G669))</f>
        <v/>
      </c>
      <c r="M669" s="9" t="str">
        <f ca="1">IF($G669="","",INDEX(BASE_PRODUTOS!$F$2:$F$1006,$G669))</f>
        <v/>
      </c>
      <c r="N669" s="9" t="str">
        <f ca="1">IF($G669="","",INDEX(BASE_PRODUTOS!$G$2:$G$1006,$G669))</f>
        <v/>
      </c>
      <c r="O669" s="9" t="str">
        <f ca="1">IF($G669="","",INDEX(BASE_PRODUTOS!$H$2:$H$1006,$G669))</f>
        <v/>
      </c>
      <c r="P669" s="9" t="str">
        <f ca="1">IF($G669="","",INDEX(BASE_PRODUTOS!$I$2:$I$1006,$G669))</f>
        <v/>
      </c>
      <c r="Q669" s="9" t="str">
        <f ca="1">IF($G669="","",INDEX(BASE_PRODUTOS!$J$2:$J$1006,$G669))</f>
        <v/>
      </c>
      <c r="R669" s="9" t="str">
        <f ca="1">IF($G669="","",INDEX(BASE_PRODUTOS!$M$2:$M$1006,$G669))</f>
        <v/>
      </c>
      <c r="S669" s="9" t="str">
        <f ca="1">IF($G669="","",INDEX(BASE_PRODUTOS!$N$2:$N$1006,$G669))</f>
        <v/>
      </c>
      <c r="T669" s="9" t="str">
        <f ca="1">IF($G669="","",INDEX(BASE_PRODUTOS!$D$2:$D$1006,$G669))</f>
        <v/>
      </c>
    </row>
    <row r="670" spans="7:20" ht="18" customHeight="1" x14ac:dyDescent="0.35">
      <c r="G670" t="str">
        <f ca="1">IFERROR(_xludf.aggregate(15,6,(ROW(BASE_PRODUTOS!$L$2:$L$1006)-ROW(BASE_PRODUTOS!$L$2)+1)/(BASE_PRODUTOS!$L$2:$L$1006&gt;0),ROWS($G$10:G670)),"")</f>
        <v/>
      </c>
      <c r="H670" s="9" t="str">
        <f ca="1">IF($G670="","",INDEX(BASE_PRODUTOS!$B$2:$B$1006,$G670))</f>
        <v/>
      </c>
      <c r="I670" s="9" t="str">
        <f ca="1">IF($G670="","",INDEX(BASE_PRODUTOS!$L$2:$L$1006,$G670))</f>
        <v/>
      </c>
      <c r="J670" s="9" t="str">
        <f ca="1">IF($G670="","",INDEX(BASE_PRODUTOS!$A$2:$A$1006,$G670))</f>
        <v/>
      </c>
      <c r="K670" s="9" t="str">
        <f ca="1">IF($G670="","",INDEX(BASE_PRODUTOS!$C$2:$C$1006,$G670))</f>
        <v/>
      </c>
      <c r="L670" s="9" t="str">
        <f ca="1">IF($G670="","",INDEX(BASE_PRODUTOS!$E$2:$E$1006,$G670))</f>
        <v/>
      </c>
      <c r="M670" s="9" t="str">
        <f ca="1">IF($G670="","",INDEX(BASE_PRODUTOS!$F$2:$F$1006,$G670))</f>
        <v/>
      </c>
      <c r="N670" s="9" t="str">
        <f ca="1">IF($G670="","",INDEX(BASE_PRODUTOS!$G$2:$G$1006,$G670))</f>
        <v/>
      </c>
      <c r="O670" s="9" t="str">
        <f ca="1">IF($G670="","",INDEX(BASE_PRODUTOS!$H$2:$H$1006,$G670))</f>
        <v/>
      </c>
      <c r="P670" s="9" t="str">
        <f ca="1">IF($G670="","",INDEX(BASE_PRODUTOS!$I$2:$I$1006,$G670))</f>
        <v/>
      </c>
      <c r="Q670" s="9" t="str">
        <f ca="1">IF($G670="","",INDEX(BASE_PRODUTOS!$J$2:$J$1006,$G670))</f>
        <v/>
      </c>
      <c r="R670" s="9" t="str">
        <f ca="1">IF($G670="","",INDEX(BASE_PRODUTOS!$M$2:$M$1006,$G670))</f>
        <v/>
      </c>
      <c r="S670" s="9" t="str">
        <f ca="1">IF($G670="","",INDEX(BASE_PRODUTOS!$N$2:$N$1006,$G670))</f>
        <v/>
      </c>
      <c r="T670" s="9" t="str">
        <f ca="1">IF($G670="","",INDEX(BASE_PRODUTOS!$D$2:$D$1006,$G670))</f>
        <v/>
      </c>
    </row>
    <row r="671" spans="7:20" ht="18" customHeight="1" x14ac:dyDescent="0.35">
      <c r="G671" t="str">
        <f ca="1">IFERROR(_xludf.aggregate(15,6,(ROW(BASE_PRODUTOS!$L$2:$L$1006)-ROW(BASE_PRODUTOS!$L$2)+1)/(BASE_PRODUTOS!$L$2:$L$1006&gt;0),ROWS($G$10:G671)),"")</f>
        <v/>
      </c>
      <c r="H671" s="9" t="str">
        <f ca="1">IF($G671="","",INDEX(BASE_PRODUTOS!$B$2:$B$1006,$G671))</f>
        <v/>
      </c>
      <c r="I671" s="9" t="str">
        <f ca="1">IF($G671="","",INDEX(BASE_PRODUTOS!$L$2:$L$1006,$G671))</f>
        <v/>
      </c>
      <c r="J671" s="9" t="str">
        <f ca="1">IF($G671="","",INDEX(BASE_PRODUTOS!$A$2:$A$1006,$G671))</f>
        <v/>
      </c>
      <c r="K671" s="9" t="str">
        <f ca="1">IF($G671="","",INDEX(BASE_PRODUTOS!$C$2:$C$1006,$G671))</f>
        <v/>
      </c>
      <c r="L671" s="9" t="str">
        <f ca="1">IF($G671="","",INDEX(BASE_PRODUTOS!$E$2:$E$1006,$G671))</f>
        <v/>
      </c>
      <c r="M671" s="9" t="str">
        <f ca="1">IF($G671="","",INDEX(BASE_PRODUTOS!$F$2:$F$1006,$G671))</f>
        <v/>
      </c>
      <c r="N671" s="9" t="str">
        <f ca="1">IF($G671="","",INDEX(BASE_PRODUTOS!$G$2:$G$1006,$G671))</f>
        <v/>
      </c>
      <c r="O671" s="9" t="str">
        <f ca="1">IF($G671="","",INDEX(BASE_PRODUTOS!$H$2:$H$1006,$G671))</f>
        <v/>
      </c>
      <c r="P671" s="9" t="str">
        <f ca="1">IF($G671="","",INDEX(BASE_PRODUTOS!$I$2:$I$1006,$G671))</f>
        <v/>
      </c>
      <c r="Q671" s="9" t="str">
        <f ca="1">IF($G671="","",INDEX(BASE_PRODUTOS!$J$2:$J$1006,$G671))</f>
        <v/>
      </c>
      <c r="R671" s="9" t="str">
        <f ca="1">IF($G671="","",INDEX(BASE_PRODUTOS!$M$2:$M$1006,$G671))</f>
        <v/>
      </c>
      <c r="S671" s="9" t="str">
        <f ca="1">IF($G671="","",INDEX(BASE_PRODUTOS!$N$2:$N$1006,$G671))</f>
        <v/>
      </c>
      <c r="T671" s="9" t="str">
        <f ca="1">IF($G671="","",INDEX(BASE_PRODUTOS!$D$2:$D$1006,$G671))</f>
        <v/>
      </c>
    </row>
    <row r="672" spans="7:20" ht="18" customHeight="1" x14ac:dyDescent="0.35">
      <c r="G672" t="str">
        <f ca="1">IFERROR(_xludf.aggregate(15,6,(ROW(BASE_PRODUTOS!$L$2:$L$1006)-ROW(BASE_PRODUTOS!$L$2)+1)/(BASE_PRODUTOS!$L$2:$L$1006&gt;0),ROWS($G$10:G672)),"")</f>
        <v/>
      </c>
      <c r="H672" s="9" t="str">
        <f ca="1">IF($G672="","",INDEX(BASE_PRODUTOS!$B$2:$B$1006,$G672))</f>
        <v/>
      </c>
      <c r="I672" s="9" t="str">
        <f ca="1">IF($G672="","",INDEX(BASE_PRODUTOS!$L$2:$L$1006,$G672))</f>
        <v/>
      </c>
      <c r="J672" s="9" t="str">
        <f ca="1">IF($G672="","",INDEX(BASE_PRODUTOS!$A$2:$A$1006,$G672))</f>
        <v/>
      </c>
      <c r="K672" s="9" t="str">
        <f ca="1">IF($G672="","",INDEX(BASE_PRODUTOS!$C$2:$C$1006,$G672))</f>
        <v/>
      </c>
      <c r="L672" s="9" t="str">
        <f ca="1">IF($G672="","",INDEX(BASE_PRODUTOS!$E$2:$E$1006,$G672))</f>
        <v/>
      </c>
      <c r="M672" s="9" t="str">
        <f ca="1">IF($G672="","",INDEX(BASE_PRODUTOS!$F$2:$F$1006,$G672))</f>
        <v/>
      </c>
      <c r="N672" s="9" t="str">
        <f ca="1">IF($G672="","",INDEX(BASE_PRODUTOS!$G$2:$G$1006,$G672))</f>
        <v/>
      </c>
      <c r="O672" s="9" t="str">
        <f ca="1">IF($G672="","",INDEX(BASE_PRODUTOS!$H$2:$H$1006,$G672))</f>
        <v/>
      </c>
      <c r="P672" s="9" t="str">
        <f ca="1">IF($G672="","",INDEX(BASE_PRODUTOS!$I$2:$I$1006,$G672))</f>
        <v/>
      </c>
      <c r="Q672" s="9" t="str">
        <f ca="1">IF($G672="","",INDEX(BASE_PRODUTOS!$J$2:$J$1006,$G672))</f>
        <v/>
      </c>
      <c r="R672" s="9" t="str">
        <f ca="1">IF($G672="","",INDEX(BASE_PRODUTOS!$M$2:$M$1006,$G672))</f>
        <v/>
      </c>
      <c r="S672" s="9" t="str">
        <f ca="1">IF($G672="","",INDEX(BASE_PRODUTOS!$N$2:$N$1006,$G672))</f>
        <v/>
      </c>
      <c r="T672" s="9" t="str">
        <f ca="1">IF($G672="","",INDEX(BASE_PRODUTOS!$D$2:$D$1006,$G672))</f>
        <v/>
      </c>
    </row>
    <row r="673" spans="7:20" ht="18" customHeight="1" x14ac:dyDescent="0.35">
      <c r="G673" t="str">
        <f ca="1">IFERROR(_xludf.aggregate(15,6,(ROW(BASE_PRODUTOS!$L$2:$L$1006)-ROW(BASE_PRODUTOS!$L$2)+1)/(BASE_PRODUTOS!$L$2:$L$1006&gt;0),ROWS($G$10:G673)),"")</f>
        <v/>
      </c>
      <c r="H673" s="9" t="str">
        <f ca="1">IF($G673="","",INDEX(BASE_PRODUTOS!$B$2:$B$1006,$G673))</f>
        <v/>
      </c>
      <c r="I673" s="9" t="str">
        <f ca="1">IF($G673="","",INDEX(BASE_PRODUTOS!$L$2:$L$1006,$G673))</f>
        <v/>
      </c>
      <c r="J673" s="9" t="str">
        <f ca="1">IF($G673="","",INDEX(BASE_PRODUTOS!$A$2:$A$1006,$G673))</f>
        <v/>
      </c>
      <c r="K673" s="9" t="str">
        <f ca="1">IF($G673="","",INDEX(BASE_PRODUTOS!$C$2:$C$1006,$G673))</f>
        <v/>
      </c>
      <c r="L673" s="9" t="str">
        <f ca="1">IF($G673="","",INDEX(BASE_PRODUTOS!$E$2:$E$1006,$G673))</f>
        <v/>
      </c>
      <c r="M673" s="9" t="str">
        <f ca="1">IF($G673="","",INDEX(BASE_PRODUTOS!$F$2:$F$1006,$G673))</f>
        <v/>
      </c>
      <c r="N673" s="9" t="str">
        <f ca="1">IF($G673="","",INDEX(BASE_PRODUTOS!$G$2:$G$1006,$G673))</f>
        <v/>
      </c>
      <c r="O673" s="9" t="str">
        <f ca="1">IF($G673="","",INDEX(BASE_PRODUTOS!$H$2:$H$1006,$G673))</f>
        <v/>
      </c>
      <c r="P673" s="9" t="str">
        <f ca="1">IF($G673="","",INDEX(BASE_PRODUTOS!$I$2:$I$1006,$G673))</f>
        <v/>
      </c>
      <c r="Q673" s="9" t="str">
        <f ca="1">IF($G673="","",INDEX(BASE_PRODUTOS!$J$2:$J$1006,$G673))</f>
        <v/>
      </c>
      <c r="R673" s="9" t="str">
        <f ca="1">IF($G673="","",INDEX(BASE_PRODUTOS!$M$2:$M$1006,$G673))</f>
        <v/>
      </c>
      <c r="S673" s="9" t="str">
        <f ca="1">IF($G673="","",INDEX(BASE_PRODUTOS!$N$2:$N$1006,$G673))</f>
        <v/>
      </c>
      <c r="T673" s="9" t="str">
        <f ca="1">IF($G673="","",INDEX(BASE_PRODUTOS!$D$2:$D$1006,$G673))</f>
        <v/>
      </c>
    </row>
    <row r="674" spans="7:20" ht="18" customHeight="1" x14ac:dyDescent="0.35">
      <c r="G674" t="str">
        <f ca="1">IFERROR(_xludf.aggregate(15,6,(ROW(BASE_PRODUTOS!$L$2:$L$1006)-ROW(BASE_PRODUTOS!$L$2)+1)/(BASE_PRODUTOS!$L$2:$L$1006&gt;0),ROWS($G$10:G674)),"")</f>
        <v/>
      </c>
      <c r="H674" s="9" t="str">
        <f ca="1">IF($G674="","",INDEX(BASE_PRODUTOS!$B$2:$B$1006,$G674))</f>
        <v/>
      </c>
      <c r="I674" s="9" t="str">
        <f ca="1">IF($G674="","",INDEX(BASE_PRODUTOS!$L$2:$L$1006,$G674))</f>
        <v/>
      </c>
      <c r="J674" s="9" t="str">
        <f ca="1">IF($G674="","",INDEX(BASE_PRODUTOS!$A$2:$A$1006,$G674))</f>
        <v/>
      </c>
      <c r="K674" s="9" t="str">
        <f ca="1">IF($G674="","",INDEX(BASE_PRODUTOS!$C$2:$C$1006,$G674))</f>
        <v/>
      </c>
      <c r="L674" s="9" t="str">
        <f ca="1">IF($G674="","",INDEX(BASE_PRODUTOS!$E$2:$E$1006,$G674))</f>
        <v/>
      </c>
      <c r="M674" s="9" t="str">
        <f ca="1">IF($G674="","",INDEX(BASE_PRODUTOS!$F$2:$F$1006,$G674))</f>
        <v/>
      </c>
      <c r="N674" s="9" t="str">
        <f ca="1">IF($G674="","",INDEX(BASE_PRODUTOS!$G$2:$G$1006,$G674))</f>
        <v/>
      </c>
      <c r="O674" s="9" t="str">
        <f ca="1">IF($G674="","",INDEX(BASE_PRODUTOS!$H$2:$H$1006,$G674))</f>
        <v/>
      </c>
      <c r="P674" s="9" t="str">
        <f ca="1">IF($G674="","",INDEX(BASE_PRODUTOS!$I$2:$I$1006,$G674))</f>
        <v/>
      </c>
      <c r="Q674" s="9" t="str">
        <f ca="1">IF($G674="","",INDEX(BASE_PRODUTOS!$J$2:$J$1006,$G674))</f>
        <v/>
      </c>
      <c r="R674" s="9" t="str">
        <f ca="1">IF($G674="","",INDEX(BASE_PRODUTOS!$M$2:$M$1006,$G674))</f>
        <v/>
      </c>
      <c r="S674" s="9" t="str">
        <f ca="1">IF($G674="","",INDEX(BASE_PRODUTOS!$N$2:$N$1006,$G674))</f>
        <v/>
      </c>
      <c r="T674" s="9" t="str">
        <f ca="1">IF($G674="","",INDEX(BASE_PRODUTOS!$D$2:$D$1006,$G674))</f>
        <v/>
      </c>
    </row>
    <row r="675" spans="7:20" ht="18" customHeight="1" x14ac:dyDescent="0.35">
      <c r="G675" t="str">
        <f ca="1">IFERROR(_xludf.aggregate(15,6,(ROW(BASE_PRODUTOS!$L$2:$L$1006)-ROW(BASE_PRODUTOS!$L$2)+1)/(BASE_PRODUTOS!$L$2:$L$1006&gt;0),ROWS($G$10:G675)),"")</f>
        <v/>
      </c>
      <c r="H675" s="9" t="str">
        <f ca="1">IF($G675="","",INDEX(BASE_PRODUTOS!$B$2:$B$1006,$G675))</f>
        <v/>
      </c>
      <c r="I675" s="9" t="str">
        <f ca="1">IF($G675="","",INDEX(BASE_PRODUTOS!$L$2:$L$1006,$G675))</f>
        <v/>
      </c>
      <c r="J675" s="9" t="str">
        <f ca="1">IF($G675="","",INDEX(BASE_PRODUTOS!$A$2:$A$1006,$G675))</f>
        <v/>
      </c>
      <c r="K675" s="9" t="str">
        <f ca="1">IF($G675="","",INDEX(BASE_PRODUTOS!$C$2:$C$1006,$G675))</f>
        <v/>
      </c>
      <c r="L675" s="9" t="str">
        <f ca="1">IF($G675="","",INDEX(BASE_PRODUTOS!$E$2:$E$1006,$G675))</f>
        <v/>
      </c>
      <c r="M675" s="9" t="str">
        <f ca="1">IF($G675="","",INDEX(BASE_PRODUTOS!$F$2:$F$1006,$G675))</f>
        <v/>
      </c>
      <c r="N675" s="9" t="str">
        <f ca="1">IF($G675="","",INDEX(BASE_PRODUTOS!$G$2:$G$1006,$G675))</f>
        <v/>
      </c>
      <c r="O675" s="9" t="str">
        <f ca="1">IF($G675="","",INDEX(BASE_PRODUTOS!$H$2:$H$1006,$G675))</f>
        <v/>
      </c>
      <c r="P675" s="9" t="str">
        <f ca="1">IF($G675="","",INDEX(BASE_PRODUTOS!$I$2:$I$1006,$G675))</f>
        <v/>
      </c>
      <c r="Q675" s="9" t="str">
        <f ca="1">IF($G675="","",INDEX(BASE_PRODUTOS!$J$2:$J$1006,$G675))</f>
        <v/>
      </c>
      <c r="R675" s="9" t="str">
        <f ca="1">IF($G675="","",INDEX(BASE_PRODUTOS!$M$2:$M$1006,$G675))</f>
        <v/>
      </c>
      <c r="S675" s="9" t="str">
        <f ca="1">IF($G675="","",INDEX(BASE_PRODUTOS!$N$2:$N$1006,$G675))</f>
        <v/>
      </c>
      <c r="T675" s="9" t="str">
        <f ca="1">IF($G675="","",INDEX(BASE_PRODUTOS!$D$2:$D$1006,$G675))</f>
        <v/>
      </c>
    </row>
    <row r="676" spans="7:20" ht="18" customHeight="1" x14ac:dyDescent="0.35">
      <c r="G676" t="str">
        <f ca="1">IFERROR(_xludf.aggregate(15,6,(ROW(BASE_PRODUTOS!$L$2:$L$1006)-ROW(BASE_PRODUTOS!$L$2)+1)/(BASE_PRODUTOS!$L$2:$L$1006&gt;0),ROWS($G$10:G676)),"")</f>
        <v/>
      </c>
      <c r="H676" s="9" t="str">
        <f ca="1">IF($G676="","",INDEX(BASE_PRODUTOS!$B$2:$B$1006,$G676))</f>
        <v/>
      </c>
      <c r="I676" s="9" t="str">
        <f ca="1">IF($G676="","",INDEX(BASE_PRODUTOS!$L$2:$L$1006,$G676))</f>
        <v/>
      </c>
      <c r="J676" s="9" t="str">
        <f ca="1">IF($G676="","",INDEX(BASE_PRODUTOS!$A$2:$A$1006,$G676))</f>
        <v/>
      </c>
      <c r="K676" s="9" t="str">
        <f ca="1">IF($G676="","",INDEX(BASE_PRODUTOS!$C$2:$C$1006,$G676))</f>
        <v/>
      </c>
      <c r="L676" s="9" t="str">
        <f ca="1">IF($G676="","",INDEX(BASE_PRODUTOS!$E$2:$E$1006,$G676))</f>
        <v/>
      </c>
      <c r="M676" s="9" t="str">
        <f ca="1">IF($G676="","",INDEX(BASE_PRODUTOS!$F$2:$F$1006,$G676))</f>
        <v/>
      </c>
      <c r="N676" s="9" t="str">
        <f ca="1">IF($G676="","",INDEX(BASE_PRODUTOS!$G$2:$G$1006,$G676))</f>
        <v/>
      </c>
      <c r="O676" s="9" t="str">
        <f ca="1">IF($G676="","",INDEX(BASE_PRODUTOS!$H$2:$H$1006,$G676))</f>
        <v/>
      </c>
      <c r="P676" s="9" t="str">
        <f ca="1">IF($G676="","",INDEX(BASE_PRODUTOS!$I$2:$I$1006,$G676))</f>
        <v/>
      </c>
      <c r="Q676" s="9" t="str">
        <f ca="1">IF($G676="","",INDEX(BASE_PRODUTOS!$J$2:$J$1006,$G676))</f>
        <v/>
      </c>
      <c r="R676" s="9" t="str">
        <f ca="1">IF($G676="","",INDEX(BASE_PRODUTOS!$M$2:$M$1006,$G676))</f>
        <v/>
      </c>
      <c r="S676" s="9" t="str">
        <f ca="1">IF($G676="","",INDEX(BASE_PRODUTOS!$N$2:$N$1006,$G676))</f>
        <v/>
      </c>
      <c r="T676" s="9" t="str">
        <f ca="1">IF($G676="","",INDEX(BASE_PRODUTOS!$D$2:$D$1006,$G676))</f>
        <v/>
      </c>
    </row>
    <row r="677" spans="7:20" ht="18" customHeight="1" x14ac:dyDescent="0.35">
      <c r="G677" t="str">
        <f ca="1">IFERROR(_xludf.aggregate(15,6,(ROW(BASE_PRODUTOS!$L$2:$L$1006)-ROW(BASE_PRODUTOS!$L$2)+1)/(BASE_PRODUTOS!$L$2:$L$1006&gt;0),ROWS($G$10:G677)),"")</f>
        <v/>
      </c>
      <c r="H677" s="9" t="str">
        <f ca="1">IF($G677="","",INDEX(BASE_PRODUTOS!$B$2:$B$1006,$G677))</f>
        <v/>
      </c>
      <c r="I677" s="9" t="str">
        <f ca="1">IF($G677="","",INDEX(BASE_PRODUTOS!$L$2:$L$1006,$G677))</f>
        <v/>
      </c>
      <c r="J677" s="9" t="str">
        <f ca="1">IF($G677="","",INDEX(BASE_PRODUTOS!$A$2:$A$1006,$G677))</f>
        <v/>
      </c>
      <c r="K677" s="9" t="str">
        <f ca="1">IF($G677="","",INDEX(BASE_PRODUTOS!$C$2:$C$1006,$G677))</f>
        <v/>
      </c>
      <c r="L677" s="9" t="str">
        <f ca="1">IF($G677="","",INDEX(BASE_PRODUTOS!$E$2:$E$1006,$G677))</f>
        <v/>
      </c>
      <c r="M677" s="9" t="str">
        <f ca="1">IF($G677="","",INDEX(BASE_PRODUTOS!$F$2:$F$1006,$G677))</f>
        <v/>
      </c>
      <c r="N677" s="9" t="str">
        <f ca="1">IF($G677="","",INDEX(BASE_PRODUTOS!$G$2:$G$1006,$G677))</f>
        <v/>
      </c>
      <c r="O677" s="9" t="str">
        <f ca="1">IF($G677="","",INDEX(BASE_PRODUTOS!$H$2:$H$1006,$G677))</f>
        <v/>
      </c>
      <c r="P677" s="9" t="str">
        <f ca="1">IF($G677="","",INDEX(BASE_PRODUTOS!$I$2:$I$1006,$G677))</f>
        <v/>
      </c>
      <c r="Q677" s="9" t="str">
        <f ca="1">IF($G677="","",INDEX(BASE_PRODUTOS!$J$2:$J$1006,$G677))</f>
        <v/>
      </c>
      <c r="R677" s="9" t="str">
        <f ca="1">IF($G677="","",INDEX(BASE_PRODUTOS!$M$2:$M$1006,$G677))</f>
        <v/>
      </c>
      <c r="S677" s="9" t="str">
        <f ca="1">IF($G677="","",INDEX(BASE_PRODUTOS!$N$2:$N$1006,$G677))</f>
        <v/>
      </c>
      <c r="T677" s="9" t="str">
        <f ca="1">IF($G677="","",INDEX(BASE_PRODUTOS!$D$2:$D$1006,$G677))</f>
        <v/>
      </c>
    </row>
    <row r="678" spans="7:20" ht="18" customHeight="1" x14ac:dyDescent="0.35">
      <c r="G678" t="str">
        <f ca="1">IFERROR(_xludf.aggregate(15,6,(ROW(BASE_PRODUTOS!$L$2:$L$1006)-ROW(BASE_PRODUTOS!$L$2)+1)/(BASE_PRODUTOS!$L$2:$L$1006&gt;0),ROWS($G$10:G678)),"")</f>
        <v/>
      </c>
      <c r="H678" s="9" t="str">
        <f ca="1">IF($G678="","",INDEX(BASE_PRODUTOS!$B$2:$B$1006,$G678))</f>
        <v/>
      </c>
      <c r="I678" s="9" t="str">
        <f ca="1">IF($G678="","",INDEX(BASE_PRODUTOS!$L$2:$L$1006,$G678))</f>
        <v/>
      </c>
      <c r="J678" s="9" t="str">
        <f ca="1">IF($G678="","",INDEX(BASE_PRODUTOS!$A$2:$A$1006,$G678))</f>
        <v/>
      </c>
      <c r="K678" s="9" t="str">
        <f ca="1">IF($G678="","",INDEX(BASE_PRODUTOS!$C$2:$C$1006,$G678))</f>
        <v/>
      </c>
      <c r="L678" s="9" t="str">
        <f ca="1">IF($G678="","",INDEX(BASE_PRODUTOS!$E$2:$E$1006,$G678))</f>
        <v/>
      </c>
      <c r="M678" s="9" t="str">
        <f ca="1">IF($G678="","",INDEX(BASE_PRODUTOS!$F$2:$F$1006,$G678))</f>
        <v/>
      </c>
      <c r="N678" s="9" t="str">
        <f ca="1">IF($G678="","",INDEX(BASE_PRODUTOS!$G$2:$G$1006,$G678))</f>
        <v/>
      </c>
      <c r="O678" s="9" t="str">
        <f ca="1">IF($G678="","",INDEX(BASE_PRODUTOS!$H$2:$H$1006,$G678))</f>
        <v/>
      </c>
      <c r="P678" s="9" t="str">
        <f ca="1">IF($G678="","",INDEX(BASE_PRODUTOS!$I$2:$I$1006,$G678))</f>
        <v/>
      </c>
      <c r="Q678" s="9" t="str">
        <f ca="1">IF($G678="","",INDEX(BASE_PRODUTOS!$J$2:$J$1006,$G678))</f>
        <v/>
      </c>
      <c r="R678" s="9" t="str">
        <f ca="1">IF($G678="","",INDEX(BASE_PRODUTOS!$M$2:$M$1006,$G678))</f>
        <v/>
      </c>
      <c r="S678" s="9" t="str">
        <f ca="1">IF($G678="","",INDEX(BASE_PRODUTOS!$N$2:$N$1006,$G678))</f>
        <v/>
      </c>
      <c r="T678" s="9" t="str">
        <f ca="1">IF($G678="","",INDEX(BASE_PRODUTOS!$D$2:$D$1006,$G678))</f>
        <v/>
      </c>
    </row>
    <row r="679" spans="7:20" ht="18" customHeight="1" x14ac:dyDescent="0.35">
      <c r="G679" t="str">
        <f ca="1">IFERROR(_xludf.aggregate(15,6,(ROW(BASE_PRODUTOS!$L$2:$L$1006)-ROW(BASE_PRODUTOS!$L$2)+1)/(BASE_PRODUTOS!$L$2:$L$1006&gt;0),ROWS($G$10:G679)),"")</f>
        <v/>
      </c>
      <c r="H679" s="9" t="str">
        <f ca="1">IF($G679="","",INDEX(BASE_PRODUTOS!$B$2:$B$1006,$G679))</f>
        <v/>
      </c>
      <c r="I679" s="9" t="str">
        <f ca="1">IF($G679="","",INDEX(BASE_PRODUTOS!$L$2:$L$1006,$G679))</f>
        <v/>
      </c>
      <c r="J679" s="9" t="str">
        <f ca="1">IF($G679="","",INDEX(BASE_PRODUTOS!$A$2:$A$1006,$G679))</f>
        <v/>
      </c>
      <c r="K679" s="9" t="str">
        <f ca="1">IF($G679="","",INDEX(BASE_PRODUTOS!$C$2:$C$1006,$G679))</f>
        <v/>
      </c>
      <c r="L679" s="9" t="str">
        <f ca="1">IF($G679="","",INDEX(BASE_PRODUTOS!$E$2:$E$1006,$G679))</f>
        <v/>
      </c>
      <c r="M679" s="9" t="str">
        <f ca="1">IF($G679="","",INDEX(BASE_PRODUTOS!$F$2:$F$1006,$G679))</f>
        <v/>
      </c>
      <c r="N679" s="9" t="str">
        <f ca="1">IF($G679="","",INDEX(BASE_PRODUTOS!$G$2:$G$1006,$G679))</f>
        <v/>
      </c>
      <c r="O679" s="9" t="str">
        <f ca="1">IF($G679="","",INDEX(BASE_PRODUTOS!$H$2:$H$1006,$G679))</f>
        <v/>
      </c>
      <c r="P679" s="9" t="str">
        <f ca="1">IF($G679="","",INDEX(BASE_PRODUTOS!$I$2:$I$1006,$G679))</f>
        <v/>
      </c>
      <c r="Q679" s="9" t="str">
        <f ca="1">IF($G679="","",INDEX(BASE_PRODUTOS!$J$2:$J$1006,$G679))</f>
        <v/>
      </c>
      <c r="R679" s="9" t="str">
        <f ca="1">IF($G679="","",INDEX(BASE_PRODUTOS!$M$2:$M$1006,$G679))</f>
        <v/>
      </c>
      <c r="S679" s="9" t="str">
        <f ca="1">IF($G679="","",INDEX(BASE_PRODUTOS!$N$2:$N$1006,$G679))</f>
        <v/>
      </c>
      <c r="T679" s="9" t="str">
        <f ca="1">IF($G679="","",INDEX(BASE_PRODUTOS!$D$2:$D$1006,$G679))</f>
        <v/>
      </c>
    </row>
    <row r="680" spans="7:20" ht="18" customHeight="1" x14ac:dyDescent="0.35">
      <c r="G680" t="str">
        <f ca="1">IFERROR(_xludf.aggregate(15,6,(ROW(BASE_PRODUTOS!$L$2:$L$1006)-ROW(BASE_PRODUTOS!$L$2)+1)/(BASE_PRODUTOS!$L$2:$L$1006&gt;0),ROWS($G$10:G680)),"")</f>
        <v/>
      </c>
      <c r="H680" s="9" t="str">
        <f ca="1">IF($G680="","",INDEX(BASE_PRODUTOS!$B$2:$B$1006,$G680))</f>
        <v/>
      </c>
      <c r="I680" s="9" t="str">
        <f ca="1">IF($G680="","",INDEX(BASE_PRODUTOS!$L$2:$L$1006,$G680))</f>
        <v/>
      </c>
      <c r="J680" s="9" t="str">
        <f ca="1">IF($G680="","",INDEX(BASE_PRODUTOS!$A$2:$A$1006,$G680))</f>
        <v/>
      </c>
      <c r="K680" s="9" t="str">
        <f ca="1">IF($G680="","",INDEX(BASE_PRODUTOS!$C$2:$C$1006,$G680))</f>
        <v/>
      </c>
      <c r="L680" s="9" t="str">
        <f ca="1">IF($G680="","",INDEX(BASE_PRODUTOS!$E$2:$E$1006,$G680))</f>
        <v/>
      </c>
      <c r="M680" s="9" t="str">
        <f ca="1">IF($G680="","",INDEX(BASE_PRODUTOS!$F$2:$F$1006,$G680))</f>
        <v/>
      </c>
      <c r="N680" s="9" t="str">
        <f ca="1">IF($G680="","",INDEX(BASE_PRODUTOS!$G$2:$G$1006,$G680))</f>
        <v/>
      </c>
      <c r="O680" s="9" t="str">
        <f ca="1">IF($G680="","",INDEX(BASE_PRODUTOS!$H$2:$H$1006,$G680))</f>
        <v/>
      </c>
      <c r="P680" s="9" t="str">
        <f ca="1">IF($G680="","",INDEX(BASE_PRODUTOS!$I$2:$I$1006,$G680))</f>
        <v/>
      </c>
      <c r="Q680" s="9" t="str">
        <f ca="1">IF($G680="","",INDEX(BASE_PRODUTOS!$J$2:$J$1006,$G680))</f>
        <v/>
      </c>
      <c r="R680" s="9" t="str">
        <f ca="1">IF($G680="","",INDEX(BASE_PRODUTOS!$M$2:$M$1006,$G680))</f>
        <v/>
      </c>
      <c r="S680" s="9" t="str">
        <f ca="1">IF($G680="","",INDEX(BASE_PRODUTOS!$N$2:$N$1006,$G680))</f>
        <v/>
      </c>
      <c r="T680" s="9" t="str">
        <f ca="1">IF($G680="","",INDEX(BASE_PRODUTOS!$D$2:$D$1006,$G680))</f>
        <v/>
      </c>
    </row>
    <row r="681" spans="7:20" ht="18" customHeight="1" x14ac:dyDescent="0.35">
      <c r="G681" t="str">
        <f ca="1">IFERROR(_xludf.aggregate(15,6,(ROW(BASE_PRODUTOS!$L$2:$L$1006)-ROW(BASE_PRODUTOS!$L$2)+1)/(BASE_PRODUTOS!$L$2:$L$1006&gt;0),ROWS($G$10:G681)),"")</f>
        <v/>
      </c>
      <c r="H681" s="9" t="str">
        <f ca="1">IF($G681="","",INDEX(BASE_PRODUTOS!$B$2:$B$1006,$G681))</f>
        <v/>
      </c>
      <c r="I681" s="9" t="str">
        <f ca="1">IF($G681="","",INDEX(BASE_PRODUTOS!$L$2:$L$1006,$G681))</f>
        <v/>
      </c>
      <c r="J681" s="9" t="str">
        <f ca="1">IF($G681="","",INDEX(BASE_PRODUTOS!$A$2:$A$1006,$G681))</f>
        <v/>
      </c>
      <c r="K681" s="9" t="str">
        <f ca="1">IF($G681="","",INDEX(BASE_PRODUTOS!$C$2:$C$1006,$G681))</f>
        <v/>
      </c>
      <c r="L681" s="9" t="str">
        <f ca="1">IF($G681="","",INDEX(BASE_PRODUTOS!$E$2:$E$1006,$G681))</f>
        <v/>
      </c>
      <c r="M681" s="9" t="str">
        <f ca="1">IF($G681="","",INDEX(BASE_PRODUTOS!$F$2:$F$1006,$G681))</f>
        <v/>
      </c>
      <c r="N681" s="9" t="str">
        <f ca="1">IF($G681="","",INDEX(BASE_PRODUTOS!$G$2:$G$1006,$G681))</f>
        <v/>
      </c>
      <c r="O681" s="9" t="str">
        <f ca="1">IF($G681="","",INDEX(BASE_PRODUTOS!$H$2:$H$1006,$G681))</f>
        <v/>
      </c>
      <c r="P681" s="9" t="str">
        <f ca="1">IF($G681="","",INDEX(BASE_PRODUTOS!$I$2:$I$1006,$G681))</f>
        <v/>
      </c>
      <c r="Q681" s="9" t="str">
        <f ca="1">IF($G681="","",INDEX(BASE_PRODUTOS!$J$2:$J$1006,$G681))</f>
        <v/>
      </c>
      <c r="R681" s="9" t="str">
        <f ca="1">IF($G681="","",INDEX(BASE_PRODUTOS!$M$2:$M$1006,$G681))</f>
        <v/>
      </c>
      <c r="S681" s="9" t="str">
        <f ca="1">IF($G681="","",INDEX(BASE_PRODUTOS!$N$2:$N$1006,$G681))</f>
        <v/>
      </c>
      <c r="T681" s="9" t="str">
        <f ca="1">IF($G681="","",INDEX(BASE_PRODUTOS!$D$2:$D$1006,$G681))</f>
        <v/>
      </c>
    </row>
    <row r="682" spans="7:20" ht="18" customHeight="1" x14ac:dyDescent="0.35">
      <c r="G682" t="str">
        <f ca="1">IFERROR(_xludf.aggregate(15,6,(ROW(BASE_PRODUTOS!$L$2:$L$1006)-ROW(BASE_PRODUTOS!$L$2)+1)/(BASE_PRODUTOS!$L$2:$L$1006&gt;0),ROWS($G$10:G682)),"")</f>
        <v/>
      </c>
      <c r="H682" s="9" t="str">
        <f ca="1">IF($G682="","",INDEX(BASE_PRODUTOS!$B$2:$B$1006,$G682))</f>
        <v/>
      </c>
      <c r="I682" s="9" t="str">
        <f ca="1">IF($G682="","",INDEX(BASE_PRODUTOS!$L$2:$L$1006,$G682))</f>
        <v/>
      </c>
      <c r="J682" s="9" t="str">
        <f ca="1">IF($G682="","",INDEX(BASE_PRODUTOS!$A$2:$A$1006,$G682))</f>
        <v/>
      </c>
      <c r="K682" s="9" t="str">
        <f ca="1">IF($G682="","",INDEX(BASE_PRODUTOS!$C$2:$C$1006,$G682))</f>
        <v/>
      </c>
      <c r="L682" s="9" t="str">
        <f ca="1">IF($G682="","",INDEX(BASE_PRODUTOS!$E$2:$E$1006,$G682))</f>
        <v/>
      </c>
      <c r="M682" s="9" t="str">
        <f ca="1">IF($G682="","",INDEX(BASE_PRODUTOS!$F$2:$F$1006,$G682))</f>
        <v/>
      </c>
      <c r="N682" s="9" t="str">
        <f ca="1">IF($G682="","",INDEX(BASE_PRODUTOS!$G$2:$G$1006,$G682))</f>
        <v/>
      </c>
      <c r="O682" s="9" t="str">
        <f ca="1">IF($G682="","",INDEX(BASE_PRODUTOS!$H$2:$H$1006,$G682))</f>
        <v/>
      </c>
      <c r="P682" s="9" t="str">
        <f ca="1">IF($G682="","",INDEX(BASE_PRODUTOS!$I$2:$I$1006,$G682))</f>
        <v/>
      </c>
      <c r="Q682" s="9" t="str">
        <f ca="1">IF($G682="","",INDEX(BASE_PRODUTOS!$J$2:$J$1006,$G682))</f>
        <v/>
      </c>
      <c r="R682" s="9" t="str">
        <f ca="1">IF($G682="","",INDEX(BASE_PRODUTOS!$M$2:$M$1006,$G682))</f>
        <v/>
      </c>
      <c r="S682" s="9" t="str">
        <f ca="1">IF($G682="","",INDEX(BASE_PRODUTOS!$N$2:$N$1006,$G682))</f>
        <v/>
      </c>
      <c r="T682" s="9" t="str">
        <f ca="1">IF($G682="","",INDEX(BASE_PRODUTOS!$D$2:$D$1006,$G682))</f>
        <v/>
      </c>
    </row>
    <row r="683" spans="7:20" ht="18" customHeight="1" x14ac:dyDescent="0.35">
      <c r="G683" t="str">
        <f ca="1">IFERROR(_xludf.aggregate(15,6,(ROW(BASE_PRODUTOS!$L$2:$L$1006)-ROW(BASE_PRODUTOS!$L$2)+1)/(BASE_PRODUTOS!$L$2:$L$1006&gt;0),ROWS($G$10:G683)),"")</f>
        <v/>
      </c>
      <c r="H683" s="9" t="str">
        <f ca="1">IF($G683="","",INDEX(BASE_PRODUTOS!$B$2:$B$1006,$G683))</f>
        <v/>
      </c>
      <c r="I683" s="9" t="str">
        <f ca="1">IF($G683="","",INDEX(BASE_PRODUTOS!$L$2:$L$1006,$G683))</f>
        <v/>
      </c>
      <c r="J683" s="9" t="str">
        <f ca="1">IF($G683="","",INDEX(BASE_PRODUTOS!$A$2:$A$1006,$G683))</f>
        <v/>
      </c>
      <c r="K683" s="9" t="str">
        <f ca="1">IF($G683="","",INDEX(BASE_PRODUTOS!$C$2:$C$1006,$G683))</f>
        <v/>
      </c>
      <c r="L683" s="9" t="str">
        <f ca="1">IF($G683="","",INDEX(BASE_PRODUTOS!$E$2:$E$1006,$G683))</f>
        <v/>
      </c>
      <c r="M683" s="9" t="str">
        <f ca="1">IF($G683="","",INDEX(BASE_PRODUTOS!$F$2:$F$1006,$G683))</f>
        <v/>
      </c>
      <c r="N683" s="9" t="str">
        <f ca="1">IF($G683="","",INDEX(BASE_PRODUTOS!$G$2:$G$1006,$G683))</f>
        <v/>
      </c>
      <c r="O683" s="9" t="str">
        <f ca="1">IF($G683="","",INDEX(BASE_PRODUTOS!$H$2:$H$1006,$G683))</f>
        <v/>
      </c>
      <c r="P683" s="9" t="str">
        <f ca="1">IF($G683="","",INDEX(BASE_PRODUTOS!$I$2:$I$1006,$G683))</f>
        <v/>
      </c>
      <c r="Q683" s="9" t="str">
        <f ca="1">IF($G683="","",INDEX(BASE_PRODUTOS!$J$2:$J$1006,$G683))</f>
        <v/>
      </c>
      <c r="R683" s="9" t="str">
        <f ca="1">IF($G683="","",INDEX(BASE_PRODUTOS!$M$2:$M$1006,$G683))</f>
        <v/>
      </c>
      <c r="S683" s="9" t="str">
        <f ca="1">IF($G683="","",INDEX(BASE_PRODUTOS!$N$2:$N$1006,$G683))</f>
        <v/>
      </c>
      <c r="T683" s="9" t="str">
        <f ca="1">IF($G683="","",INDEX(BASE_PRODUTOS!$D$2:$D$1006,$G683))</f>
        <v/>
      </c>
    </row>
    <row r="684" spans="7:20" ht="18" customHeight="1" x14ac:dyDescent="0.35">
      <c r="G684" t="str">
        <f ca="1">IFERROR(_xludf.aggregate(15,6,(ROW(BASE_PRODUTOS!$L$2:$L$1006)-ROW(BASE_PRODUTOS!$L$2)+1)/(BASE_PRODUTOS!$L$2:$L$1006&gt;0),ROWS($G$10:G684)),"")</f>
        <v/>
      </c>
      <c r="H684" s="9" t="str">
        <f ca="1">IF($G684="","",INDEX(BASE_PRODUTOS!$B$2:$B$1006,$G684))</f>
        <v/>
      </c>
      <c r="I684" s="9" t="str">
        <f ca="1">IF($G684="","",INDEX(BASE_PRODUTOS!$L$2:$L$1006,$G684))</f>
        <v/>
      </c>
      <c r="J684" s="9" t="str">
        <f ca="1">IF($G684="","",INDEX(BASE_PRODUTOS!$A$2:$A$1006,$G684))</f>
        <v/>
      </c>
      <c r="K684" s="9" t="str">
        <f ca="1">IF($G684="","",INDEX(BASE_PRODUTOS!$C$2:$C$1006,$G684))</f>
        <v/>
      </c>
      <c r="L684" s="9" t="str">
        <f ca="1">IF($G684="","",INDEX(BASE_PRODUTOS!$E$2:$E$1006,$G684))</f>
        <v/>
      </c>
      <c r="M684" s="9" t="str">
        <f ca="1">IF($G684="","",INDEX(BASE_PRODUTOS!$F$2:$F$1006,$G684))</f>
        <v/>
      </c>
      <c r="N684" s="9" t="str">
        <f ca="1">IF($G684="","",INDEX(BASE_PRODUTOS!$G$2:$G$1006,$G684))</f>
        <v/>
      </c>
      <c r="O684" s="9" t="str">
        <f ca="1">IF($G684="","",INDEX(BASE_PRODUTOS!$H$2:$H$1006,$G684))</f>
        <v/>
      </c>
      <c r="P684" s="9" t="str">
        <f ca="1">IF($G684="","",INDEX(BASE_PRODUTOS!$I$2:$I$1006,$G684))</f>
        <v/>
      </c>
      <c r="Q684" s="9" t="str">
        <f ca="1">IF($G684="","",INDEX(BASE_PRODUTOS!$J$2:$J$1006,$G684))</f>
        <v/>
      </c>
      <c r="R684" s="9" t="str">
        <f ca="1">IF($G684="","",INDEX(BASE_PRODUTOS!$M$2:$M$1006,$G684))</f>
        <v/>
      </c>
      <c r="S684" s="9" t="str">
        <f ca="1">IF($G684="","",INDEX(BASE_PRODUTOS!$N$2:$N$1006,$G684))</f>
        <v/>
      </c>
      <c r="T684" s="9" t="str">
        <f ca="1">IF($G684="","",INDEX(BASE_PRODUTOS!$D$2:$D$1006,$G684))</f>
        <v/>
      </c>
    </row>
    <row r="685" spans="7:20" ht="18" customHeight="1" x14ac:dyDescent="0.35">
      <c r="G685" t="str">
        <f ca="1">IFERROR(_xludf.aggregate(15,6,(ROW(BASE_PRODUTOS!$L$2:$L$1006)-ROW(BASE_PRODUTOS!$L$2)+1)/(BASE_PRODUTOS!$L$2:$L$1006&gt;0),ROWS($G$10:G685)),"")</f>
        <v/>
      </c>
      <c r="H685" s="9" t="str">
        <f ca="1">IF($G685="","",INDEX(BASE_PRODUTOS!$B$2:$B$1006,$G685))</f>
        <v/>
      </c>
      <c r="I685" s="9" t="str">
        <f ca="1">IF($G685="","",INDEX(BASE_PRODUTOS!$L$2:$L$1006,$G685))</f>
        <v/>
      </c>
      <c r="J685" s="9" t="str">
        <f ca="1">IF($G685="","",INDEX(BASE_PRODUTOS!$A$2:$A$1006,$G685))</f>
        <v/>
      </c>
      <c r="K685" s="9" t="str">
        <f ca="1">IF($G685="","",INDEX(BASE_PRODUTOS!$C$2:$C$1006,$G685))</f>
        <v/>
      </c>
      <c r="L685" s="9" t="str">
        <f ca="1">IF($G685="","",INDEX(BASE_PRODUTOS!$E$2:$E$1006,$G685))</f>
        <v/>
      </c>
      <c r="M685" s="9" t="str">
        <f ca="1">IF($G685="","",INDEX(BASE_PRODUTOS!$F$2:$F$1006,$G685))</f>
        <v/>
      </c>
      <c r="N685" s="9" t="str">
        <f ca="1">IF($G685="","",INDEX(BASE_PRODUTOS!$G$2:$G$1006,$G685))</f>
        <v/>
      </c>
      <c r="O685" s="9" t="str">
        <f ca="1">IF($G685="","",INDEX(BASE_PRODUTOS!$H$2:$H$1006,$G685))</f>
        <v/>
      </c>
      <c r="P685" s="9" t="str">
        <f ca="1">IF($G685="","",INDEX(BASE_PRODUTOS!$I$2:$I$1006,$G685))</f>
        <v/>
      </c>
      <c r="Q685" s="9" t="str">
        <f ca="1">IF($G685="","",INDEX(BASE_PRODUTOS!$J$2:$J$1006,$G685))</f>
        <v/>
      </c>
      <c r="R685" s="9" t="str">
        <f ca="1">IF($G685="","",INDEX(BASE_PRODUTOS!$M$2:$M$1006,$G685))</f>
        <v/>
      </c>
      <c r="S685" s="9" t="str">
        <f ca="1">IF($G685="","",INDEX(BASE_PRODUTOS!$N$2:$N$1006,$G685))</f>
        <v/>
      </c>
      <c r="T685" s="9" t="str">
        <f ca="1">IF($G685="","",INDEX(BASE_PRODUTOS!$D$2:$D$1006,$G685))</f>
        <v/>
      </c>
    </row>
    <row r="686" spans="7:20" ht="18" customHeight="1" x14ac:dyDescent="0.35">
      <c r="G686" t="str">
        <f ca="1">IFERROR(_xludf.aggregate(15,6,(ROW(BASE_PRODUTOS!$L$2:$L$1006)-ROW(BASE_PRODUTOS!$L$2)+1)/(BASE_PRODUTOS!$L$2:$L$1006&gt;0),ROWS($G$10:G686)),"")</f>
        <v/>
      </c>
      <c r="H686" s="9" t="str">
        <f ca="1">IF($G686="","",INDEX(BASE_PRODUTOS!$B$2:$B$1006,$G686))</f>
        <v/>
      </c>
      <c r="I686" s="9" t="str">
        <f ca="1">IF($G686="","",INDEX(BASE_PRODUTOS!$L$2:$L$1006,$G686))</f>
        <v/>
      </c>
      <c r="J686" s="9" t="str">
        <f ca="1">IF($G686="","",INDEX(BASE_PRODUTOS!$A$2:$A$1006,$G686))</f>
        <v/>
      </c>
      <c r="K686" s="9" t="str">
        <f ca="1">IF($G686="","",INDEX(BASE_PRODUTOS!$C$2:$C$1006,$G686))</f>
        <v/>
      </c>
      <c r="L686" s="9" t="str">
        <f ca="1">IF($G686="","",INDEX(BASE_PRODUTOS!$E$2:$E$1006,$G686))</f>
        <v/>
      </c>
      <c r="M686" s="9" t="str">
        <f ca="1">IF($G686="","",INDEX(BASE_PRODUTOS!$F$2:$F$1006,$G686))</f>
        <v/>
      </c>
      <c r="N686" s="9" t="str">
        <f ca="1">IF($G686="","",INDEX(BASE_PRODUTOS!$G$2:$G$1006,$G686))</f>
        <v/>
      </c>
      <c r="O686" s="9" t="str">
        <f ca="1">IF($G686="","",INDEX(BASE_PRODUTOS!$H$2:$H$1006,$G686))</f>
        <v/>
      </c>
      <c r="P686" s="9" t="str">
        <f ca="1">IF($G686="","",INDEX(BASE_PRODUTOS!$I$2:$I$1006,$G686))</f>
        <v/>
      </c>
      <c r="Q686" s="9" t="str">
        <f ca="1">IF($G686="","",INDEX(BASE_PRODUTOS!$J$2:$J$1006,$G686))</f>
        <v/>
      </c>
      <c r="R686" s="9" t="str">
        <f ca="1">IF($G686="","",INDEX(BASE_PRODUTOS!$M$2:$M$1006,$G686))</f>
        <v/>
      </c>
      <c r="S686" s="9" t="str">
        <f ca="1">IF($G686="","",INDEX(BASE_PRODUTOS!$N$2:$N$1006,$G686))</f>
        <v/>
      </c>
      <c r="T686" s="9" t="str">
        <f ca="1">IF($G686="","",INDEX(BASE_PRODUTOS!$D$2:$D$1006,$G686))</f>
        <v/>
      </c>
    </row>
    <row r="687" spans="7:20" ht="18" customHeight="1" x14ac:dyDescent="0.35">
      <c r="G687" t="str">
        <f ca="1">IFERROR(_xludf.aggregate(15,6,(ROW(BASE_PRODUTOS!$L$2:$L$1006)-ROW(BASE_PRODUTOS!$L$2)+1)/(BASE_PRODUTOS!$L$2:$L$1006&gt;0),ROWS($G$10:G687)),"")</f>
        <v/>
      </c>
      <c r="H687" s="9" t="str">
        <f ca="1">IF($G687="","",INDEX(BASE_PRODUTOS!$B$2:$B$1006,$G687))</f>
        <v/>
      </c>
      <c r="I687" s="9" t="str">
        <f ca="1">IF($G687="","",INDEX(BASE_PRODUTOS!$L$2:$L$1006,$G687))</f>
        <v/>
      </c>
      <c r="J687" s="9" t="str">
        <f ca="1">IF($G687="","",INDEX(BASE_PRODUTOS!$A$2:$A$1006,$G687))</f>
        <v/>
      </c>
      <c r="K687" s="9" t="str">
        <f ca="1">IF($G687="","",INDEX(BASE_PRODUTOS!$C$2:$C$1006,$G687))</f>
        <v/>
      </c>
      <c r="L687" s="9" t="str">
        <f ca="1">IF($G687="","",INDEX(BASE_PRODUTOS!$E$2:$E$1006,$G687))</f>
        <v/>
      </c>
      <c r="M687" s="9" t="str">
        <f ca="1">IF($G687="","",INDEX(BASE_PRODUTOS!$F$2:$F$1006,$G687))</f>
        <v/>
      </c>
      <c r="N687" s="9" t="str">
        <f ca="1">IF($G687="","",INDEX(BASE_PRODUTOS!$G$2:$G$1006,$G687))</f>
        <v/>
      </c>
      <c r="O687" s="9" t="str">
        <f ca="1">IF($G687="","",INDEX(BASE_PRODUTOS!$H$2:$H$1006,$G687))</f>
        <v/>
      </c>
      <c r="P687" s="9" t="str">
        <f ca="1">IF($G687="","",INDEX(BASE_PRODUTOS!$I$2:$I$1006,$G687))</f>
        <v/>
      </c>
      <c r="Q687" s="9" t="str">
        <f ca="1">IF($G687="","",INDEX(BASE_PRODUTOS!$J$2:$J$1006,$G687))</f>
        <v/>
      </c>
      <c r="R687" s="9" t="str">
        <f ca="1">IF($G687="","",INDEX(BASE_PRODUTOS!$M$2:$M$1006,$G687))</f>
        <v/>
      </c>
      <c r="S687" s="9" t="str">
        <f ca="1">IF($G687="","",INDEX(BASE_PRODUTOS!$N$2:$N$1006,$G687))</f>
        <v/>
      </c>
      <c r="T687" s="9" t="str">
        <f ca="1">IF($G687="","",INDEX(BASE_PRODUTOS!$D$2:$D$1006,$G687))</f>
        <v/>
      </c>
    </row>
    <row r="688" spans="7:20" ht="18" customHeight="1" x14ac:dyDescent="0.35">
      <c r="G688" t="str">
        <f ca="1">IFERROR(_xludf.aggregate(15,6,(ROW(BASE_PRODUTOS!$L$2:$L$1006)-ROW(BASE_PRODUTOS!$L$2)+1)/(BASE_PRODUTOS!$L$2:$L$1006&gt;0),ROWS($G$10:G688)),"")</f>
        <v/>
      </c>
      <c r="H688" s="9" t="str">
        <f ca="1">IF($G688="","",INDEX(BASE_PRODUTOS!$B$2:$B$1006,$G688))</f>
        <v/>
      </c>
      <c r="I688" s="9" t="str">
        <f ca="1">IF($G688="","",INDEX(BASE_PRODUTOS!$L$2:$L$1006,$G688))</f>
        <v/>
      </c>
      <c r="J688" s="9" t="str">
        <f ca="1">IF($G688="","",INDEX(BASE_PRODUTOS!$A$2:$A$1006,$G688))</f>
        <v/>
      </c>
      <c r="K688" s="9" t="str">
        <f ca="1">IF($G688="","",INDEX(BASE_PRODUTOS!$C$2:$C$1006,$G688))</f>
        <v/>
      </c>
      <c r="L688" s="9" t="str">
        <f ca="1">IF($G688="","",INDEX(BASE_PRODUTOS!$E$2:$E$1006,$G688))</f>
        <v/>
      </c>
      <c r="M688" s="9" t="str">
        <f ca="1">IF($G688="","",INDEX(BASE_PRODUTOS!$F$2:$F$1006,$G688))</f>
        <v/>
      </c>
      <c r="N688" s="9" t="str">
        <f ca="1">IF($G688="","",INDEX(BASE_PRODUTOS!$G$2:$G$1006,$G688))</f>
        <v/>
      </c>
      <c r="O688" s="9" t="str">
        <f ca="1">IF($G688="","",INDEX(BASE_PRODUTOS!$H$2:$H$1006,$G688))</f>
        <v/>
      </c>
      <c r="P688" s="9" t="str">
        <f ca="1">IF($G688="","",INDEX(BASE_PRODUTOS!$I$2:$I$1006,$G688))</f>
        <v/>
      </c>
      <c r="Q688" s="9" t="str">
        <f ca="1">IF($G688="","",INDEX(BASE_PRODUTOS!$J$2:$J$1006,$G688))</f>
        <v/>
      </c>
      <c r="R688" s="9" t="str">
        <f ca="1">IF($G688="","",INDEX(BASE_PRODUTOS!$M$2:$M$1006,$G688))</f>
        <v/>
      </c>
      <c r="S688" s="9" t="str">
        <f ca="1">IF($G688="","",INDEX(BASE_PRODUTOS!$N$2:$N$1006,$G688))</f>
        <v/>
      </c>
      <c r="T688" s="9" t="str">
        <f ca="1">IF($G688="","",INDEX(BASE_PRODUTOS!$D$2:$D$1006,$G688))</f>
        <v/>
      </c>
    </row>
    <row r="689" spans="7:20" ht="18" customHeight="1" x14ac:dyDescent="0.35">
      <c r="G689" t="str">
        <f ca="1">IFERROR(_xludf.aggregate(15,6,(ROW(BASE_PRODUTOS!$L$2:$L$1006)-ROW(BASE_PRODUTOS!$L$2)+1)/(BASE_PRODUTOS!$L$2:$L$1006&gt;0),ROWS($G$10:G689)),"")</f>
        <v/>
      </c>
      <c r="H689" s="9" t="str">
        <f ca="1">IF($G689="","",INDEX(BASE_PRODUTOS!$B$2:$B$1006,$G689))</f>
        <v/>
      </c>
      <c r="I689" s="9" t="str">
        <f ca="1">IF($G689="","",INDEX(BASE_PRODUTOS!$L$2:$L$1006,$G689))</f>
        <v/>
      </c>
      <c r="J689" s="9" t="str">
        <f ca="1">IF($G689="","",INDEX(BASE_PRODUTOS!$A$2:$A$1006,$G689))</f>
        <v/>
      </c>
      <c r="K689" s="9" t="str">
        <f ca="1">IF($G689="","",INDEX(BASE_PRODUTOS!$C$2:$C$1006,$G689))</f>
        <v/>
      </c>
      <c r="L689" s="9" t="str">
        <f ca="1">IF($G689="","",INDEX(BASE_PRODUTOS!$E$2:$E$1006,$G689))</f>
        <v/>
      </c>
      <c r="M689" s="9" t="str">
        <f ca="1">IF($G689="","",INDEX(BASE_PRODUTOS!$F$2:$F$1006,$G689))</f>
        <v/>
      </c>
      <c r="N689" s="9" t="str">
        <f ca="1">IF($G689="","",INDEX(BASE_PRODUTOS!$G$2:$G$1006,$G689))</f>
        <v/>
      </c>
      <c r="O689" s="9" t="str">
        <f ca="1">IF($G689="","",INDEX(BASE_PRODUTOS!$H$2:$H$1006,$G689))</f>
        <v/>
      </c>
      <c r="P689" s="9" t="str">
        <f ca="1">IF($G689="","",INDEX(BASE_PRODUTOS!$I$2:$I$1006,$G689))</f>
        <v/>
      </c>
      <c r="Q689" s="9" t="str">
        <f ca="1">IF($G689="","",INDEX(BASE_PRODUTOS!$J$2:$J$1006,$G689))</f>
        <v/>
      </c>
      <c r="R689" s="9" t="str">
        <f ca="1">IF($G689="","",INDEX(BASE_PRODUTOS!$M$2:$M$1006,$G689))</f>
        <v/>
      </c>
      <c r="S689" s="9" t="str">
        <f ca="1">IF($G689="","",INDEX(BASE_PRODUTOS!$N$2:$N$1006,$G689))</f>
        <v/>
      </c>
      <c r="T689" s="9" t="str">
        <f ca="1">IF($G689="","",INDEX(BASE_PRODUTOS!$D$2:$D$1006,$G689))</f>
        <v/>
      </c>
    </row>
    <row r="690" spans="7:20" ht="18" customHeight="1" x14ac:dyDescent="0.35">
      <c r="G690" t="str">
        <f ca="1">IFERROR(_xludf.aggregate(15,6,(ROW(BASE_PRODUTOS!$L$2:$L$1006)-ROW(BASE_PRODUTOS!$L$2)+1)/(BASE_PRODUTOS!$L$2:$L$1006&gt;0),ROWS($G$10:G690)),"")</f>
        <v/>
      </c>
      <c r="H690" s="9" t="str">
        <f ca="1">IF($G690="","",INDEX(BASE_PRODUTOS!$B$2:$B$1006,$G690))</f>
        <v/>
      </c>
      <c r="I690" s="9" t="str">
        <f ca="1">IF($G690="","",INDEX(BASE_PRODUTOS!$L$2:$L$1006,$G690))</f>
        <v/>
      </c>
      <c r="J690" s="9" t="str">
        <f ca="1">IF($G690="","",INDEX(BASE_PRODUTOS!$A$2:$A$1006,$G690))</f>
        <v/>
      </c>
      <c r="K690" s="9" t="str">
        <f ca="1">IF($G690="","",INDEX(BASE_PRODUTOS!$C$2:$C$1006,$G690))</f>
        <v/>
      </c>
      <c r="L690" s="9" t="str">
        <f ca="1">IF($G690="","",INDEX(BASE_PRODUTOS!$E$2:$E$1006,$G690))</f>
        <v/>
      </c>
      <c r="M690" s="9" t="str">
        <f ca="1">IF($G690="","",INDEX(BASE_PRODUTOS!$F$2:$F$1006,$G690))</f>
        <v/>
      </c>
      <c r="N690" s="9" t="str">
        <f ca="1">IF($G690="","",INDEX(BASE_PRODUTOS!$G$2:$G$1006,$G690))</f>
        <v/>
      </c>
      <c r="O690" s="9" t="str">
        <f ca="1">IF($G690="","",INDEX(BASE_PRODUTOS!$H$2:$H$1006,$G690))</f>
        <v/>
      </c>
      <c r="P690" s="9" t="str">
        <f ca="1">IF($G690="","",INDEX(BASE_PRODUTOS!$I$2:$I$1006,$G690))</f>
        <v/>
      </c>
      <c r="Q690" s="9" t="str">
        <f ca="1">IF($G690="","",INDEX(BASE_PRODUTOS!$J$2:$J$1006,$G690))</f>
        <v/>
      </c>
      <c r="R690" s="9" t="str">
        <f ca="1">IF($G690="","",INDEX(BASE_PRODUTOS!$M$2:$M$1006,$G690))</f>
        <v/>
      </c>
      <c r="S690" s="9" t="str">
        <f ca="1">IF($G690="","",INDEX(BASE_PRODUTOS!$N$2:$N$1006,$G690))</f>
        <v/>
      </c>
      <c r="T690" s="9" t="str">
        <f ca="1">IF($G690="","",INDEX(BASE_PRODUTOS!$D$2:$D$1006,$G690))</f>
        <v/>
      </c>
    </row>
    <row r="691" spans="7:20" ht="18" customHeight="1" x14ac:dyDescent="0.35">
      <c r="G691" t="str">
        <f ca="1">IFERROR(_xludf.aggregate(15,6,(ROW(BASE_PRODUTOS!$L$2:$L$1006)-ROW(BASE_PRODUTOS!$L$2)+1)/(BASE_PRODUTOS!$L$2:$L$1006&gt;0),ROWS($G$10:G691)),"")</f>
        <v/>
      </c>
      <c r="H691" s="9" t="str">
        <f ca="1">IF($G691="","",INDEX(BASE_PRODUTOS!$B$2:$B$1006,$G691))</f>
        <v/>
      </c>
      <c r="I691" s="9" t="str">
        <f ca="1">IF($G691="","",INDEX(BASE_PRODUTOS!$L$2:$L$1006,$G691))</f>
        <v/>
      </c>
      <c r="J691" s="9" t="str">
        <f ca="1">IF($G691="","",INDEX(BASE_PRODUTOS!$A$2:$A$1006,$G691))</f>
        <v/>
      </c>
      <c r="K691" s="9" t="str">
        <f ca="1">IF($G691="","",INDEX(BASE_PRODUTOS!$C$2:$C$1006,$G691))</f>
        <v/>
      </c>
      <c r="L691" s="9" t="str">
        <f ca="1">IF($G691="","",INDEX(BASE_PRODUTOS!$E$2:$E$1006,$G691))</f>
        <v/>
      </c>
      <c r="M691" s="9" t="str">
        <f ca="1">IF($G691="","",INDEX(BASE_PRODUTOS!$F$2:$F$1006,$G691))</f>
        <v/>
      </c>
      <c r="N691" s="9" t="str">
        <f ca="1">IF($G691="","",INDEX(BASE_PRODUTOS!$G$2:$G$1006,$G691))</f>
        <v/>
      </c>
      <c r="O691" s="9" t="str">
        <f ca="1">IF($G691="","",INDEX(BASE_PRODUTOS!$H$2:$H$1006,$G691))</f>
        <v/>
      </c>
      <c r="P691" s="9" t="str">
        <f ca="1">IF($G691="","",INDEX(BASE_PRODUTOS!$I$2:$I$1006,$G691))</f>
        <v/>
      </c>
      <c r="Q691" s="9" t="str">
        <f ca="1">IF($G691="","",INDEX(BASE_PRODUTOS!$J$2:$J$1006,$G691))</f>
        <v/>
      </c>
      <c r="R691" s="9" t="str">
        <f ca="1">IF($G691="","",INDEX(BASE_PRODUTOS!$M$2:$M$1006,$G691))</f>
        <v/>
      </c>
      <c r="S691" s="9" t="str">
        <f ca="1">IF($G691="","",INDEX(BASE_PRODUTOS!$N$2:$N$1006,$G691))</f>
        <v/>
      </c>
      <c r="T691" s="9" t="str">
        <f ca="1">IF($G691="","",INDEX(BASE_PRODUTOS!$D$2:$D$1006,$G691))</f>
        <v/>
      </c>
    </row>
    <row r="692" spans="7:20" ht="18" customHeight="1" x14ac:dyDescent="0.35">
      <c r="G692" t="str">
        <f ca="1">IFERROR(_xludf.aggregate(15,6,(ROW(BASE_PRODUTOS!$L$2:$L$1006)-ROW(BASE_PRODUTOS!$L$2)+1)/(BASE_PRODUTOS!$L$2:$L$1006&gt;0),ROWS($G$10:G692)),"")</f>
        <v/>
      </c>
      <c r="H692" s="9" t="str">
        <f ca="1">IF($G692="","",INDEX(BASE_PRODUTOS!$B$2:$B$1006,$G692))</f>
        <v/>
      </c>
      <c r="I692" s="9" t="str">
        <f ca="1">IF($G692="","",INDEX(BASE_PRODUTOS!$L$2:$L$1006,$G692))</f>
        <v/>
      </c>
      <c r="J692" s="9" t="str">
        <f ca="1">IF($G692="","",INDEX(BASE_PRODUTOS!$A$2:$A$1006,$G692))</f>
        <v/>
      </c>
      <c r="K692" s="9" t="str">
        <f ca="1">IF($G692="","",INDEX(BASE_PRODUTOS!$C$2:$C$1006,$G692))</f>
        <v/>
      </c>
      <c r="L692" s="9" t="str">
        <f ca="1">IF($G692="","",INDEX(BASE_PRODUTOS!$E$2:$E$1006,$G692))</f>
        <v/>
      </c>
      <c r="M692" s="9" t="str">
        <f ca="1">IF($G692="","",INDEX(BASE_PRODUTOS!$F$2:$F$1006,$G692))</f>
        <v/>
      </c>
      <c r="N692" s="9" t="str">
        <f ca="1">IF($G692="","",INDEX(BASE_PRODUTOS!$G$2:$G$1006,$G692))</f>
        <v/>
      </c>
      <c r="O692" s="9" t="str">
        <f ca="1">IF($G692="","",INDEX(BASE_PRODUTOS!$H$2:$H$1006,$G692))</f>
        <v/>
      </c>
      <c r="P692" s="9" t="str">
        <f ca="1">IF($G692="","",INDEX(BASE_PRODUTOS!$I$2:$I$1006,$G692))</f>
        <v/>
      </c>
      <c r="Q692" s="9" t="str">
        <f ca="1">IF($G692="","",INDEX(BASE_PRODUTOS!$J$2:$J$1006,$G692))</f>
        <v/>
      </c>
      <c r="R692" s="9" t="str">
        <f ca="1">IF($G692="","",INDEX(BASE_PRODUTOS!$M$2:$M$1006,$G692))</f>
        <v/>
      </c>
      <c r="S692" s="9" t="str">
        <f ca="1">IF($G692="","",INDEX(BASE_PRODUTOS!$N$2:$N$1006,$G692))</f>
        <v/>
      </c>
      <c r="T692" s="9" t="str">
        <f ca="1">IF($G692="","",INDEX(BASE_PRODUTOS!$D$2:$D$1006,$G692))</f>
        <v/>
      </c>
    </row>
    <row r="693" spans="7:20" ht="18" customHeight="1" x14ac:dyDescent="0.35">
      <c r="G693" t="str">
        <f ca="1">IFERROR(_xludf.aggregate(15,6,(ROW(BASE_PRODUTOS!$L$2:$L$1006)-ROW(BASE_PRODUTOS!$L$2)+1)/(BASE_PRODUTOS!$L$2:$L$1006&gt;0),ROWS($G$10:G693)),"")</f>
        <v/>
      </c>
      <c r="H693" s="9" t="str">
        <f ca="1">IF($G693="","",INDEX(BASE_PRODUTOS!$B$2:$B$1006,$G693))</f>
        <v/>
      </c>
      <c r="I693" s="9" t="str">
        <f ca="1">IF($G693="","",INDEX(BASE_PRODUTOS!$L$2:$L$1006,$G693))</f>
        <v/>
      </c>
      <c r="J693" s="9" t="str">
        <f ca="1">IF($G693="","",INDEX(BASE_PRODUTOS!$A$2:$A$1006,$G693))</f>
        <v/>
      </c>
      <c r="K693" s="9" t="str">
        <f ca="1">IF($G693="","",INDEX(BASE_PRODUTOS!$C$2:$C$1006,$G693))</f>
        <v/>
      </c>
      <c r="L693" s="9" t="str">
        <f ca="1">IF($G693="","",INDEX(BASE_PRODUTOS!$E$2:$E$1006,$G693))</f>
        <v/>
      </c>
      <c r="M693" s="9" t="str">
        <f ca="1">IF($G693="","",INDEX(BASE_PRODUTOS!$F$2:$F$1006,$G693))</f>
        <v/>
      </c>
      <c r="N693" s="9" t="str">
        <f ca="1">IF($G693="","",INDEX(BASE_PRODUTOS!$G$2:$G$1006,$G693))</f>
        <v/>
      </c>
      <c r="O693" s="9" t="str">
        <f ca="1">IF($G693="","",INDEX(BASE_PRODUTOS!$H$2:$H$1006,$G693))</f>
        <v/>
      </c>
      <c r="P693" s="9" t="str">
        <f ca="1">IF($G693="","",INDEX(BASE_PRODUTOS!$I$2:$I$1006,$G693))</f>
        <v/>
      </c>
      <c r="Q693" s="9" t="str">
        <f ca="1">IF($G693="","",INDEX(BASE_PRODUTOS!$J$2:$J$1006,$G693))</f>
        <v/>
      </c>
      <c r="R693" s="9" t="str">
        <f ca="1">IF($G693="","",INDEX(BASE_PRODUTOS!$M$2:$M$1006,$G693))</f>
        <v/>
      </c>
      <c r="S693" s="9" t="str">
        <f ca="1">IF($G693="","",INDEX(BASE_PRODUTOS!$N$2:$N$1006,$G693))</f>
        <v/>
      </c>
      <c r="T693" s="9" t="str">
        <f ca="1">IF($G693="","",INDEX(BASE_PRODUTOS!$D$2:$D$1006,$G693))</f>
        <v/>
      </c>
    </row>
    <row r="694" spans="7:20" ht="18" customHeight="1" x14ac:dyDescent="0.35">
      <c r="G694" t="str">
        <f ca="1">IFERROR(_xludf.aggregate(15,6,(ROW(BASE_PRODUTOS!$L$2:$L$1006)-ROW(BASE_PRODUTOS!$L$2)+1)/(BASE_PRODUTOS!$L$2:$L$1006&gt;0),ROWS($G$10:G694)),"")</f>
        <v/>
      </c>
      <c r="H694" s="9" t="str">
        <f ca="1">IF($G694="","",INDEX(BASE_PRODUTOS!$B$2:$B$1006,$G694))</f>
        <v/>
      </c>
      <c r="I694" s="9" t="str">
        <f ca="1">IF($G694="","",INDEX(BASE_PRODUTOS!$L$2:$L$1006,$G694))</f>
        <v/>
      </c>
      <c r="J694" s="9" t="str">
        <f ca="1">IF($G694="","",INDEX(BASE_PRODUTOS!$A$2:$A$1006,$G694))</f>
        <v/>
      </c>
      <c r="K694" s="9" t="str">
        <f ca="1">IF($G694="","",INDEX(BASE_PRODUTOS!$C$2:$C$1006,$G694))</f>
        <v/>
      </c>
      <c r="L694" s="9" t="str">
        <f ca="1">IF($G694="","",INDEX(BASE_PRODUTOS!$E$2:$E$1006,$G694))</f>
        <v/>
      </c>
      <c r="M694" s="9" t="str">
        <f ca="1">IF($G694="","",INDEX(BASE_PRODUTOS!$F$2:$F$1006,$G694))</f>
        <v/>
      </c>
      <c r="N694" s="9" t="str">
        <f ca="1">IF($G694="","",INDEX(BASE_PRODUTOS!$G$2:$G$1006,$G694))</f>
        <v/>
      </c>
      <c r="O694" s="9" t="str">
        <f ca="1">IF($G694="","",INDEX(BASE_PRODUTOS!$H$2:$H$1006,$G694))</f>
        <v/>
      </c>
      <c r="P694" s="9" t="str">
        <f ca="1">IF($G694="","",INDEX(BASE_PRODUTOS!$I$2:$I$1006,$G694))</f>
        <v/>
      </c>
      <c r="Q694" s="9" t="str">
        <f ca="1">IF($G694="","",INDEX(BASE_PRODUTOS!$J$2:$J$1006,$G694))</f>
        <v/>
      </c>
      <c r="R694" s="9" t="str">
        <f ca="1">IF($G694="","",INDEX(BASE_PRODUTOS!$M$2:$M$1006,$G694))</f>
        <v/>
      </c>
      <c r="S694" s="9" t="str">
        <f ca="1">IF($G694="","",INDEX(BASE_PRODUTOS!$N$2:$N$1006,$G694))</f>
        <v/>
      </c>
      <c r="T694" s="9" t="str">
        <f ca="1">IF($G694="","",INDEX(BASE_PRODUTOS!$D$2:$D$1006,$G694))</f>
        <v/>
      </c>
    </row>
    <row r="695" spans="7:20" ht="18" customHeight="1" x14ac:dyDescent="0.35">
      <c r="G695" t="str">
        <f ca="1">IFERROR(_xludf.aggregate(15,6,(ROW(BASE_PRODUTOS!$L$2:$L$1006)-ROW(BASE_PRODUTOS!$L$2)+1)/(BASE_PRODUTOS!$L$2:$L$1006&gt;0),ROWS($G$10:G695)),"")</f>
        <v/>
      </c>
      <c r="H695" s="9" t="str">
        <f ca="1">IF($G695="","",INDEX(BASE_PRODUTOS!$B$2:$B$1006,$G695))</f>
        <v/>
      </c>
      <c r="I695" s="9" t="str">
        <f ca="1">IF($G695="","",INDEX(BASE_PRODUTOS!$L$2:$L$1006,$G695))</f>
        <v/>
      </c>
      <c r="J695" s="9" t="str">
        <f ca="1">IF($G695="","",INDEX(BASE_PRODUTOS!$A$2:$A$1006,$G695))</f>
        <v/>
      </c>
      <c r="K695" s="9" t="str">
        <f ca="1">IF($G695="","",INDEX(BASE_PRODUTOS!$C$2:$C$1006,$G695))</f>
        <v/>
      </c>
      <c r="L695" s="9" t="str">
        <f ca="1">IF($G695="","",INDEX(BASE_PRODUTOS!$E$2:$E$1006,$G695))</f>
        <v/>
      </c>
      <c r="M695" s="9" t="str">
        <f ca="1">IF($G695="","",INDEX(BASE_PRODUTOS!$F$2:$F$1006,$G695))</f>
        <v/>
      </c>
      <c r="N695" s="9" t="str">
        <f ca="1">IF($G695="","",INDEX(BASE_PRODUTOS!$G$2:$G$1006,$G695))</f>
        <v/>
      </c>
      <c r="O695" s="9" t="str">
        <f ca="1">IF($G695="","",INDEX(BASE_PRODUTOS!$H$2:$H$1006,$G695))</f>
        <v/>
      </c>
      <c r="P695" s="9" t="str">
        <f ca="1">IF($G695="","",INDEX(BASE_PRODUTOS!$I$2:$I$1006,$G695))</f>
        <v/>
      </c>
      <c r="Q695" s="9" t="str">
        <f ca="1">IF($G695="","",INDEX(BASE_PRODUTOS!$J$2:$J$1006,$G695))</f>
        <v/>
      </c>
      <c r="R695" s="9" t="str">
        <f ca="1">IF($G695="","",INDEX(BASE_PRODUTOS!$M$2:$M$1006,$G695))</f>
        <v/>
      </c>
      <c r="S695" s="9" t="str">
        <f ca="1">IF($G695="","",INDEX(BASE_PRODUTOS!$N$2:$N$1006,$G695))</f>
        <v/>
      </c>
      <c r="T695" s="9" t="str">
        <f ca="1">IF($G695="","",INDEX(BASE_PRODUTOS!$D$2:$D$1006,$G695))</f>
        <v/>
      </c>
    </row>
    <row r="696" spans="7:20" ht="18" customHeight="1" x14ac:dyDescent="0.35">
      <c r="G696" t="str">
        <f ca="1">IFERROR(_xludf.aggregate(15,6,(ROW(BASE_PRODUTOS!$L$2:$L$1006)-ROW(BASE_PRODUTOS!$L$2)+1)/(BASE_PRODUTOS!$L$2:$L$1006&gt;0),ROWS($G$10:G696)),"")</f>
        <v/>
      </c>
      <c r="H696" s="9" t="str">
        <f ca="1">IF($G696="","",INDEX(BASE_PRODUTOS!$B$2:$B$1006,$G696))</f>
        <v/>
      </c>
      <c r="I696" s="9" t="str">
        <f ca="1">IF($G696="","",INDEX(BASE_PRODUTOS!$L$2:$L$1006,$G696))</f>
        <v/>
      </c>
      <c r="J696" s="9" t="str">
        <f ca="1">IF($G696="","",INDEX(BASE_PRODUTOS!$A$2:$A$1006,$G696))</f>
        <v/>
      </c>
      <c r="K696" s="9" t="str">
        <f ca="1">IF($G696="","",INDEX(BASE_PRODUTOS!$C$2:$C$1006,$G696))</f>
        <v/>
      </c>
      <c r="L696" s="9" t="str">
        <f ca="1">IF($G696="","",INDEX(BASE_PRODUTOS!$E$2:$E$1006,$G696))</f>
        <v/>
      </c>
      <c r="M696" s="9" t="str">
        <f ca="1">IF($G696="","",INDEX(BASE_PRODUTOS!$F$2:$F$1006,$G696))</f>
        <v/>
      </c>
      <c r="N696" s="9" t="str">
        <f ca="1">IF($G696="","",INDEX(BASE_PRODUTOS!$G$2:$G$1006,$G696))</f>
        <v/>
      </c>
      <c r="O696" s="9" t="str">
        <f ca="1">IF($G696="","",INDEX(BASE_PRODUTOS!$H$2:$H$1006,$G696))</f>
        <v/>
      </c>
      <c r="P696" s="9" t="str">
        <f ca="1">IF($G696="","",INDEX(BASE_PRODUTOS!$I$2:$I$1006,$G696))</f>
        <v/>
      </c>
      <c r="Q696" s="9" t="str">
        <f ca="1">IF($G696="","",INDEX(BASE_PRODUTOS!$J$2:$J$1006,$G696))</f>
        <v/>
      </c>
      <c r="R696" s="9" t="str">
        <f ca="1">IF($G696="","",INDEX(BASE_PRODUTOS!$M$2:$M$1006,$G696))</f>
        <v/>
      </c>
      <c r="S696" s="9" t="str">
        <f ca="1">IF($G696="","",INDEX(BASE_PRODUTOS!$N$2:$N$1006,$G696))</f>
        <v/>
      </c>
      <c r="T696" s="9" t="str">
        <f ca="1">IF($G696="","",INDEX(BASE_PRODUTOS!$D$2:$D$1006,$G696))</f>
        <v/>
      </c>
    </row>
    <row r="697" spans="7:20" ht="18" customHeight="1" x14ac:dyDescent="0.35">
      <c r="G697" t="str">
        <f ca="1">IFERROR(_xludf.aggregate(15,6,(ROW(BASE_PRODUTOS!$L$2:$L$1006)-ROW(BASE_PRODUTOS!$L$2)+1)/(BASE_PRODUTOS!$L$2:$L$1006&gt;0),ROWS($G$10:G697)),"")</f>
        <v/>
      </c>
      <c r="H697" s="9" t="str">
        <f ca="1">IF($G697="","",INDEX(BASE_PRODUTOS!$B$2:$B$1006,$G697))</f>
        <v/>
      </c>
      <c r="I697" s="9" t="str">
        <f ca="1">IF($G697="","",INDEX(BASE_PRODUTOS!$L$2:$L$1006,$G697))</f>
        <v/>
      </c>
      <c r="J697" s="9" t="str">
        <f ca="1">IF($G697="","",INDEX(BASE_PRODUTOS!$A$2:$A$1006,$G697))</f>
        <v/>
      </c>
      <c r="K697" s="9" t="str">
        <f ca="1">IF($G697="","",INDEX(BASE_PRODUTOS!$C$2:$C$1006,$G697))</f>
        <v/>
      </c>
      <c r="L697" s="9" t="str">
        <f ca="1">IF($G697="","",INDEX(BASE_PRODUTOS!$E$2:$E$1006,$G697))</f>
        <v/>
      </c>
      <c r="M697" s="9" t="str">
        <f ca="1">IF($G697="","",INDEX(BASE_PRODUTOS!$F$2:$F$1006,$G697))</f>
        <v/>
      </c>
      <c r="N697" s="9" t="str">
        <f ca="1">IF($G697="","",INDEX(BASE_PRODUTOS!$G$2:$G$1006,$G697))</f>
        <v/>
      </c>
      <c r="O697" s="9" t="str">
        <f ca="1">IF($G697="","",INDEX(BASE_PRODUTOS!$H$2:$H$1006,$G697))</f>
        <v/>
      </c>
      <c r="P697" s="9" t="str">
        <f ca="1">IF($G697="","",INDEX(BASE_PRODUTOS!$I$2:$I$1006,$G697))</f>
        <v/>
      </c>
      <c r="Q697" s="9" t="str">
        <f ca="1">IF($G697="","",INDEX(BASE_PRODUTOS!$J$2:$J$1006,$G697))</f>
        <v/>
      </c>
      <c r="R697" s="9" t="str">
        <f ca="1">IF($G697="","",INDEX(BASE_PRODUTOS!$M$2:$M$1006,$G697))</f>
        <v/>
      </c>
      <c r="S697" s="9" t="str">
        <f ca="1">IF($G697="","",INDEX(BASE_PRODUTOS!$N$2:$N$1006,$G697))</f>
        <v/>
      </c>
      <c r="T697" s="9" t="str">
        <f ca="1">IF($G697="","",INDEX(BASE_PRODUTOS!$D$2:$D$1006,$G697))</f>
        <v/>
      </c>
    </row>
    <row r="698" spans="7:20" ht="18" customHeight="1" x14ac:dyDescent="0.35">
      <c r="G698" t="str">
        <f ca="1">IFERROR(_xludf.aggregate(15,6,(ROW(BASE_PRODUTOS!$L$2:$L$1006)-ROW(BASE_PRODUTOS!$L$2)+1)/(BASE_PRODUTOS!$L$2:$L$1006&gt;0),ROWS($G$10:G698)),"")</f>
        <v/>
      </c>
      <c r="H698" s="9" t="str">
        <f ca="1">IF($G698="","",INDEX(BASE_PRODUTOS!$B$2:$B$1006,$G698))</f>
        <v/>
      </c>
      <c r="I698" s="9" t="str">
        <f ca="1">IF($G698="","",INDEX(BASE_PRODUTOS!$L$2:$L$1006,$G698))</f>
        <v/>
      </c>
      <c r="J698" s="9" t="str">
        <f ca="1">IF($G698="","",INDEX(BASE_PRODUTOS!$A$2:$A$1006,$G698))</f>
        <v/>
      </c>
      <c r="K698" s="9" t="str">
        <f ca="1">IF($G698="","",INDEX(BASE_PRODUTOS!$C$2:$C$1006,$G698))</f>
        <v/>
      </c>
      <c r="L698" s="9" t="str">
        <f ca="1">IF($G698="","",INDEX(BASE_PRODUTOS!$E$2:$E$1006,$G698))</f>
        <v/>
      </c>
      <c r="M698" s="9" t="str">
        <f ca="1">IF($G698="","",INDEX(BASE_PRODUTOS!$F$2:$F$1006,$G698))</f>
        <v/>
      </c>
      <c r="N698" s="9" t="str">
        <f ca="1">IF($G698="","",INDEX(BASE_PRODUTOS!$G$2:$G$1006,$G698))</f>
        <v/>
      </c>
      <c r="O698" s="9" t="str">
        <f ca="1">IF($G698="","",INDEX(BASE_PRODUTOS!$H$2:$H$1006,$G698))</f>
        <v/>
      </c>
      <c r="P698" s="9" t="str">
        <f ca="1">IF($G698="","",INDEX(BASE_PRODUTOS!$I$2:$I$1006,$G698))</f>
        <v/>
      </c>
      <c r="Q698" s="9" t="str">
        <f ca="1">IF($G698="","",INDEX(BASE_PRODUTOS!$J$2:$J$1006,$G698))</f>
        <v/>
      </c>
      <c r="R698" s="9" t="str">
        <f ca="1">IF($G698="","",INDEX(BASE_PRODUTOS!$M$2:$M$1006,$G698))</f>
        <v/>
      </c>
      <c r="S698" s="9" t="str">
        <f ca="1">IF($G698="","",INDEX(BASE_PRODUTOS!$N$2:$N$1006,$G698))</f>
        <v/>
      </c>
      <c r="T698" s="9" t="str">
        <f ca="1">IF($G698="","",INDEX(BASE_PRODUTOS!$D$2:$D$1006,$G698))</f>
        <v/>
      </c>
    </row>
    <row r="699" spans="7:20" ht="18" customHeight="1" x14ac:dyDescent="0.35">
      <c r="G699" t="str">
        <f ca="1">IFERROR(_xludf.aggregate(15,6,(ROW(BASE_PRODUTOS!$L$2:$L$1006)-ROW(BASE_PRODUTOS!$L$2)+1)/(BASE_PRODUTOS!$L$2:$L$1006&gt;0),ROWS($G$10:G699)),"")</f>
        <v/>
      </c>
      <c r="H699" s="9" t="str">
        <f ca="1">IF($G699="","",INDEX(BASE_PRODUTOS!$B$2:$B$1006,$G699))</f>
        <v/>
      </c>
      <c r="I699" s="9" t="str">
        <f ca="1">IF($G699="","",INDEX(BASE_PRODUTOS!$L$2:$L$1006,$G699))</f>
        <v/>
      </c>
      <c r="J699" s="9" t="str">
        <f ca="1">IF($G699="","",INDEX(BASE_PRODUTOS!$A$2:$A$1006,$G699))</f>
        <v/>
      </c>
      <c r="K699" s="9" t="str">
        <f ca="1">IF($G699="","",INDEX(BASE_PRODUTOS!$C$2:$C$1006,$G699))</f>
        <v/>
      </c>
      <c r="L699" s="9" t="str">
        <f ca="1">IF($G699="","",INDEX(BASE_PRODUTOS!$E$2:$E$1006,$G699))</f>
        <v/>
      </c>
      <c r="M699" s="9" t="str">
        <f ca="1">IF($G699="","",INDEX(BASE_PRODUTOS!$F$2:$F$1006,$G699))</f>
        <v/>
      </c>
      <c r="N699" s="9" t="str">
        <f ca="1">IF($G699="","",INDEX(BASE_PRODUTOS!$G$2:$G$1006,$G699))</f>
        <v/>
      </c>
      <c r="O699" s="9" t="str">
        <f ca="1">IF($G699="","",INDEX(BASE_PRODUTOS!$H$2:$H$1006,$G699))</f>
        <v/>
      </c>
      <c r="P699" s="9" t="str">
        <f ca="1">IF($G699="","",INDEX(BASE_PRODUTOS!$I$2:$I$1006,$G699))</f>
        <v/>
      </c>
      <c r="Q699" s="9" t="str">
        <f ca="1">IF($G699="","",INDEX(BASE_PRODUTOS!$J$2:$J$1006,$G699))</f>
        <v/>
      </c>
      <c r="R699" s="9" t="str">
        <f ca="1">IF($G699="","",INDEX(BASE_PRODUTOS!$M$2:$M$1006,$G699))</f>
        <v/>
      </c>
      <c r="S699" s="9" t="str">
        <f ca="1">IF($G699="","",INDEX(BASE_PRODUTOS!$N$2:$N$1006,$G699))</f>
        <v/>
      </c>
      <c r="T699" s="9" t="str">
        <f ca="1">IF($G699="","",INDEX(BASE_PRODUTOS!$D$2:$D$1006,$G699))</f>
        <v/>
      </c>
    </row>
    <row r="700" spans="7:20" ht="18" customHeight="1" x14ac:dyDescent="0.35">
      <c r="G700" t="str">
        <f ca="1">IFERROR(_xludf.aggregate(15,6,(ROW(BASE_PRODUTOS!$L$2:$L$1006)-ROW(BASE_PRODUTOS!$L$2)+1)/(BASE_PRODUTOS!$L$2:$L$1006&gt;0),ROWS($G$10:G700)),"")</f>
        <v/>
      </c>
      <c r="H700" s="9" t="str">
        <f ca="1">IF($G700="","",INDEX(BASE_PRODUTOS!$B$2:$B$1006,$G700))</f>
        <v/>
      </c>
      <c r="I700" s="9" t="str">
        <f ca="1">IF($G700="","",INDEX(BASE_PRODUTOS!$L$2:$L$1006,$G700))</f>
        <v/>
      </c>
      <c r="J700" s="9" t="str">
        <f ca="1">IF($G700="","",INDEX(BASE_PRODUTOS!$A$2:$A$1006,$G700))</f>
        <v/>
      </c>
      <c r="K700" s="9" t="str">
        <f ca="1">IF($G700="","",INDEX(BASE_PRODUTOS!$C$2:$C$1006,$G700))</f>
        <v/>
      </c>
      <c r="L700" s="9" t="str">
        <f ca="1">IF($G700="","",INDEX(BASE_PRODUTOS!$E$2:$E$1006,$G700))</f>
        <v/>
      </c>
      <c r="M700" s="9" t="str">
        <f ca="1">IF($G700="","",INDEX(BASE_PRODUTOS!$F$2:$F$1006,$G700))</f>
        <v/>
      </c>
      <c r="N700" s="9" t="str">
        <f ca="1">IF($G700="","",INDEX(BASE_PRODUTOS!$G$2:$G$1006,$G700))</f>
        <v/>
      </c>
      <c r="O700" s="9" t="str">
        <f ca="1">IF($G700="","",INDEX(BASE_PRODUTOS!$H$2:$H$1006,$G700))</f>
        <v/>
      </c>
      <c r="P700" s="9" t="str">
        <f ca="1">IF($G700="","",INDEX(BASE_PRODUTOS!$I$2:$I$1006,$G700))</f>
        <v/>
      </c>
      <c r="Q700" s="9" t="str">
        <f ca="1">IF($G700="","",INDEX(BASE_PRODUTOS!$J$2:$J$1006,$G700))</f>
        <v/>
      </c>
      <c r="R700" s="9" t="str">
        <f ca="1">IF($G700="","",INDEX(BASE_PRODUTOS!$M$2:$M$1006,$G700))</f>
        <v/>
      </c>
      <c r="S700" s="9" t="str">
        <f ca="1">IF($G700="","",INDEX(BASE_PRODUTOS!$N$2:$N$1006,$G700))</f>
        <v/>
      </c>
      <c r="T700" s="9" t="str">
        <f ca="1">IF($G700="","",INDEX(BASE_PRODUTOS!$D$2:$D$1006,$G700))</f>
        <v/>
      </c>
    </row>
    <row r="701" spans="7:20" ht="18" customHeight="1" x14ac:dyDescent="0.35">
      <c r="G701" t="str">
        <f ca="1">IFERROR(_xludf.aggregate(15,6,(ROW(BASE_PRODUTOS!$L$2:$L$1006)-ROW(BASE_PRODUTOS!$L$2)+1)/(BASE_PRODUTOS!$L$2:$L$1006&gt;0),ROWS($G$10:G701)),"")</f>
        <v/>
      </c>
      <c r="H701" s="9" t="str">
        <f ca="1">IF($G701="","",INDEX(BASE_PRODUTOS!$B$2:$B$1006,$G701))</f>
        <v/>
      </c>
      <c r="I701" s="9" t="str">
        <f ca="1">IF($G701="","",INDEX(BASE_PRODUTOS!$L$2:$L$1006,$G701))</f>
        <v/>
      </c>
      <c r="J701" s="9" t="str">
        <f ca="1">IF($G701="","",INDEX(BASE_PRODUTOS!$A$2:$A$1006,$G701))</f>
        <v/>
      </c>
      <c r="K701" s="9" t="str">
        <f ca="1">IF($G701="","",INDEX(BASE_PRODUTOS!$C$2:$C$1006,$G701))</f>
        <v/>
      </c>
      <c r="L701" s="9" t="str">
        <f ca="1">IF($G701="","",INDEX(BASE_PRODUTOS!$E$2:$E$1006,$G701))</f>
        <v/>
      </c>
      <c r="M701" s="9" t="str">
        <f ca="1">IF($G701="","",INDEX(BASE_PRODUTOS!$F$2:$F$1006,$G701))</f>
        <v/>
      </c>
      <c r="N701" s="9" t="str">
        <f ca="1">IF($G701="","",INDEX(BASE_PRODUTOS!$G$2:$G$1006,$G701))</f>
        <v/>
      </c>
      <c r="O701" s="9" t="str">
        <f ca="1">IF($G701="","",INDEX(BASE_PRODUTOS!$H$2:$H$1006,$G701))</f>
        <v/>
      </c>
      <c r="P701" s="9" t="str">
        <f ca="1">IF($G701="","",INDEX(BASE_PRODUTOS!$I$2:$I$1006,$G701))</f>
        <v/>
      </c>
      <c r="Q701" s="9" t="str">
        <f ca="1">IF($G701="","",INDEX(BASE_PRODUTOS!$J$2:$J$1006,$G701))</f>
        <v/>
      </c>
      <c r="R701" s="9" t="str">
        <f ca="1">IF($G701="","",INDEX(BASE_PRODUTOS!$M$2:$M$1006,$G701))</f>
        <v/>
      </c>
      <c r="S701" s="9" t="str">
        <f ca="1">IF($G701="","",INDEX(BASE_PRODUTOS!$N$2:$N$1006,$G701))</f>
        <v/>
      </c>
      <c r="T701" s="9" t="str">
        <f ca="1">IF($G701="","",INDEX(BASE_PRODUTOS!$D$2:$D$1006,$G701))</f>
        <v/>
      </c>
    </row>
    <row r="702" spans="7:20" ht="18" customHeight="1" x14ac:dyDescent="0.35">
      <c r="G702" t="str">
        <f ca="1">IFERROR(_xludf.aggregate(15,6,(ROW(BASE_PRODUTOS!$L$2:$L$1006)-ROW(BASE_PRODUTOS!$L$2)+1)/(BASE_PRODUTOS!$L$2:$L$1006&gt;0),ROWS($G$10:G702)),"")</f>
        <v/>
      </c>
      <c r="H702" s="9" t="str">
        <f ca="1">IF($G702="","",INDEX(BASE_PRODUTOS!$B$2:$B$1006,$G702))</f>
        <v/>
      </c>
      <c r="I702" s="9" t="str">
        <f ca="1">IF($G702="","",INDEX(BASE_PRODUTOS!$L$2:$L$1006,$G702))</f>
        <v/>
      </c>
      <c r="J702" s="9" t="str">
        <f ca="1">IF($G702="","",INDEX(BASE_PRODUTOS!$A$2:$A$1006,$G702))</f>
        <v/>
      </c>
      <c r="K702" s="9" t="str">
        <f ca="1">IF($G702="","",INDEX(BASE_PRODUTOS!$C$2:$C$1006,$G702))</f>
        <v/>
      </c>
      <c r="L702" s="9" t="str">
        <f ca="1">IF($G702="","",INDEX(BASE_PRODUTOS!$E$2:$E$1006,$G702))</f>
        <v/>
      </c>
      <c r="M702" s="9" t="str">
        <f ca="1">IF($G702="","",INDEX(BASE_PRODUTOS!$F$2:$F$1006,$G702))</f>
        <v/>
      </c>
      <c r="N702" s="9" t="str">
        <f ca="1">IF($G702="","",INDEX(BASE_PRODUTOS!$G$2:$G$1006,$G702))</f>
        <v/>
      </c>
      <c r="O702" s="9" t="str">
        <f ca="1">IF($G702="","",INDEX(BASE_PRODUTOS!$H$2:$H$1006,$G702))</f>
        <v/>
      </c>
      <c r="P702" s="9" t="str">
        <f ca="1">IF($G702="","",INDEX(BASE_PRODUTOS!$I$2:$I$1006,$G702))</f>
        <v/>
      </c>
      <c r="Q702" s="9" t="str">
        <f ca="1">IF($G702="","",INDEX(BASE_PRODUTOS!$J$2:$J$1006,$G702))</f>
        <v/>
      </c>
      <c r="R702" s="9" t="str">
        <f ca="1">IF($G702="","",INDEX(BASE_PRODUTOS!$M$2:$M$1006,$G702))</f>
        <v/>
      </c>
      <c r="S702" s="9" t="str">
        <f ca="1">IF($G702="","",INDEX(BASE_PRODUTOS!$N$2:$N$1006,$G702))</f>
        <v/>
      </c>
      <c r="T702" s="9" t="str">
        <f ca="1">IF($G702="","",INDEX(BASE_PRODUTOS!$D$2:$D$1006,$G702))</f>
        <v/>
      </c>
    </row>
    <row r="703" spans="7:20" ht="18" customHeight="1" x14ac:dyDescent="0.35">
      <c r="G703" t="str">
        <f ca="1">IFERROR(_xludf.aggregate(15,6,(ROW(BASE_PRODUTOS!$L$2:$L$1006)-ROW(BASE_PRODUTOS!$L$2)+1)/(BASE_PRODUTOS!$L$2:$L$1006&gt;0),ROWS($G$10:G703)),"")</f>
        <v/>
      </c>
      <c r="H703" s="9" t="str">
        <f ca="1">IF($G703="","",INDEX(BASE_PRODUTOS!$B$2:$B$1006,$G703))</f>
        <v/>
      </c>
      <c r="I703" s="9" t="str">
        <f ca="1">IF($G703="","",INDEX(BASE_PRODUTOS!$L$2:$L$1006,$G703))</f>
        <v/>
      </c>
      <c r="J703" s="9" t="str">
        <f ca="1">IF($G703="","",INDEX(BASE_PRODUTOS!$A$2:$A$1006,$G703))</f>
        <v/>
      </c>
      <c r="K703" s="9" t="str">
        <f ca="1">IF($G703="","",INDEX(BASE_PRODUTOS!$C$2:$C$1006,$G703))</f>
        <v/>
      </c>
      <c r="L703" s="9" t="str">
        <f ca="1">IF($G703="","",INDEX(BASE_PRODUTOS!$E$2:$E$1006,$G703))</f>
        <v/>
      </c>
      <c r="M703" s="9" t="str">
        <f ca="1">IF($G703="","",INDEX(BASE_PRODUTOS!$F$2:$F$1006,$G703))</f>
        <v/>
      </c>
      <c r="N703" s="9" t="str">
        <f ca="1">IF($G703="","",INDEX(BASE_PRODUTOS!$G$2:$G$1006,$G703))</f>
        <v/>
      </c>
      <c r="O703" s="9" t="str">
        <f ca="1">IF($G703="","",INDEX(BASE_PRODUTOS!$H$2:$H$1006,$G703))</f>
        <v/>
      </c>
      <c r="P703" s="9" t="str">
        <f ca="1">IF($G703="","",INDEX(BASE_PRODUTOS!$I$2:$I$1006,$G703))</f>
        <v/>
      </c>
      <c r="Q703" s="9" t="str">
        <f ca="1">IF($G703="","",INDEX(BASE_PRODUTOS!$J$2:$J$1006,$G703))</f>
        <v/>
      </c>
      <c r="R703" s="9" t="str">
        <f ca="1">IF($G703="","",INDEX(BASE_PRODUTOS!$M$2:$M$1006,$G703))</f>
        <v/>
      </c>
      <c r="S703" s="9" t="str">
        <f ca="1">IF($G703="","",INDEX(BASE_PRODUTOS!$N$2:$N$1006,$G703))</f>
        <v/>
      </c>
      <c r="T703" s="9" t="str">
        <f ca="1">IF($G703="","",INDEX(BASE_PRODUTOS!$D$2:$D$1006,$G703))</f>
        <v/>
      </c>
    </row>
    <row r="704" spans="7:20" ht="18" customHeight="1" x14ac:dyDescent="0.35">
      <c r="G704" t="str">
        <f ca="1">IFERROR(_xludf.aggregate(15,6,(ROW(BASE_PRODUTOS!$L$2:$L$1006)-ROW(BASE_PRODUTOS!$L$2)+1)/(BASE_PRODUTOS!$L$2:$L$1006&gt;0),ROWS($G$10:G704)),"")</f>
        <v/>
      </c>
      <c r="H704" s="9" t="str">
        <f ca="1">IF($G704="","",INDEX(BASE_PRODUTOS!$B$2:$B$1006,$G704))</f>
        <v/>
      </c>
      <c r="I704" s="9" t="str">
        <f ca="1">IF($G704="","",INDEX(BASE_PRODUTOS!$L$2:$L$1006,$G704))</f>
        <v/>
      </c>
      <c r="J704" s="9" t="str">
        <f ca="1">IF($G704="","",INDEX(BASE_PRODUTOS!$A$2:$A$1006,$G704))</f>
        <v/>
      </c>
      <c r="K704" s="9" t="str">
        <f ca="1">IF($G704="","",INDEX(BASE_PRODUTOS!$C$2:$C$1006,$G704))</f>
        <v/>
      </c>
      <c r="L704" s="9" t="str">
        <f ca="1">IF($G704="","",INDEX(BASE_PRODUTOS!$E$2:$E$1006,$G704))</f>
        <v/>
      </c>
      <c r="M704" s="9" t="str">
        <f ca="1">IF($G704="","",INDEX(BASE_PRODUTOS!$F$2:$F$1006,$G704))</f>
        <v/>
      </c>
      <c r="N704" s="9" t="str">
        <f ca="1">IF($G704="","",INDEX(BASE_PRODUTOS!$G$2:$G$1006,$G704))</f>
        <v/>
      </c>
      <c r="O704" s="9" t="str">
        <f ca="1">IF($G704="","",INDEX(BASE_PRODUTOS!$H$2:$H$1006,$G704))</f>
        <v/>
      </c>
      <c r="P704" s="9" t="str">
        <f ca="1">IF($G704="","",INDEX(BASE_PRODUTOS!$I$2:$I$1006,$G704))</f>
        <v/>
      </c>
      <c r="Q704" s="9" t="str">
        <f ca="1">IF($G704="","",INDEX(BASE_PRODUTOS!$J$2:$J$1006,$G704))</f>
        <v/>
      </c>
      <c r="R704" s="9" t="str">
        <f ca="1">IF($G704="","",INDEX(BASE_PRODUTOS!$M$2:$M$1006,$G704))</f>
        <v/>
      </c>
      <c r="S704" s="9" t="str">
        <f ca="1">IF($G704="","",INDEX(BASE_PRODUTOS!$N$2:$N$1006,$G704))</f>
        <v/>
      </c>
      <c r="T704" s="9" t="str">
        <f ca="1">IF($G704="","",INDEX(BASE_PRODUTOS!$D$2:$D$1006,$G704))</f>
        <v/>
      </c>
    </row>
    <row r="705" spans="7:20" ht="18" customHeight="1" x14ac:dyDescent="0.35">
      <c r="G705" t="str">
        <f ca="1">IFERROR(_xludf.aggregate(15,6,(ROW(BASE_PRODUTOS!$L$2:$L$1006)-ROW(BASE_PRODUTOS!$L$2)+1)/(BASE_PRODUTOS!$L$2:$L$1006&gt;0),ROWS($G$10:G705)),"")</f>
        <v/>
      </c>
      <c r="H705" s="9" t="str">
        <f ca="1">IF($G705="","",INDEX(BASE_PRODUTOS!$B$2:$B$1006,$G705))</f>
        <v/>
      </c>
      <c r="I705" s="9" t="str">
        <f ca="1">IF($G705="","",INDEX(BASE_PRODUTOS!$L$2:$L$1006,$G705))</f>
        <v/>
      </c>
      <c r="J705" s="9" t="str">
        <f ca="1">IF($G705="","",INDEX(BASE_PRODUTOS!$A$2:$A$1006,$G705))</f>
        <v/>
      </c>
      <c r="K705" s="9" t="str">
        <f ca="1">IF($G705="","",INDEX(BASE_PRODUTOS!$C$2:$C$1006,$G705))</f>
        <v/>
      </c>
      <c r="L705" s="9" t="str">
        <f ca="1">IF($G705="","",INDEX(BASE_PRODUTOS!$E$2:$E$1006,$G705))</f>
        <v/>
      </c>
      <c r="M705" s="9" t="str">
        <f ca="1">IF($G705="","",INDEX(BASE_PRODUTOS!$F$2:$F$1006,$G705))</f>
        <v/>
      </c>
      <c r="N705" s="9" t="str">
        <f ca="1">IF($G705="","",INDEX(BASE_PRODUTOS!$G$2:$G$1006,$G705))</f>
        <v/>
      </c>
      <c r="O705" s="9" t="str">
        <f ca="1">IF($G705="","",INDEX(BASE_PRODUTOS!$H$2:$H$1006,$G705))</f>
        <v/>
      </c>
      <c r="P705" s="9" t="str">
        <f ca="1">IF($G705="","",INDEX(BASE_PRODUTOS!$I$2:$I$1006,$G705))</f>
        <v/>
      </c>
      <c r="Q705" s="9" t="str">
        <f ca="1">IF($G705="","",INDEX(BASE_PRODUTOS!$J$2:$J$1006,$G705))</f>
        <v/>
      </c>
      <c r="R705" s="9" t="str">
        <f ca="1">IF($G705="","",INDEX(BASE_PRODUTOS!$M$2:$M$1006,$G705))</f>
        <v/>
      </c>
      <c r="S705" s="9" t="str">
        <f ca="1">IF($G705="","",INDEX(BASE_PRODUTOS!$N$2:$N$1006,$G705))</f>
        <v/>
      </c>
      <c r="T705" s="9" t="str">
        <f ca="1">IF($G705="","",INDEX(BASE_PRODUTOS!$D$2:$D$1006,$G705))</f>
        <v/>
      </c>
    </row>
    <row r="706" spans="7:20" ht="18" customHeight="1" x14ac:dyDescent="0.35">
      <c r="G706" t="str">
        <f ca="1">IFERROR(_xludf.aggregate(15,6,(ROW(BASE_PRODUTOS!$L$2:$L$1006)-ROW(BASE_PRODUTOS!$L$2)+1)/(BASE_PRODUTOS!$L$2:$L$1006&gt;0),ROWS($G$10:G706)),"")</f>
        <v/>
      </c>
      <c r="H706" s="9" t="str">
        <f ca="1">IF($G706="","",INDEX(BASE_PRODUTOS!$B$2:$B$1006,$G706))</f>
        <v/>
      </c>
      <c r="I706" s="9" t="str">
        <f ca="1">IF($G706="","",INDEX(BASE_PRODUTOS!$L$2:$L$1006,$G706))</f>
        <v/>
      </c>
      <c r="J706" s="9" t="str">
        <f ca="1">IF($G706="","",INDEX(BASE_PRODUTOS!$A$2:$A$1006,$G706))</f>
        <v/>
      </c>
      <c r="K706" s="9" t="str">
        <f ca="1">IF($G706="","",INDEX(BASE_PRODUTOS!$C$2:$C$1006,$G706))</f>
        <v/>
      </c>
      <c r="L706" s="9" t="str">
        <f ca="1">IF($G706="","",INDEX(BASE_PRODUTOS!$E$2:$E$1006,$G706))</f>
        <v/>
      </c>
      <c r="M706" s="9" t="str">
        <f ca="1">IF($G706="","",INDEX(BASE_PRODUTOS!$F$2:$F$1006,$G706))</f>
        <v/>
      </c>
      <c r="N706" s="9" t="str">
        <f ca="1">IF($G706="","",INDEX(BASE_PRODUTOS!$G$2:$G$1006,$G706))</f>
        <v/>
      </c>
      <c r="O706" s="9" t="str">
        <f ca="1">IF($G706="","",INDEX(BASE_PRODUTOS!$H$2:$H$1006,$G706))</f>
        <v/>
      </c>
      <c r="P706" s="9" t="str">
        <f ca="1">IF($G706="","",INDEX(BASE_PRODUTOS!$I$2:$I$1006,$G706))</f>
        <v/>
      </c>
      <c r="Q706" s="9" t="str">
        <f ca="1">IF($G706="","",INDEX(BASE_PRODUTOS!$J$2:$J$1006,$G706))</f>
        <v/>
      </c>
      <c r="R706" s="9" t="str">
        <f ca="1">IF($G706="","",INDEX(BASE_PRODUTOS!$M$2:$M$1006,$G706))</f>
        <v/>
      </c>
      <c r="S706" s="9" t="str">
        <f ca="1">IF($G706="","",INDEX(BASE_PRODUTOS!$N$2:$N$1006,$G706))</f>
        <v/>
      </c>
      <c r="T706" s="9" t="str">
        <f ca="1">IF($G706="","",INDEX(BASE_PRODUTOS!$D$2:$D$1006,$G706))</f>
        <v/>
      </c>
    </row>
    <row r="707" spans="7:20" ht="18" customHeight="1" x14ac:dyDescent="0.35">
      <c r="G707" t="str">
        <f ca="1">IFERROR(_xludf.aggregate(15,6,(ROW(BASE_PRODUTOS!$L$2:$L$1006)-ROW(BASE_PRODUTOS!$L$2)+1)/(BASE_PRODUTOS!$L$2:$L$1006&gt;0),ROWS($G$10:G707)),"")</f>
        <v/>
      </c>
      <c r="H707" s="9" t="str">
        <f ca="1">IF($G707="","",INDEX(BASE_PRODUTOS!$B$2:$B$1006,$G707))</f>
        <v/>
      </c>
      <c r="I707" s="9" t="str">
        <f ca="1">IF($G707="","",INDEX(BASE_PRODUTOS!$L$2:$L$1006,$G707))</f>
        <v/>
      </c>
      <c r="J707" s="9" t="str">
        <f ca="1">IF($G707="","",INDEX(BASE_PRODUTOS!$A$2:$A$1006,$G707))</f>
        <v/>
      </c>
      <c r="K707" s="9" t="str">
        <f ca="1">IF($G707="","",INDEX(BASE_PRODUTOS!$C$2:$C$1006,$G707))</f>
        <v/>
      </c>
      <c r="L707" s="9" t="str">
        <f ca="1">IF($G707="","",INDEX(BASE_PRODUTOS!$E$2:$E$1006,$G707))</f>
        <v/>
      </c>
      <c r="M707" s="9" t="str">
        <f ca="1">IF($G707="","",INDEX(BASE_PRODUTOS!$F$2:$F$1006,$G707))</f>
        <v/>
      </c>
      <c r="N707" s="9" t="str">
        <f ca="1">IF($G707="","",INDEX(BASE_PRODUTOS!$G$2:$G$1006,$G707))</f>
        <v/>
      </c>
      <c r="O707" s="9" t="str">
        <f ca="1">IF($G707="","",INDEX(BASE_PRODUTOS!$H$2:$H$1006,$G707))</f>
        <v/>
      </c>
      <c r="P707" s="9" t="str">
        <f ca="1">IF($G707="","",INDEX(BASE_PRODUTOS!$I$2:$I$1006,$G707))</f>
        <v/>
      </c>
      <c r="Q707" s="9" t="str">
        <f ca="1">IF($G707="","",INDEX(BASE_PRODUTOS!$J$2:$J$1006,$G707))</f>
        <v/>
      </c>
      <c r="R707" s="9" t="str">
        <f ca="1">IF($G707="","",INDEX(BASE_PRODUTOS!$M$2:$M$1006,$G707))</f>
        <v/>
      </c>
      <c r="S707" s="9" t="str">
        <f ca="1">IF($G707="","",INDEX(BASE_PRODUTOS!$N$2:$N$1006,$G707))</f>
        <v/>
      </c>
      <c r="T707" s="9" t="str">
        <f ca="1">IF($G707="","",INDEX(BASE_PRODUTOS!$D$2:$D$1006,$G707))</f>
        <v/>
      </c>
    </row>
    <row r="708" spans="7:20" ht="18" customHeight="1" x14ac:dyDescent="0.35">
      <c r="G708" t="str">
        <f ca="1">IFERROR(_xludf.aggregate(15,6,(ROW(BASE_PRODUTOS!$L$2:$L$1006)-ROW(BASE_PRODUTOS!$L$2)+1)/(BASE_PRODUTOS!$L$2:$L$1006&gt;0),ROWS($G$10:G708)),"")</f>
        <v/>
      </c>
      <c r="H708" s="9" t="str">
        <f ca="1">IF($G708="","",INDEX(BASE_PRODUTOS!$B$2:$B$1006,$G708))</f>
        <v/>
      </c>
      <c r="I708" s="9" t="str">
        <f ca="1">IF($G708="","",INDEX(BASE_PRODUTOS!$L$2:$L$1006,$G708))</f>
        <v/>
      </c>
      <c r="J708" s="9" t="str">
        <f ca="1">IF($G708="","",INDEX(BASE_PRODUTOS!$A$2:$A$1006,$G708))</f>
        <v/>
      </c>
      <c r="K708" s="9" t="str">
        <f ca="1">IF($G708="","",INDEX(BASE_PRODUTOS!$C$2:$C$1006,$G708))</f>
        <v/>
      </c>
      <c r="L708" s="9" t="str">
        <f ca="1">IF($G708="","",INDEX(BASE_PRODUTOS!$E$2:$E$1006,$G708))</f>
        <v/>
      </c>
      <c r="M708" s="9" t="str">
        <f ca="1">IF($G708="","",INDEX(BASE_PRODUTOS!$F$2:$F$1006,$G708))</f>
        <v/>
      </c>
      <c r="N708" s="9" t="str">
        <f ca="1">IF($G708="","",INDEX(BASE_PRODUTOS!$G$2:$G$1006,$G708))</f>
        <v/>
      </c>
      <c r="O708" s="9" t="str">
        <f ca="1">IF($G708="","",INDEX(BASE_PRODUTOS!$H$2:$H$1006,$G708))</f>
        <v/>
      </c>
      <c r="P708" s="9" t="str">
        <f ca="1">IF($G708="","",INDEX(BASE_PRODUTOS!$I$2:$I$1006,$G708))</f>
        <v/>
      </c>
      <c r="Q708" s="9" t="str">
        <f ca="1">IF($G708="","",INDEX(BASE_PRODUTOS!$J$2:$J$1006,$G708))</f>
        <v/>
      </c>
      <c r="R708" s="9" t="str">
        <f ca="1">IF($G708="","",INDEX(BASE_PRODUTOS!$M$2:$M$1006,$G708))</f>
        <v/>
      </c>
      <c r="S708" s="9" t="str">
        <f ca="1">IF($G708="","",INDEX(BASE_PRODUTOS!$N$2:$N$1006,$G708))</f>
        <v/>
      </c>
      <c r="T708" s="9" t="str">
        <f ca="1">IF($G708="","",INDEX(BASE_PRODUTOS!$D$2:$D$1006,$G708))</f>
        <v/>
      </c>
    </row>
    <row r="709" spans="7:20" ht="18" customHeight="1" x14ac:dyDescent="0.35">
      <c r="G709" t="str">
        <f ca="1">IFERROR(_xludf.aggregate(15,6,(ROW(BASE_PRODUTOS!$L$2:$L$1006)-ROW(BASE_PRODUTOS!$L$2)+1)/(BASE_PRODUTOS!$L$2:$L$1006&gt;0),ROWS($G$10:G709)),"")</f>
        <v/>
      </c>
      <c r="H709" s="9" t="str">
        <f ca="1">IF($G709="","",INDEX(BASE_PRODUTOS!$B$2:$B$1006,$G709))</f>
        <v/>
      </c>
      <c r="I709" s="9" t="str">
        <f ca="1">IF($G709="","",INDEX(BASE_PRODUTOS!$L$2:$L$1006,$G709))</f>
        <v/>
      </c>
      <c r="J709" s="9" t="str">
        <f ca="1">IF($G709="","",INDEX(BASE_PRODUTOS!$A$2:$A$1006,$G709))</f>
        <v/>
      </c>
      <c r="K709" s="9" t="str">
        <f ca="1">IF($G709="","",INDEX(BASE_PRODUTOS!$C$2:$C$1006,$G709))</f>
        <v/>
      </c>
      <c r="L709" s="9" t="str">
        <f ca="1">IF($G709="","",INDEX(BASE_PRODUTOS!$E$2:$E$1006,$G709))</f>
        <v/>
      </c>
      <c r="M709" s="9" t="str">
        <f ca="1">IF($G709="","",INDEX(BASE_PRODUTOS!$F$2:$F$1006,$G709))</f>
        <v/>
      </c>
      <c r="N709" s="9" t="str">
        <f ca="1">IF($G709="","",INDEX(BASE_PRODUTOS!$G$2:$G$1006,$G709))</f>
        <v/>
      </c>
      <c r="O709" s="9" t="str">
        <f ca="1">IF($G709="","",INDEX(BASE_PRODUTOS!$H$2:$H$1006,$G709))</f>
        <v/>
      </c>
      <c r="P709" s="9" t="str">
        <f ca="1">IF($G709="","",INDEX(BASE_PRODUTOS!$I$2:$I$1006,$G709))</f>
        <v/>
      </c>
      <c r="Q709" s="9" t="str">
        <f ca="1">IF($G709="","",INDEX(BASE_PRODUTOS!$J$2:$J$1006,$G709))</f>
        <v/>
      </c>
      <c r="R709" s="9" t="str">
        <f ca="1">IF($G709="","",INDEX(BASE_PRODUTOS!$M$2:$M$1006,$G709))</f>
        <v/>
      </c>
      <c r="S709" s="9" t="str">
        <f ca="1">IF($G709="","",INDEX(BASE_PRODUTOS!$N$2:$N$1006,$G709))</f>
        <v/>
      </c>
      <c r="T709" s="9" t="str">
        <f ca="1">IF($G709="","",INDEX(BASE_PRODUTOS!$D$2:$D$1006,$G709))</f>
        <v/>
      </c>
    </row>
    <row r="710" spans="7:20" ht="18" customHeight="1" x14ac:dyDescent="0.35">
      <c r="G710" t="str">
        <f ca="1">IFERROR(_xludf.aggregate(15,6,(ROW(BASE_PRODUTOS!$L$2:$L$1006)-ROW(BASE_PRODUTOS!$L$2)+1)/(BASE_PRODUTOS!$L$2:$L$1006&gt;0),ROWS($G$10:G710)),"")</f>
        <v/>
      </c>
      <c r="H710" s="9" t="str">
        <f ca="1">IF($G710="","",INDEX(BASE_PRODUTOS!$B$2:$B$1006,$G710))</f>
        <v/>
      </c>
      <c r="I710" s="9" t="str">
        <f ca="1">IF($G710="","",INDEX(BASE_PRODUTOS!$L$2:$L$1006,$G710))</f>
        <v/>
      </c>
      <c r="J710" s="9" t="str">
        <f ca="1">IF($G710="","",INDEX(BASE_PRODUTOS!$A$2:$A$1006,$G710))</f>
        <v/>
      </c>
      <c r="K710" s="9" t="str">
        <f ca="1">IF($G710="","",INDEX(BASE_PRODUTOS!$C$2:$C$1006,$G710))</f>
        <v/>
      </c>
      <c r="L710" s="9" t="str">
        <f ca="1">IF($G710="","",INDEX(BASE_PRODUTOS!$E$2:$E$1006,$G710))</f>
        <v/>
      </c>
      <c r="M710" s="9" t="str">
        <f ca="1">IF($G710="","",INDEX(BASE_PRODUTOS!$F$2:$F$1006,$G710))</f>
        <v/>
      </c>
      <c r="N710" s="9" t="str">
        <f ca="1">IF($G710="","",INDEX(BASE_PRODUTOS!$G$2:$G$1006,$G710))</f>
        <v/>
      </c>
      <c r="O710" s="9" t="str">
        <f ca="1">IF($G710="","",INDEX(BASE_PRODUTOS!$H$2:$H$1006,$G710))</f>
        <v/>
      </c>
      <c r="P710" s="9" t="str">
        <f ca="1">IF($G710="","",INDEX(BASE_PRODUTOS!$I$2:$I$1006,$G710))</f>
        <v/>
      </c>
      <c r="Q710" s="9" t="str">
        <f ca="1">IF($G710="","",INDEX(BASE_PRODUTOS!$J$2:$J$1006,$G710))</f>
        <v/>
      </c>
      <c r="R710" s="9" t="str">
        <f ca="1">IF($G710="","",INDEX(BASE_PRODUTOS!$M$2:$M$1006,$G710))</f>
        <v/>
      </c>
      <c r="S710" s="9" t="str">
        <f ca="1">IF($G710="","",INDEX(BASE_PRODUTOS!$N$2:$N$1006,$G710))</f>
        <v/>
      </c>
      <c r="T710" s="9" t="str">
        <f ca="1">IF($G710="","",INDEX(BASE_PRODUTOS!$D$2:$D$1006,$G710))</f>
        <v/>
      </c>
    </row>
    <row r="711" spans="7:20" ht="18" customHeight="1" x14ac:dyDescent="0.35">
      <c r="G711" t="str">
        <f ca="1">IFERROR(_xludf.aggregate(15,6,(ROW(BASE_PRODUTOS!$L$2:$L$1006)-ROW(BASE_PRODUTOS!$L$2)+1)/(BASE_PRODUTOS!$L$2:$L$1006&gt;0),ROWS($G$10:G711)),"")</f>
        <v/>
      </c>
      <c r="H711" s="9" t="str">
        <f ca="1">IF($G711="","",INDEX(BASE_PRODUTOS!$B$2:$B$1006,$G711))</f>
        <v/>
      </c>
      <c r="I711" s="9" t="str">
        <f ca="1">IF($G711="","",INDEX(BASE_PRODUTOS!$L$2:$L$1006,$G711))</f>
        <v/>
      </c>
      <c r="J711" s="9" t="str">
        <f ca="1">IF($G711="","",INDEX(BASE_PRODUTOS!$A$2:$A$1006,$G711))</f>
        <v/>
      </c>
      <c r="K711" s="9" t="str">
        <f ca="1">IF($G711="","",INDEX(BASE_PRODUTOS!$C$2:$C$1006,$G711))</f>
        <v/>
      </c>
      <c r="L711" s="9" t="str">
        <f ca="1">IF($G711="","",INDEX(BASE_PRODUTOS!$E$2:$E$1006,$G711))</f>
        <v/>
      </c>
      <c r="M711" s="9" t="str">
        <f ca="1">IF($G711="","",INDEX(BASE_PRODUTOS!$F$2:$F$1006,$G711))</f>
        <v/>
      </c>
      <c r="N711" s="9" t="str">
        <f ca="1">IF($G711="","",INDEX(BASE_PRODUTOS!$G$2:$G$1006,$G711))</f>
        <v/>
      </c>
      <c r="O711" s="9" t="str">
        <f ca="1">IF($G711="","",INDEX(BASE_PRODUTOS!$H$2:$H$1006,$G711))</f>
        <v/>
      </c>
      <c r="P711" s="9" t="str">
        <f ca="1">IF($G711="","",INDEX(BASE_PRODUTOS!$I$2:$I$1006,$G711))</f>
        <v/>
      </c>
      <c r="Q711" s="9" t="str">
        <f ca="1">IF($G711="","",INDEX(BASE_PRODUTOS!$J$2:$J$1006,$G711))</f>
        <v/>
      </c>
      <c r="R711" s="9" t="str">
        <f ca="1">IF($G711="","",INDEX(BASE_PRODUTOS!$M$2:$M$1006,$G711))</f>
        <v/>
      </c>
      <c r="S711" s="9" t="str">
        <f ca="1">IF($G711="","",INDEX(BASE_PRODUTOS!$N$2:$N$1006,$G711))</f>
        <v/>
      </c>
      <c r="T711" s="9" t="str">
        <f ca="1">IF($G711="","",INDEX(BASE_PRODUTOS!$D$2:$D$1006,$G711))</f>
        <v/>
      </c>
    </row>
    <row r="712" spans="7:20" ht="18" customHeight="1" x14ac:dyDescent="0.35">
      <c r="G712" t="str">
        <f ca="1">IFERROR(_xludf.aggregate(15,6,(ROW(BASE_PRODUTOS!$L$2:$L$1006)-ROW(BASE_PRODUTOS!$L$2)+1)/(BASE_PRODUTOS!$L$2:$L$1006&gt;0),ROWS($G$10:G712)),"")</f>
        <v/>
      </c>
      <c r="H712" s="9" t="str">
        <f ca="1">IF($G712="","",INDEX(BASE_PRODUTOS!$B$2:$B$1006,$G712))</f>
        <v/>
      </c>
      <c r="I712" s="9" t="str">
        <f ca="1">IF($G712="","",INDEX(BASE_PRODUTOS!$L$2:$L$1006,$G712))</f>
        <v/>
      </c>
      <c r="J712" s="9" t="str">
        <f ca="1">IF($G712="","",INDEX(BASE_PRODUTOS!$A$2:$A$1006,$G712))</f>
        <v/>
      </c>
      <c r="K712" s="9" t="str">
        <f ca="1">IF($G712="","",INDEX(BASE_PRODUTOS!$C$2:$C$1006,$G712))</f>
        <v/>
      </c>
      <c r="L712" s="9" t="str">
        <f ca="1">IF($G712="","",INDEX(BASE_PRODUTOS!$E$2:$E$1006,$G712))</f>
        <v/>
      </c>
      <c r="M712" s="9" t="str">
        <f ca="1">IF($G712="","",INDEX(BASE_PRODUTOS!$F$2:$F$1006,$G712))</f>
        <v/>
      </c>
      <c r="N712" s="9" t="str">
        <f ca="1">IF($G712="","",INDEX(BASE_PRODUTOS!$G$2:$G$1006,$G712))</f>
        <v/>
      </c>
      <c r="O712" s="9" t="str">
        <f ca="1">IF($G712="","",INDEX(BASE_PRODUTOS!$H$2:$H$1006,$G712))</f>
        <v/>
      </c>
      <c r="P712" s="9" t="str">
        <f ca="1">IF($G712="","",INDEX(BASE_PRODUTOS!$I$2:$I$1006,$G712))</f>
        <v/>
      </c>
      <c r="Q712" s="9" t="str">
        <f ca="1">IF($G712="","",INDEX(BASE_PRODUTOS!$J$2:$J$1006,$G712))</f>
        <v/>
      </c>
      <c r="R712" s="9" t="str">
        <f ca="1">IF($G712="","",INDEX(BASE_PRODUTOS!$M$2:$M$1006,$G712))</f>
        <v/>
      </c>
      <c r="S712" s="9" t="str">
        <f ca="1">IF($G712="","",INDEX(BASE_PRODUTOS!$N$2:$N$1006,$G712))</f>
        <v/>
      </c>
      <c r="T712" s="9" t="str">
        <f ca="1">IF($G712="","",INDEX(BASE_PRODUTOS!$D$2:$D$1006,$G712))</f>
        <v/>
      </c>
    </row>
    <row r="713" spans="7:20" ht="18" customHeight="1" x14ac:dyDescent="0.35">
      <c r="G713" t="str">
        <f ca="1">IFERROR(_xludf.aggregate(15,6,(ROW(BASE_PRODUTOS!$L$2:$L$1006)-ROW(BASE_PRODUTOS!$L$2)+1)/(BASE_PRODUTOS!$L$2:$L$1006&gt;0),ROWS($G$10:G713)),"")</f>
        <v/>
      </c>
      <c r="H713" s="9" t="str">
        <f ca="1">IF($G713="","",INDEX(BASE_PRODUTOS!$B$2:$B$1006,$G713))</f>
        <v/>
      </c>
      <c r="I713" s="9" t="str">
        <f ca="1">IF($G713="","",INDEX(BASE_PRODUTOS!$L$2:$L$1006,$G713))</f>
        <v/>
      </c>
      <c r="J713" s="9" t="str">
        <f ca="1">IF($G713="","",INDEX(BASE_PRODUTOS!$A$2:$A$1006,$G713))</f>
        <v/>
      </c>
      <c r="K713" s="9" t="str">
        <f ca="1">IF($G713="","",INDEX(BASE_PRODUTOS!$C$2:$C$1006,$G713))</f>
        <v/>
      </c>
      <c r="L713" s="9" t="str">
        <f ca="1">IF($G713="","",INDEX(BASE_PRODUTOS!$E$2:$E$1006,$G713))</f>
        <v/>
      </c>
      <c r="M713" s="9" t="str">
        <f ca="1">IF($G713="","",INDEX(BASE_PRODUTOS!$F$2:$F$1006,$G713))</f>
        <v/>
      </c>
      <c r="N713" s="9" t="str">
        <f ca="1">IF($G713="","",INDEX(BASE_PRODUTOS!$G$2:$G$1006,$G713))</f>
        <v/>
      </c>
      <c r="O713" s="9" t="str">
        <f ca="1">IF($G713="","",INDEX(BASE_PRODUTOS!$H$2:$H$1006,$G713))</f>
        <v/>
      </c>
      <c r="P713" s="9" t="str">
        <f ca="1">IF($G713="","",INDEX(BASE_PRODUTOS!$I$2:$I$1006,$G713))</f>
        <v/>
      </c>
      <c r="Q713" s="9" t="str">
        <f ca="1">IF($G713="","",INDEX(BASE_PRODUTOS!$J$2:$J$1006,$G713))</f>
        <v/>
      </c>
      <c r="R713" s="9" t="str">
        <f ca="1">IF($G713="","",INDEX(BASE_PRODUTOS!$M$2:$M$1006,$G713))</f>
        <v/>
      </c>
      <c r="S713" s="9" t="str">
        <f ca="1">IF($G713="","",INDEX(BASE_PRODUTOS!$N$2:$N$1006,$G713))</f>
        <v/>
      </c>
      <c r="T713" s="9" t="str">
        <f ca="1">IF($G713="","",INDEX(BASE_PRODUTOS!$D$2:$D$1006,$G713))</f>
        <v/>
      </c>
    </row>
    <row r="714" spans="7:20" ht="18" customHeight="1" x14ac:dyDescent="0.35">
      <c r="G714" t="str">
        <f ca="1">IFERROR(_xludf.aggregate(15,6,(ROW(BASE_PRODUTOS!$L$2:$L$1006)-ROW(BASE_PRODUTOS!$L$2)+1)/(BASE_PRODUTOS!$L$2:$L$1006&gt;0),ROWS($G$10:G714)),"")</f>
        <v/>
      </c>
      <c r="H714" s="9" t="str">
        <f ca="1">IF($G714="","",INDEX(BASE_PRODUTOS!$B$2:$B$1006,$G714))</f>
        <v/>
      </c>
      <c r="I714" s="9" t="str">
        <f ca="1">IF($G714="","",INDEX(BASE_PRODUTOS!$L$2:$L$1006,$G714))</f>
        <v/>
      </c>
      <c r="J714" s="9" t="str">
        <f ca="1">IF($G714="","",INDEX(BASE_PRODUTOS!$A$2:$A$1006,$G714))</f>
        <v/>
      </c>
      <c r="K714" s="9" t="str">
        <f ca="1">IF($G714="","",INDEX(BASE_PRODUTOS!$C$2:$C$1006,$G714))</f>
        <v/>
      </c>
      <c r="L714" s="9" t="str">
        <f ca="1">IF($G714="","",INDEX(BASE_PRODUTOS!$E$2:$E$1006,$G714))</f>
        <v/>
      </c>
      <c r="M714" s="9" t="str">
        <f ca="1">IF($G714="","",INDEX(BASE_PRODUTOS!$F$2:$F$1006,$G714))</f>
        <v/>
      </c>
      <c r="N714" s="9" t="str">
        <f ca="1">IF($G714="","",INDEX(BASE_PRODUTOS!$G$2:$G$1006,$G714))</f>
        <v/>
      </c>
      <c r="O714" s="9" t="str">
        <f ca="1">IF($G714="","",INDEX(BASE_PRODUTOS!$H$2:$H$1006,$G714))</f>
        <v/>
      </c>
      <c r="P714" s="9" t="str">
        <f ca="1">IF($G714="","",INDEX(BASE_PRODUTOS!$I$2:$I$1006,$G714))</f>
        <v/>
      </c>
      <c r="Q714" s="9" t="str">
        <f ca="1">IF($G714="","",INDEX(BASE_PRODUTOS!$J$2:$J$1006,$G714))</f>
        <v/>
      </c>
      <c r="R714" s="9" t="str">
        <f ca="1">IF($G714="","",INDEX(BASE_PRODUTOS!$M$2:$M$1006,$G714))</f>
        <v/>
      </c>
      <c r="S714" s="9" t="str">
        <f ca="1">IF($G714="","",INDEX(BASE_PRODUTOS!$N$2:$N$1006,$G714))</f>
        <v/>
      </c>
      <c r="T714" s="9" t="str">
        <f ca="1">IF($G714="","",INDEX(BASE_PRODUTOS!$D$2:$D$1006,$G714))</f>
        <v/>
      </c>
    </row>
    <row r="715" spans="7:20" ht="18" customHeight="1" x14ac:dyDescent="0.35">
      <c r="G715" t="str">
        <f ca="1">IFERROR(_xludf.aggregate(15,6,(ROW(BASE_PRODUTOS!$L$2:$L$1006)-ROW(BASE_PRODUTOS!$L$2)+1)/(BASE_PRODUTOS!$L$2:$L$1006&gt;0),ROWS($G$10:G715)),"")</f>
        <v/>
      </c>
      <c r="H715" s="9" t="str">
        <f ca="1">IF($G715="","",INDEX(BASE_PRODUTOS!$B$2:$B$1006,$G715))</f>
        <v/>
      </c>
      <c r="I715" s="9" t="str">
        <f ca="1">IF($G715="","",INDEX(BASE_PRODUTOS!$L$2:$L$1006,$G715))</f>
        <v/>
      </c>
      <c r="J715" s="9" t="str">
        <f ca="1">IF($G715="","",INDEX(BASE_PRODUTOS!$A$2:$A$1006,$G715))</f>
        <v/>
      </c>
      <c r="K715" s="9" t="str">
        <f ca="1">IF($G715="","",INDEX(BASE_PRODUTOS!$C$2:$C$1006,$G715))</f>
        <v/>
      </c>
      <c r="L715" s="9" t="str">
        <f ca="1">IF($G715="","",INDEX(BASE_PRODUTOS!$E$2:$E$1006,$G715))</f>
        <v/>
      </c>
      <c r="M715" s="9" t="str">
        <f ca="1">IF($G715="","",INDEX(BASE_PRODUTOS!$F$2:$F$1006,$G715))</f>
        <v/>
      </c>
      <c r="N715" s="9" t="str">
        <f ca="1">IF($G715="","",INDEX(BASE_PRODUTOS!$G$2:$G$1006,$G715))</f>
        <v/>
      </c>
      <c r="O715" s="9" t="str">
        <f ca="1">IF($G715="","",INDEX(BASE_PRODUTOS!$H$2:$H$1006,$G715))</f>
        <v/>
      </c>
      <c r="P715" s="9" t="str">
        <f ca="1">IF($G715="","",INDEX(BASE_PRODUTOS!$I$2:$I$1006,$G715))</f>
        <v/>
      </c>
      <c r="Q715" s="9" t="str">
        <f ca="1">IF($G715="","",INDEX(BASE_PRODUTOS!$J$2:$J$1006,$G715))</f>
        <v/>
      </c>
      <c r="R715" s="9" t="str">
        <f ca="1">IF($G715="","",INDEX(BASE_PRODUTOS!$M$2:$M$1006,$G715))</f>
        <v/>
      </c>
      <c r="S715" s="9" t="str">
        <f ca="1">IF($G715="","",INDEX(BASE_PRODUTOS!$N$2:$N$1006,$G715))</f>
        <v/>
      </c>
      <c r="T715" s="9" t="str">
        <f ca="1">IF($G715="","",INDEX(BASE_PRODUTOS!$D$2:$D$1006,$G715))</f>
        <v/>
      </c>
    </row>
    <row r="716" spans="7:20" ht="18" customHeight="1" x14ac:dyDescent="0.35">
      <c r="G716" t="str">
        <f ca="1">IFERROR(_xludf.aggregate(15,6,(ROW(BASE_PRODUTOS!$L$2:$L$1006)-ROW(BASE_PRODUTOS!$L$2)+1)/(BASE_PRODUTOS!$L$2:$L$1006&gt;0),ROWS($G$10:G716)),"")</f>
        <v/>
      </c>
      <c r="H716" s="9" t="str">
        <f ca="1">IF($G716="","",INDEX(BASE_PRODUTOS!$B$2:$B$1006,$G716))</f>
        <v/>
      </c>
      <c r="I716" s="9" t="str">
        <f ca="1">IF($G716="","",INDEX(BASE_PRODUTOS!$L$2:$L$1006,$G716))</f>
        <v/>
      </c>
      <c r="J716" s="9" t="str">
        <f ca="1">IF($G716="","",INDEX(BASE_PRODUTOS!$A$2:$A$1006,$G716))</f>
        <v/>
      </c>
      <c r="K716" s="9" t="str">
        <f ca="1">IF($G716="","",INDEX(BASE_PRODUTOS!$C$2:$C$1006,$G716))</f>
        <v/>
      </c>
      <c r="L716" s="9" t="str">
        <f ca="1">IF($G716="","",INDEX(BASE_PRODUTOS!$E$2:$E$1006,$G716))</f>
        <v/>
      </c>
      <c r="M716" s="9" t="str">
        <f ca="1">IF($G716="","",INDEX(BASE_PRODUTOS!$F$2:$F$1006,$G716))</f>
        <v/>
      </c>
      <c r="N716" s="9" t="str">
        <f ca="1">IF($G716="","",INDEX(BASE_PRODUTOS!$G$2:$G$1006,$G716))</f>
        <v/>
      </c>
      <c r="O716" s="9" t="str">
        <f ca="1">IF($G716="","",INDEX(BASE_PRODUTOS!$H$2:$H$1006,$G716))</f>
        <v/>
      </c>
      <c r="P716" s="9" t="str">
        <f ca="1">IF($G716="","",INDEX(BASE_PRODUTOS!$I$2:$I$1006,$G716))</f>
        <v/>
      </c>
      <c r="Q716" s="9" t="str">
        <f ca="1">IF($G716="","",INDEX(BASE_PRODUTOS!$J$2:$J$1006,$G716))</f>
        <v/>
      </c>
      <c r="R716" s="9" t="str">
        <f ca="1">IF($G716="","",INDEX(BASE_PRODUTOS!$M$2:$M$1006,$G716))</f>
        <v/>
      </c>
      <c r="S716" s="9" t="str">
        <f ca="1">IF($G716="","",INDEX(BASE_PRODUTOS!$N$2:$N$1006,$G716))</f>
        <v/>
      </c>
      <c r="T716" s="9" t="str">
        <f ca="1">IF($G716="","",INDEX(BASE_PRODUTOS!$D$2:$D$1006,$G716))</f>
        <v/>
      </c>
    </row>
    <row r="717" spans="7:20" ht="18" customHeight="1" x14ac:dyDescent="0.35">
      <c r="G717" t="str">
        <f ca="1">IFERROR(_xludf.aggregate(15,6,(ROW(BASE_PRODUTOS!$L$2:$L$1006)-ROW(BASE_PRODUTOS!$L$2)+1)/(BASE_PRODUTOS!$L$2:$L$1006&gt;0),ROWS($G$10:G717)),"")</f>
        <v/>
      </c>
      <c r="H717" s="9" t="str">
        <f ca="1">IF($G717="","",INDEX(BASE_PRODUTOS!$B$2:$B$1006,$G717))</f>
        <v/>
      </c>
      <c r="I717" s="9" t="str">
        <f ca="1">IF($G717="","",INDEX(BASE_PRODUTOS!$L$2:$L$1006,$G717))</f>
        <v/>
      </c>
      <c r="J717" s="9" t="str">
        <f ca="1">IF($G717="","",INDEX(BASE_PRODUTOS!$A$2:$A$1006,$G717))</f>
        <v/>
      </c>
      <c r="K717" s="9" t="str">
        <f ca="1">IF($G717="","",INDEX(BASE_PRODUTOS!$C$2:$C$1006,$G717))</f>
        <v/>
      </c>
      <c r="L717" s="9" t="str">
        <f ca="1">IF($G717="","",INDEX(BASE_PRODUTOS!$E$2:$E$1006,$G717))</f>
        <v/>
      </c>
      <c r="M717" s="9" t="str">
        <f ca="1">IF($G717="","",INDEX(BASE_PRODUTOS!$F$2:$F$1006,$G717))</f>
        <v/>
      </c>
      <c r="N717" s="9" t="str">
        <f ca="1">IF($G717="","",INDEX(BASE_PRODUTOS!$G$2:$G$1006,$G717))</f>
        <v/>
      </c>
      <c r="O717" s="9" t="str">
        <f ca="1">IF($G717="","",INDEX(BASE_PRODUTOS!$H$2:$H$1006,$G717))</f>
        <v/>
      </c>
      <c r="P717" s="9" t="str">
        <f ca="1">IF($G717="","",INDEX(BASE_PRODUTOS!$I$2:$I$1006,$G717))</f>
        <v/>
      </c>
      <c r="Q717" s="9" t="str">
        <f ca="1">IF($G717="","",INDEX(BASE_PRODUTOS!$J$2:$J$1006,$G717))</f>
        <v/>
      </c>
      <c r="R717" s="9" t="str">
        <f ca="1">IF($G717="","",INDEX(BASE_PRODUTOS!$M$2:$M$1006,$G717))</f>
        <v/>
      </c>
      <c r="S717" s="9" t="str">
        <f ca="1">IF($G717="","",INDEX(BASE_PRODUTOS!$N$2:$N$1006,$G717))</f>
        <v/>
      </c>
      <c r="T717" s="9" t="str">
        <f ca="1">IF($G717="","",INDEX(BASE_PRODUTOS!$D$2:$D$1006,$G717))</f>
        <v/>
      </c>
    </row>
    <row r="718" spans="7:20" ht="18" customHeight="1" x14ac:dyDescent="0.35">
      <c r="G718" t="str">
        <f ca="1">IFERROR(_xludf.aggregate(15,6,(ROW(BASE_PRODUTOS!$L$2:$L$1006)-ROW(BASE_PRODUTOS!$L$2)+1)/(BASE_PRODUTOS!$L$2:$L$1006&gt;0),ROWS($G$10:G718)),"")</f>
        <v/>
      </c>
      <c r="H718" s="9" t="str">
        <f ca="1">IF($G718="","",INDEX(BASE_PRODUTOS!$B$2:$B$1006,$G718))</f>
        <v/>
      </c>
      <c r="I718" s="9" t="str">
        <f ca="1">IF($G718="","",INDEX(BASE_PRODUTOS!$L$2:$L$1006,$G718))</f>
        <v/>
      </c>
      <c r="J718" s="9" t="str">
        <f ca="1">IF($G718="","",INDEX(BASE_PRODUTOS!$A$2:$A$1006,$G718))</f>
        <v/>
      </c>
      <c r="K718" s="9" t="str">
        <f ca="1">IF($G718="","",INDEX(BASE_PRODUTOS!$C$2:$C$1006,$G718))</f>
        <v/>
      </c>
      <c r="L718" s="9" t="str">
        <f ca="1">IF($G718="","",INDEX(BASE_PRODUTOS!$E$2:$E$1006,$G718))</f>
        <v/>
      </c>
      <c r="M718" s="9" t="str">
        <f ca="1">IF($G718="","",INDEX(BASE_PRODUTOS!$F$2:$F$1006,$G718))</f>
        <v/>
      </c>
      <c r="N718" s="9" t="str">
        <f ca="1">IF($G718="","",INDEX(BASE_PRODUTOS!$G$2:$G$1006,$G718))</f>
        <v/>
      </c>
      <c r="O718" s="9" t="str">
        <f ca="1">IF($G718="","",INDEX(BASE_PRODUTOS!$H$2:$H$1006,$G718))</f>
        <v/>
      </c>
      <c r="P718" s="9" t="str">
        <f ca="1">IF($G718="","",INDEX(BASE_PRODUTOS!$I$2:$I$1006,$G718))</f>
        <v/>
      </c>
      <c r="Q718" s="9" t="str">
        <f ca="1">IF($G718="","",INDEX(BASE_PRODUTOS!$J$2:$J$1006,$G718))</f>
        <v/>
      </c>
      <c r="R718" s="9" t="str">
        <f ca="1">IF($G718="","",INDEX(BASE_PRODUTOS!$M$2:$M$1006,$G718))</f>
        <v/>
      </c>
      <c r="S718" s="9" t="str">
        <f ca="1">IF($G718="","",INDEX(BASE_PRODUTOS!$N$2:$N$1006,$G718))</f>
        <v/>
      </c>
      <c r="T718" s="9" t="str">
        <f ca="1">IF($G718="","",INDEX(BASE_PRODUTOS!$D$2:$D$1006,$G718))</f>
        <v/>
      </c>
    </row>
    <row r="719" spans="7:20" ht="18" customHeight="1" x14ac:dyDescent="0.35">
      <c r="G719" t="str">
        <f ca="1">IFERROR(_xludf.aggregate(15,6,(ROW(BASE_PRODUTOS!$L$2:$L$1006)-ROW(BASE_PRODUTOS!$L$2)+1)/(BASE_PRODUTOS!$L$2:$L$1006&gt;0),ROWS($G$10:G719)),"")</f>
        <v/>
      </c>
      <c r="H719" s="9" t="str">
        <f ca="1">IF($G719="","",INDEX(BASE_PRODUTOS!$B$2:$B$1006,$G719))</f>
        <v/>
      </c>
      <c r="I719" s="9" t="str">
        <f ca="1">IF($G719="","",INDEX(BASE_PRODUTOS!$L$2:$L$1006,$G719))</f>
        <v/>
      </c>
      <c r="J719" s="9" t="str">
        <f ca="1">IF($G719="","",INDEX(BASE_PRODUTOS!$A$2:$A$1006,$G719))</f>
        <v/>
      </c>
      <c r="K719" s="9" t="str">
        <f ca="1">IF($G719="","",INDEX(BASE_PRODUTOS!$C$2:$C$1006,$G719))</f>
        <v/>
      </c>
      <c r="L719" s="9" t="str">
        <f ca="1">IF($G719="","",INDEX(BASE_PRODUTOS!$E$2:$E$1006,$G719))</f>
        <v/>
      </c>
      <c r="M719" s="9" t="str">
        <f ca="1">IF($G719="","",INDEX(BASE_PRODUTOS!$F$2:$F$1006,$G719))</f>
        <v/>
      </c>
      <c r="N719" s="9" t="str">
        <f ca="1">IF($G719="","",INDEX(BASE_PRODUTOS!$G$2:$G$1006,$G719))</f>
        <v/>
      </c>
      <c r="O719" s="9" t="str">
        <f ca="1">IF($G719="","",INDEX(BASE_PRODUTOS!$H$2:$H$1006,$G719))</f>
        <v/>
      </c>
      <c r="P719" s="9" t="str">
        <f ca="1">IF($G719="","",INDEX(BASE_PRODUTOS!$I$2:$I$1006,$G719))</f>
        <v/>
      </c>
      <c r="Q719" s="9" t="str">
        <f ca="1">IF($G719="","",INDEX(BASE_PRODUTOS!$J$2:$J$1006,$G719))</f>
        <v/>
      </c>
      <c r="R719" s="9" t="str">
        <f ca="1">IF($G719="","",INDEX(BASE_PRODUTOS!$M$2:$M$1006,$G719))</f>
        <v/>
      </c>
      <c r="S719" s="9" t="str">
        <f ca="1">IF($G719="","",INDEX(BASE_PRODUTOS!$N$2:$N$1006,$G719))</f>
        <v/>
      </c>
      <c r="T719" s="9" t="str">
        <f ca="1">IF($G719="","",INDEX(BASE_PRODUTOS!$D$2:$D$1006,$G719))</f>
        <v/>
      </c>
    </row>
    <row r="720" spans="7:20" ht="18" customHeight="1" x14ac:dyDescent="0.35">
      <c r="G720" t="str">
        <f ca="1">IFERROR(_xludf.aggregate(15,6,(ROW(BASE_PRODUTOS!$L$2:$L$1006)-ROW(BASE_PRODUTOS!$L$2)+1)/(BASE_PRODUTOS!$L$2:$L$1006&gt;0),ROWS($G$10:G720)),"")</f>
        <v/>
      </c>
      <c r="H720" s="9" t="str">
        <f ca="1">IF($G720="","",INDEX(BASE_PRODUTOS!$B$2:$B$1006,$G720))</f>
        <v/>
      </c>
      <c r="I720" s="9" t="str">
        <f ca="1">IF($G720="","",INDEX(BASE_PRODUTOS!$L$2:$L$1006,$G720))</f>
        <v/>
      </c>
      <c r="J720" s="9" t="str">
        <f ca="1">IF($G720="","",INDEX(BASE_PRODUTOS!$A$2:$A$1006,$G720))</f>
        <v/>
      </c>
      <c r="K720" s="9" t="str">
        <f ca="1">IF($G720="","",INDEX(BASE_PRODUTOS!$C$2:$C$1006,$G720))</f>
        <v/>
      </c>
      <c r="L720" s="9" t="str">
        <f ca="1">IF($G720="","",INDEX(BASE_PRODUTOS!$E$2:$E$1006,$G720))</f>
        <v/>
      </c>
      <c r="M720" s="9" t="str">
        <f ca="1">IF($G720="","",INDEX(BASE_PRODUTOS!$F$2:$F$1006,$G720))</f>
        <v/>
      </c>
      <c r="N720" s="9" t="str">
        <f ca="1">IF($G720="","",INDEX(BASE_PRODUTOS!$G$2:$G$1006,$G720))</f>
        <v/>
      </c>
      <c r="O720" s="9" t="str">
        <f ca="1">IF($G720="","",INDEX(BASE_PRODUTOS!$H$2:$H$1006,$G720))</f>
        <v/>
      </c>
      <c r="P720" s="9" t="str">
        <f ca="1">IF($G720="","",INDEX(BASE_PRODUTOS!$I$2:$I$1006,$G720))</f>
        <v/>
      </c>
      <c r="Q720" s="9" t="str">
        <f ca="1">IF($G720="","",INDEX(BASE_PRODUTOS!$J$2:$J$1006,$G720))</f>
        <v/>
      </c>
      <c r="R720" s="9" t="str">
        <f ca="1">IF($G720="","",INDEX(BASE_PRODUTOS!$M$2:$M$1006,$G720))</f>
        <v/>
      </c>
      <c r="S720" s="9" t="str">
        <f ca="1">IF($G720="","",INDEX(BASE_PRODUTOS!$N$2:$N$1006,$G720))</f>
        <v/>
      </c>
      <c r="T720" s="9" t="str">
        <f ca="1">IF($G720="","",INDEX(BASE_PRODUTOS!$D$2:$D$1006,$G720))</f>
        <v/>
      </c>
    </row>
    <row r="721" spans="7:20" ht="18" customHeight="1" x14ac:dyDescent="0.35">
      <c r="G721" t="str">
        <f ca="1">IFERROR(_xludf.aggregate(15,6,(ROW(BASE_PRODUTOS!$L$2:$L$1006)-ROW(BASE_PRODUTOS!$L$2)+1)/(BASE_PRODUTOS!$L$2:$L$1006&gt;0),ROWS($G$10:G721)),"")</f>
        <v/>
      </c>
      <c r="H721" s="9" t="str">
        <f ca="1">IF($G721="","",INDEX(BASE_PRODUTOS!$B$2:$B$1006,$G721))</f>
        <v/>
      </c>
      <c r="I721" s="9" t="str">
        <f ca="1">IF($G721="","",INDEX(BASE_PRODUTOS!$L$2:$L$1006,$G721))</f>
        <v/>
      </c>
      <c r="J721" s="9" t="str">
        <f ca="1">IF($G721="","",INDEX(BASE_PRODUTOS!$A$2:$A$1006,$G721))</f>
        <v/>
      </c>
      <c r="K721" s="9" t="str">
        <f ca="1">IF($G721="","",INDEX(BASE_PRODUTOS!$C$2:$C$1006,$G721))</f>
        <v/>
      </c>
      <c r="L721" s="9" t="str">
        <f ca="1">IF($G721="","",INDEX(BASE_PRODUTOS!$E$2:$E$1006,$G721))</f>
        <v/>
      </c>
      <c r="M721" s="9" t="str">
        <f ca="1">IF($G721="","",INDEX(BASE_PRODUTOS!$F$2:$F$1006,$G721))</f>
        <v/>
      </c>
      <c r="N721" s="9" t="str">
        <f ca="1">IF($G721="","",INDEX(BASE_PRODUTOS!$G$2:$G$1006,$G721))</f>
        <v/>
      </c>
      <c r="O721" s="9" t="str">
        <f ca="1">IF($G721="","",INDEX(BASE_PRODUTOS!$H$2:$H$1006,$G721))</f>
        <v/>
      </c>
      <c r="P721" s="9" t="str">
        <f ca="1">IF($G721="","",INDEX(BASE_PRODUTOS!$I$2:$I$1006,$G721))</f>
        <v/>
      </c>
      <c r="Q721" s="9" t="str">
        <f ca="1">IF($G721="","",INDEX(BASE_PRODUTOS!$J$2:$J$1006,$G721))</f>
        <v/>
      </c>
      <c r="R721" s="9" t="str">
        <f ca="1">IF($G721="","",INDEX(BASE_PRODUTOS!$M$2:$M$1006,$G721))</f>
        <v/>
      </c>
      <c r="S721" s="9" t="str">
        <f ca="1">IF($G721="","",INDEX(BASE_PRODUTOS!$N$2:$N$1006,$G721))</f>
        <v/>
      </c>
      <c r="T721" s="9" t="str">
        <f ca="1">IF($G721="","",INDEX(BASE_PRODUTOS!$D$2:$D$1006,$G721))</f>
        <v/>
      </c>
    </row>
    <row r="722" spans="7:20" ht="18" customHeight="1" x14ac:dyDescent="0.35">
      <c r="G722" t="str">
        <f ca="1">IFERROR(_xludf.aggregate(15,6,(ROW(BASE_PRODUTOS!$L$2:$L$1006)-ROW(BASE_PRODUTOS!$L$2)+1)/(BASE_PRODUTOS!$L$2:$L$1006&gt;0),ROWS($G$10:G722)),"")</f>
        <v/>
      </c>
      <c r="H722" s="9" t="str">
        <f ca="1">IF($G722="","",INDEX(BASE_PRODUTOS!$B$2:$B$1006,$G722))</f>
        <v/>
      </c>
      <c r="I722" s="9" t="str">
        <f ca="1">IF($G722="","",INDEX(BASE_PRODUTOS!$L$2:$L$1006,$G722))</f>
        <v/>
      </c>
      <c r="J722" s="9" t="str">
        <f ca="1">IF($G722="","",INDEX(BASE_PRODUTOS!$A$2:$A$1006,$G722))</f>
        <v/>
      </c>
      <c r="K722" s="9" t="str">
        <f ca="1">IF($G722="","",INDEX(BASE_PRODUTOS!$C$2:$C$1006,$G722))</f>
        <v/>
      </c>
      <c r="L722" s="9" t="str">
        <f ca="1">IF($G722="","",INDEX(BASE_PRODUTOS!$E$2:$E$1006,$G722))</f>
        <v/>
      </c>
      <c r="M722" s="9" t="str">
        <f ca="1">IF($G722="","",INDEX(BASE_PRODUTOS!$F$2:$F$1006,$G722))</f>
        <v/>
      </c>
      <c r="N722" s="9" t="str">
        <f ca="1">IF($G722="","",INDEX(BASE_PRODUTOS!$G$2:$G$1006,$G722))</f>
        <v/>
      </c>
      <c r="O722" s="9" t="str">
        <f ca="1">IF($G722="","",INDEX(BASE_PRODUTOS!$H$2:$H$1006,$G722))</f>
        <v/>
      </c>
      <c r="P722" s="9" t="str">
        <f ca="1">IF($G722="","",INDEX(BASE_PRODUTOS!$I$2:$I$1006,$G722))</f>
        <v/>
      </c>
      <c r="Q722" s="9" t="str">
        <f ca="1">IF($G722="","",INDEX(BASE_PRODUTOS!$J$2:$J$1006,$G722))</f>
        <v/>
      </c>
      <c r="R722" s="9" t="str">
        <f ca="1">IF($G722="","",INDEX(BASE_PRODUTOS!$M$2:$M$1006,$G722))</f>
        <v/>
      </c>
      <c r="S722" s="9" t="str">
        <f ca="1">IF($G722="","",INDEX(BASE_PRODUTOS!$N$2:$N$1006,$G722))</f>
        <v/>
      </c>
      <c r="T722" s="9" t="str">
        <f ca="1">IF($G722="","",INDEX(BASE_PRODUTOS!$D$2:$D$1006,$G722))</f>
        <v/>
      </c>
    </row>
    <row r="723" spans="7:20" ht="18" customHeight="1" x14ac:dyDescent="0.35">
      <c r="G723" t="str">
        <f ca="1">IFERROR(_xludf.aggregate(15,6,(ROW(BASE_PRODUTOS!$L$2:$L$1006)-ROW(BASE_PRODUTOS!$L$2)+1)/(BASE_PRODUTOS!$L$2:$L$1006&gt;0),ROWS($G$10:G723)),"")</f>
        <v/>
      </c>
      <c r="H723" s="9" t="str">
        <f ca="1">IF($G723="","",INDEX(BASE_PRODUTOS!$B$2:$B$1006,$G723))</f>
        <v/>
      </c>
      <c r="I723" s="9" t="str">
        <f ca="1">IF($G723="","",INDEX(BASE_PRODUTOS!$L$2:$L$1006,$G723))</f>
        <v/>
      </c>
      <c r="J723" s="9" t="str">
        <f ca="1">IF($G723="","",INDEX(BASE_PRODUTOS!$A$2:$A$1006,$G723))</f>
        <v/>
      </c>
      <c r="K723" s="9" t="str">
        <f ca="1">IF($G723="","",INDEX(BASE_PRODUTOS!$C$2:$C$1006,$G723))</f>
        <v/>
      </c>
      <c r="L723" s="9" t="str">
        <f ca="1">IF($G723="","",INDEX(BASE_PRODUTOS!$E$2:$E$1006,$G723))</f>
        <v/>
      </c>
      <c r="M723" s="9" t="str">
        <f ca="1">IF($G723="","",INDEX(BASE_PRODUTOS!$F$2:$F$1006,$G723))</f>
        <v/>
      </c>
      <c r="N723" s="9" t="str">
        <f ca="1">IF($G723="","",INDEX(BASE_PRODUTOS!$G$2:$G$1006,$G723))</f>
        <v/>
      </c>
      <c r="O723" s="9" t="str">
        <f ca="1">IF($G723="","",INDEX(BASE_PRODUTOS!$H$2:$H$1006,$G723))</f>
        <v/>
      </c>
      <c r="P723" s="9" t="str">
        <f ca="1">IF($G723="","",INDEX(BASE_PRODUTOS!$I$2:$I$1006,$G723))</f>
        <v/>
      </c>
      <c r="Q723" s="9" t="str">
        <f ca="1">IF($G723="","",INDEX(BASE_PRODUTOS!$J$2:$J$1006,$G723))</f>
        <v/>
      </c>
      <c r="R723" s="9" t="str">
        <f ca="1">IF($G723="","",INDEX(BASE_PRODUTOS!$M$2:$M$1006,$G723))</f>
        <v/>
      </c>
      <c r="S723" s="9" t="str">
        <f ca="1">IF($G723="","",INDEX(BASE_PRODUTOS!$N$2:$N$1006,$G723))</f>
        <v/>
      </c>
      <c r="T723" s="9" t="str">
        <f ca="1">IF($G723="","",INDEX(BASE_PRODUTOS!$D$2:$D$1006,$G723))</f>
        <v/>
      </c>
    </row>
    <row r="724" spans="7:20" ht="18" customHeight="1" x14ac:dyDescent="0.35">
      <c r="G724" t="str">
        <f ca="1">IFERROR(_xludf.aggregate(15,6,(ROW(BASE_PRODUTOS!$L$2:$L$1006)-ROW(BASE_PRODUTOS!$L$2)+1)/(BASE_PRODUTOS!$L$2:$L$1006&gt;0),ROWS($G$10:G724)),"")</f>
        <v/>
      </c>
      <c r="H724" s="9" t="str">
        <f ca="1">IF($G724="","",INDEX(BASE_PRODUTOS!$B$2:$B$1006,$G724))</f>
        <v/>
      </c>
      <c r="I724" s="9" t="str">
        <f ca="1">IF($G724="","",INDEX(BASE_PRODUTOS!$L$2:$L$1006,$G724))</f>
        <v/>
      </c>
      <c r="J724" s="9" t="str">
        <f ca="1">IF($G724="","",INDEX(BASE_PRODUTOS!$A$2:$A$1006,$G724))</f>
        <v/>
      </c>
      <c r="K724" s="9" t="str">
        <f ca="1">IF($G724="","",INDEX(BASE_PRODUTOS!$C$2:$C$1006,$G724))</f>
        <v/>
      </c>
      <c r="L724" s="9" t="str">
        <f ca="1">IF($G724="","",INDEX(BASE_PRODUTOS!$E$2:$E$1006,$G724))</f>
        <v/>
      </c>
      <c r="M724" s="9" t="str">
        <f ca="1">IF($G724="","",INDEX(BASE_PRODUTOS!$F$2:$F$1006,$G724))</f>
        <v/>
      </c>
      <c r="N724" s="9" t="str">
        <f ca="1">IF($G724="","",INDEX(BASE_PRODUTOS!$G$2:$G$1006,$G724))</f>
        <v/>
      </c>
      <c r="O724" s="9" t="str">
        <f ca="1">IF($G724="","",INDEX(BASE_PRODUTOS!$H$2:$H$1006,$G724))</f>
        <v/>
      </c>
      <c r="P724" s="9" t="str">
        <f ca="1">IF($G724="","",INDEX(BASE_PRODUTOS!$I$2:$I$1006,$G724))</f>
        <v/>
      </c>
      <c r="Q724" s="9" t="str">
        <f ca="1">IF($G724="","",INDEX(BASE_PRODUTOS!$J$2:$J$1006,$G724))</f>
        <v/>
      </c>
      <c r="R724" s="9" t="str">
        <f ca="1">IF($G724="","",INDEX(BASE_PRODUTOS!$M$2:$M$1006,$G724))</f>
        <v/>
      </c>
      <c r="S724" s="9" t="str">
        <f ca="1">IF($G724="","",INDEX(BASE_PRODUTOS!$N$2:$N$1006,$G724))</f>
        <v/>
      </c>
      <c r="T724" s="9" t="str">
        <f ca="1">IF($G724="","",INDEX(BASE_PRODUTOS!$D$2:$D$1006,$G724))</f>
        <v/>
      </c>
    </row>
    <row r="725" spans="7:20" ht="18" customHeight="1" x14ac:dyDescent="0.35">
      <c r="G725" t="str">
        <f ca="1">IFERROR(_xludf.aggregate(15,6,(ROW(BASE_PRODUTOS!$L$2:$L$1006)-ROW(BASE_PRODUTOS!$L$2)+1)/(BASE_PRODUTOS!$L$2:$L$1006&gt;0),ROWS($G$10:G725)),"")</f>
        <v/>
      </c>
      <c r="H725" s="9" t="str">
        <f ca="1">IF($G725="","",INDEX(BASE_PRODUTOS!$B$2:$B$1006,$G725))</f>
        <v/>
      </c>
      <c r="I725" s="9" t="str">
        <f ca="1">IF($G725="","",INDEX(BASE_PRODUTOS!$L$2:$L$1006,$G725))</f>
        <v/>
      </c>
      <c r="J725" s="9" t="str">
        <f ca="1">IF($G725="","",INDEX(BASE_PRODUTOS!$A$2:$A$1006,$G725))</f>
        <v/>
      </c>
      <c r="K725" s="9" t="str">
        <f ca="1">IF($G725="","",INDEX(BASE_PRODUTOS!$C$2:$C$1006,$G725))</f>
        <v/>
      </c>
      <c r="L725" s="9" t="str">
        <f ca="1">IF($G725="","",INDEX(BASE_PRODUTOS!$E$2:$E$1006,$G725))</f>
        <v/>
      </c>
      <c r="M725" s="9" t="str">
        <f ca="1">IF($G725="","",INDEX(BASE_PRODUTOS!$F$2:$F$1006,$G725))</f>
        <v/>
      </c>
      <c r="N725" s="9" t="str">
        <f ca="1">IF($G725="","",INDEX(BASE_PRODUTOS!$G$2:$G$1006,$G725))</f>
        <v/>
      </c>
      <c r="O725" s="9" t="str">
        <f ca="1">IF($G725="","",INDEX(BASE_PRODUTOS!$H$2:$H$1006,$G725))</f>
        <v/>
      </c>
      <c r="P725" s="9" t="str">
        <f ca="1">IF($G725="","",INDEX(BASE_PRODUTOS!$I$2:$I$1006,$G725))</f>
        <v/>
      </c>
      <c r="Q725" s="9" t="str">
        <f ca="1">IF($G725="","",INDEX(BASE_PRODUTOS!$J$2:$J$1006,$G725))</f>
        <v/>
      </c>
      <c r="R725" s="9" t="str">
        <f ca="1">IF($G725="","",INDEX(BASE_PRODUTOS!$M$2:$M$1006,$G725))</f>
        <v/>
      </c>
      <c r="S725" s="9" t="str">
        <f ca="1">IF($G725="","",INDEX(BASE_PRODUTOS!$N$2:$N$1006,$G725))</f>
        <v/>
      </c>
      <c r="T725" s="9" t="str">
        <f ca="1">IF($G725="","",INDEX(BASE_PRODUTOS!$D$2:$D$1006,$G725))</f>
        <v/>
      </c>
    </row>
    <row r="726" spans="7:20" ht="18" customHeight="1" x14ac:dyDescent="0.35">
      <c r="G726" t="str">
        <f ca="1">IFERROR(_xludf.aggregate(15,6,(ROW(BASE_PRODUTOS!$L$2:$L$1006)-ROW(BASE_PRODUTOS!$L$2)+1)/(BASE_PRODUTOS!$L$2:$L$1006&gt;0),ROWS($G$10:G726)),"")</f>
        <v/>
      </c>
      <c r="H726" s="9" t="str">
        <f ca="1">IF($G726="","",INDEX(BASE_PRODUTOS!$B$2:$B$1006,$G726))</f>
        <v/>
      </c>
      <c r="I726" s="9" t="str">
        <f ca="1">IF($G726="","",INDEX(BASE_PRODUTOS!$L$2:$L$1006,$G726))</f>
        <v/>
      </c>
      <c r="J726" s="9" t="str">
        <f ca="1">IF($G726="","",INDEX(BASE_PRODUTOS!$A$2:$A$1006,$G726))</f>
        <v/>
      </c>
      <c r="K726" s="9" t="str">
        <f ca="1">IF($G726="","",INDEX(BASE_PRODUTOS!$C$2:$C$1006,$G726))</f>
        <v/>
      </c>
      <c r="L726" s="9" t="str">
        <f ca="1">IF($G726="","",INDEX(BASE_PRODUTOS!$E$2:$E$1006,$G726))</f>
        <v/>
      </c>
      <c r="M726" s="9" t="str">
        <f ca="1">IF($G726="","",INDEX(BASE_PRODUTOS!$F$2:$F$1006,$G726))</f>
        <v/>
      </c>
      <c r="N726" s="9" t="str">
        <f ca="1">IF($G726="","",INDEX(BASE_PRODUTOS!$G$2:$G$1006,$G726))</f>
        <v/>
      </c>
      <c r="O726" s="9" t="str">
        <f ca="1">IF($G726="","",INDEX(BASE_PRODUTOS!$H$2:$H$1006,$G726))</f>
        <v/>
      </c>
      <c r="P726" s="9" t="str">
        <f ca="1">IF($G726="","",INDEX(BASE_PRODUTOS!$I$2:$I$1006,$G726))</f>
        <v/>
      </c>
      <c r="Q726" s="9" t="str">
        <f ca="1">IF($G726="","",INDEX(BASE_PRODUTOS!$J$2:$J$1006,$G726))</f>
        <v/>
      </c>
      <c r="R726" s="9" t="str">
        <f ca="1">IF($G726="","",INDEX(BASE_PRODUTOS!$M$2:$M$1006,$G726))</f>
        <v/>
      </c>
      <c r="S726" s="9" t="str">
        <f ca="1">IF($G726="","",INDEX(BASE_PRODUTOS!$N$2:$N$1006,$G726))</f>
        <v/>
      </c>
      <c r="T726" s="9" t="str">
        <f ca="1">IF($G726="","",INDEX(BASE_PRODUTOS!$D$2:$D$1006,$G726))</f>
        <v/>
      </c>
    </row>
    <row r="727" spans="7:20" ht="18" customHeight="1" x14ac:dyDescent="0.35">
      <c r="G727" t="str">
        <f ca="1">IFERROR(_xludf.aggregate(15,6,(ROW(BASE_PRODUTOS!$L$2:$L$1006)-ROW(BASE_PRODUTOS!$L$2)+1)/(BASE_PRODUTOS!$L$2:$L$1006&gt;0),ROWS($G$10:G727)),"")</f>
        <v/>
      </c>
      <c r="H727" s="9" t="str">
        <f ca="1">IF($G727="","",INDEX(BASE_PRODUTOS!$B$2:$B$1006,$G727))</f>
        <v/>
      </c>
      <c r="I727" s="9" t="str">
        <f ca="1">IF($G727="","",INDEX(BASE_PRODUTOS!$L$2:$L$1006,$G727))</f>
        <v/>
      </c>
      <c r="J727" s="9" t="str">
        <f ca="1">IF($G727="","",INDEX(BASE_PRODUTOS!$A$2:$A$1006,$G727))</f>
        <v/>
      </c>
      <c r="K727" s="9" t="str">
        <f ca="1">IF($G727="","",INDEX(BASE_PRODUTOS!$C$2:$C$1006,$G727))</f>
        <v/>
      </c>
      <c r="L727" s="9" t="str">
        <f ca="1">IF($G727="","",INDEX(BASE_PRODUTOS!$E$2:$E$1006,$G727))</f>
        <v/>
      </c>
      <c r="M727" s="9" t="str">
        <f ca="1">IF($G727="","",INDEX(BASE_PRODUTOS!$F$2:$F$1006,$G727))</f>
        <v/>
      </c>
      <c r="N727" s="9" t="str">
        <f ca="1">IF($G727="","",INDEX(BASE_PRODUTOS!$G$2:$G$1006,$G727))</f>
        <v/>
      </c>
      <c r="O727" s="9" t="str">
        <f ca="1">IF($G727="","",INDEX(BASE_PRODUTOS!$H$2:$H$1006,$G727))</f>
        <v/>
      </c>
      <c r="P727" s="9" t="str">
        <f ca="1">IF($G727="","",INDEX(BASE_PRODUTOS!$I$2:$I$1006,$G727))</f>
        <v/>
      </c>
      <c r="Q727" s="9" t="str">
        <f ca="1">IF($G727="","",INDEX(BASE_PRODUTOS!$J$2:$J$1006,$G727))</f>
        <v/>
      </c>
      <c r="R727" s="9" t="str">
        <f ca="1">IF($G727="","",INDEX(BASE_PRODUTOS!$M$2:$M$1006,$G727))</f>
        <v/>
      </c>
      <c r="S727" s="9" t="str">
        <f ca="1">IF($G727="","",INDEX(BASE_PRODUTOS!$N$2:$N$1006,$G727))</f>
        <v/>
      </c>
      <c r="T727" s="9" t="str">
        <f ca="1">IF($G727="","",INDEX(BASE_PRODUTOS!$D$2:$D$1006,$G727))</f>
        <v/>
      </c>
    </row>
    <row r="728" spans="7:20" ht="18" customHeight="1" x14ac:dyDescent="0.35">
      <c r="G728" t="str">
        <f ca="1">IFERROR(_xludf.aggregate(15,6,(ROW(BASE_PRODUTOS!$L$2:$L$1006)-ROW(BASE_PRODUTOS!$L$2)+1)/(BASE_PRODUTOS!$L$2:$L$1006&gt;0),ROWS($G$10:G728)),"")</f>
        <v/>
      </c>
      <c r="H728" s="9" t="str">
        <f ca="1">IF($G728="","",INDEX(BASE_PRODUTOS!$B$2:$B$1006,$G728))</f>
        <v/>
      </c>
      <c r="I728" s="9" t="str">
        <f ca="1">IF($G728="","",INDEX(BASE_PRODUTOS!$L$2:$L$1006,$G728))</f>
        <v/>
      </c>
      <c r="J728" s="9" t="str">
        <f ca="1">IF($G728="","",INDEX(BASE_PRODUTOS!$A$2:$A$1006,$G728))</f>
        <v/>
      </c>
      <c r="K728" s="9" t="str">
        <f ca="1">IF($G728="","",INDEX(BASE_PRODUTOS!$C$2:$C$1006,$G728))</f>
        <v/>
      </c>
      <c r="L728" s="9" t="str">
        <f ca="1">IF($G728="","",INDEX(BASE_PRODUTOS!$E$2:$E$1006,$G728))</f>
        <v/>
      </c>
      <c r="M728" s="9" t="str">
        <f ca="1">IF($G728="","",INDEX(BASE_PRODUTOS!$F$2:$F$1006,$G728))</f>
        <v/>
      </c>
      <c r="N728" s="9" t="str">
        <f ca="1">IF($G728="","",INDEX(BASE_PRODUTOS!$G$2:$G$1006,$G728))</f>
        <v/>
      </c>
      <c r="O728" s="9" t="str">
        <f ca="1">IF($G728="","",INDEX(BASE_PRODUTOS!$H$2:$H$1006,$G728))</f>
        <v/>
      </c>
      <c r="P728" s="9" t="str">
        <f ca="1">IF($G728="","",INDEX(BASE_PRODUTOS!$I$2:$I$1006,$G728))</f>
        <v/>
      </c>
      <c r="Q728" s="9" t="str">
        <f ca="1">IF($G728="","",INDEX(BASE_PRODUTOS!$J$2:$J$1006,$G728))</f>
        <v/>
      </c>
      <c r="R728" s="9" t="str">
        <f ca="1">IF($G728="","",INDEX(BASE_PRODUTOS!$M$2:$M$1006,$G728))</f>
        <v/>
      </c>
      <c r="S728" s="9" t="str">
        <f ca="1">IF($G728="","",INDEX(BASE_PRODUTOS!$N$2:$N$1006,$G728))</f>
        <v/>
      </c>
      <c r="T728" s="9" t="str">
        <f ca="1">IF($G728="","",INDEX(BASE_PRODUTOS!$D$2:$D$1006,$G728))</f>
        <v/>
      </c>
    </row>
    <row r="729" spans="7:20" ht="18" customHeight="1" x14ac:dyDescent="0.35">
      <c r="G729" t="str">
        <f ca="1">IFERROR(_xludf.aggregate(15,6,(ROW(BASE_PRODUTOS!$L$2:$L$1006)-ROW(BASE_PRODUTOS!$L$2)+1)/(BASE_PRODUTOS!$L$2:$L$1006&gt;0),ROWS($G$10:G729)),"")</f>
        <v/>
      </c>
      <c r="H729" s="9" t="str">
        <f ca="1">IF($G729="","",INDEX(BASE_PRODUTOS!$B$2:$B$1006,$G729))</f>
        <v/>
      </c>
      <c r="I729" s="9" t="str">
        <f ca="1">IF($G729="","",INDEX(BASE_PRODUTOS!$L$2:$L$1006,$G729))</f>
        <v/>
      </c>
      <c r="J729" s="9" t="str">
        <f ca="1">IF($G729="","",INDEX(BASE_PRODUTOS!$A$2:$A$1006,$G729))</f>
        <v/>
      </c>
      <c r="K729" s="9" t="str">
        <f ca="1">IF($G729="","",INDEX(BASE_PRODUTOS!$C$2:$C$1006,$G729))</f>
        <v/>
      </c>
      <c r="L729" s="9" t="str">
        <f ca="1">IF($G729="","",INDEX(BASE_PRODUTOS!$E$2:$E$1006,$G729))</f>
        <v/>
      </c>
      <c r="M729" s="9" t="str">
        <f ca="1">IF($G729="","",INDEX(BASE_PRODUTOS!$F$2:$F$1006,$G729))</f>
        <v/>
      </c>
      <c r="N729" s="9" t="str">
        <f ca="1">IF($G729="","",INDEX(BASE_PRODUTOS!$G$2:$G$1006,$G729))</f>
        <v/>
      </c>
      <c r="O729" s="9" t="str">
        <f ca="1">IF($G729="","",INDEX(BASE_PRODUTOS!$H$2:$H$1006,$G729))</f>
        <v/>
      </c>
      <c r="P729" s="9" t="str">
        <f ca="1">IF($G729="","",INDEX(BASE_PRODUTOS!$I$2:$I$1006,$G729))</f>
        <v/>
      </c>
      <c r="Q729" s="9" t="str">
        <f ca="1">IF($G729="","",INDEX(BASE_PRODUTOS!$J$2:$J$1006,$G729))</f>
        <v/>
      </c>
      <c r="R729" s="9" t="str">
        <f ca="1">IF($G729="","",INDEX(BASE_PRODUTOS!$M$2:$M$1006,$G729))</f>
        <v/>
      </c>
      <c r="S729" s="9" t="str">
        <f ca="1">IF($G729="","",INDEX(BASE_PRODUTOS!$N$2:$N$1006,$G729))</f>
        <v/>
      </c>
      <c r="T729" s="9" t="str">
        <f ca="1">IF($G729="","",INDEX(BASE_PRODUTOS!$D$2:$D$1006,$G729))</f>
        <v/>
      </c>
    </row>
    <row r="730" spans="7:20" ht="18" customHeight="1" x14ac:dyDescent="0.35">
      <c r="G730" t="str">
        <f ca="1">IFERROR(_xludf.aggregate(15,6,(ROW(BASE_PRODUTOS!$L$2:$L$1006)-ROW(BASE_PRODUTOS!$L$2)+1)/(BASE_PRODUTOS!$L$2:$L$1006&gt;0),ROWS($G$10:G730)),"")</f>
        <v/>
      </c>
      <c r="H730" s="9" t="str">
        <f ca="1">IF($G730="","",INDEX(BASE_PRODUTOS!$B$2:$B$1006,$G730))</f>
        <v/>
      </c>
      <c r="I730" s="9" t="str">
        <f ca="1">IF($G730="","",INDEX(BASE_PRODUTOS!$L$2:$L$1006,$G730))</f>
        <v/>
      </c>
      <c r="J730" s="9" t="str">
        <f ca="1">IF($G730="","",INDEX(BASE_PRODUTOS!$A$2:$A$1006,$G730))</f>
        <v/>
      </c>
      <c r="K730" s="9" t="str">
        <f ca="1">IF($G730="","",INDEX(BASE_PRODUTOS!$C$2:$C$1006,$G730))</f>
        <v/>
      </c>
      <c r="L730" s="9" t="str">
        <f ca="1">IF($G730="","",INDEX(BASE_PRODUTOS!$E$2:$E$1006,$G730))</f>
        <v/>
      </c>
      <c r="M730" s="9" t="str">
        <f ca="1">IF($G730="","",INDEX(BASE_PRODUTOS!$F$2:$F$1006,$G730))</f>
        <v/>
      </c>
      <c r="N730" s="9" t="str">
        <f ca="1">IF($G730="","",INDEX(BASE_PRODUTOS!$G$2:$G$1006,$G730))</f>
        <v/>
      </c>
      <c r="O730" s="9" t="str">
        <f ca="1">IF($G730="","",INDEX(BASE_PRODUTOS!$H$2:$H$1006,$G730))</f>
        <v/>
      </c>
      <c r="P730" s="9" t="str">
        <f ca="1">IF($G730="","",INDEX(BASE_PRODUTOS!$I$2:$I$1006,$G730))</f>
        <v/>
      </c>
      <c r="Q730" s="9" t="str">
        <f ca="1">IF($G730="","",INDEX(BASE_PRODUTOS!$J$2:$J$1006,$G730))</f>
        <v/>
      </c>
      <c r="R730" s="9" t="str">
        <f ca="1">IF($G730="","",INDEX(BASE_PRODUTOS!$M$2:$M$1006,$G730))</f>
        <v/>
      </c>
      <c r="S730" s="9" t="str">
        <f ca="1">IF($G730="","",INDEX(BASE_PRODUTOS!$N$2:$N$1006,$G730))</f>
        <v/>
      </c>
      <c r="T730" s="9" t="str">
        <f ca="1">IF($G730="","",INDEX(BASE_PRODUTOS!$D$2:$D$1006,$G730))</f>
        <v/>
      </c>
    </row>
    <row r="731" spans="7:20" ht="18" customHeight="1" x14ac:dyDescent="0.35">
      <c r="G731" t="str">
        <f ca="1">IFERROR(_xludf.aggregate(15,6,(ROW(BASE_PRODUTOS!$L$2:$L$1006)-ROW(BASE_PRODUTOS!$L$2)+1)/(BASE_PRODUTOS!$L$2:$L$1006&gt;0),ROWS($G$10:G731)),"")</f>
        <v/>
      </c>
      <c r="H731" s="9" t="str">
        <f ca="1">IF($G731="","",INDEX(BASE_PRODUTOS!$B$2:$B$1006,$G731))</f>
        <v/>
      </c>
      <c r="I731" s="9" t="str">
        <f ca="1">IF($G731="","",INDEX(BASE_PRODUTOS!$L$2:$L$1006,$G731))</f>
        <v/>
      </c>
      <c r="J731" s="9" t="str">
        <f ca="1">IF($G731="","",INDEX(BASE_PRODUTOS!$A$2:$A$1006,$G731))</f>
        <v/>
      </c>
      <c r="K731" s="9" t="str">
        <f ca="1">IF($G731="","",INDEX(BASE_PRODUTOS!$C$2:$C$1006,$G731))</f>
        <v/>
      </c>
      <c r="L731" s="9" t="str">
        <f ca="1">IF($G731="","",INDEX(BASE_PRODUTOS!$E$2:$E$1006,$G731))</f>
        <v/>
      </c>
      <c r="M731" s="9" t="str">
        <f ca="1">IF($G731="","",INDEX(BASE_PRODUTOS!$F$2:$F$1006,$G731))</f>
        <v/>
      </c>
      <c r="N731" s="9" t="str">
        <f ca="1">IF($G731="","",INDEX(BASE_PRODUTOS!$G$2:$G$1006,$G731))</f>
        <v/>
      </c>
      <c r="O731" s="9" t="str">
        <f ca="1">IF($G731="","",INDEX(BASE_PRODUTOS!$H$2:$H$1006,$G731))</f>
        <v/>
      </c>
      <c r="P731" s="9" t="str">
        <f ca="1">IF($G731="","",INDEX(BASE_PRODUTOS!$I$2:$I$1006,$G731))</f>
        <v/>
      </c>
      <c r="Q731" s="9" t="str">
        <f ca="1">IF($G731="","",INDEX(BASE_PRODUTOS!$J$2:$J$1006,$G731))</f>
        <v/>
      </c>
      <c r="R731" s="9" t="str">
        <f ca="1">IF($G731="","",INDEX(BASE_PRODUTOS!$M$2:$M$1006,$G731))</f>
        <v/>
      </c>
      <c r="S731" s="9" t="str">
        <f ca="1">IF($G731="","",INDEX(BASE_PRODUTOS!$N$2:$N$1006,$G731))</f>
        <v/>
      </c>
      <c r="T731" s="9" t="str">
        <f ca="1">IF($G731="","",INDEX(BASE_PRODUTOS!$D$2:$D$1006,$G731))</f>
        <v/>
      </c>
    </row>
    <row r="732" spans="7:20" ht="18" customHeight="1" x14ac:dyDescent="0.35">
      <c r="G732" t="str">
        <f ca="1">IFERROR(_xludf.aggregate(15,6,(ROW(BASE_PRODUTOS!$L$2:$L$1006)-ROW(BASE_PRODUTOS!$L$2)+1)/(BASE_PRODUTOS!$L$2:$L$1006&gt;0),ROWS($G$10:G732)),"")</f>
        <v/>
      </c>
      <c r="H732" s="9" t="str">
        <f ca="1">IF($G732="","",INDEX(BASE_PRODUTOS!$B$2:$B$1006,$G732))</f>
        <v/>
      </c>
      <c r="I732" s="9" t="str">
        <f ca="1">IF($G732="","",INDEX(BASE_PRODUTOS!$L$2:$L$1006,$G732))</f>
        <v/>
      </c>
      <c r="J732" s="9" t="str">
        <f ca="1">IF($G732="","",INDEX(BASE_PRODUTOS!$A$2:$A$1006,$G732))</f>
        <v/>
      </c>
      <c r="K732" s="9" t="str">
        <f ca="1">IF($G732="","",INDEX(BASE_PRODUTOS!$C$2:$C$1006,$G732))</f>
        <v/>
      </c>
      <c r="L732" s="9" t="str">
        <f ca="1">IF($G732="","",INDEX(BASE_PRODUTOS!$E$2:$E$1006,$G732))</f>
        <v/>
      </c>
      <c r="M732" s="9" t="str">
        <f ca="1">IF($G732="","",INDEX(BASE_PRODUTOS!$F$2:$F$1006,$G732))</f>
        <v/>
      </c>
      <c r="N732" s="9" t="str">
        <f ca="1">IF($G732="","",INDEX(BASE_PRODUTOS!$G$2:$G$1006,$G732))</f>
        <v/>
      </c>
      <c r="O732" s="9" t="str">
        <f ca="1">IF($G732="","",INDEX(BASE_PRODUTOS!$H$2:$H$1006,$G732))</f>
        <v/>
      </c>
      <c r="P732" s="9" t="str">
        <f ca="1">IF($G732="","",INDEX(BASE_PRODUTOS!$I$2:$I$1006,$G732))</f>
        <v/>
      </c>
      <c r="Q732" s="9" t="str">
        <f ca="1">IF($G732="","",INDEX(BASE_PRODUTOS!$J$2:$J$1006,$G732))</f>
        <v/>
      </c>
      <c r="R732" s="9" t="str">
        <f ca="1">IF($G732="","",INDEX(BASE_PRODUTOS!$M$2:$M$1006,$G732))</f>
        <v/>
      </c>
      <c r="S732" s="9" t="str">
        <f ca="1">IF($G732="","",INDEX(BASE_PRODUTOS!$N$2:$N$1006,$G732))</f>
        <v/>
      </c>
      <c r="T732" s="9" t="str">
        <f ca="1">IF($G732="","",INDEX(BASE_PRODUTOS!$D$2:$D$1006,$G732))</f>
        <v/>
      </c>
    </row>
    <row r="733" spans="7:20" ht="18" customHeight="1" x14ac:dyDescent="0.35">
      <c r="G733" t="str">
        <f ca="1">IFERROR(_xludf.aggregate(15,6,(ROW(BASE_PRODUTOS!$L$2:$L$1006)-ROW(BASE_PRODUTOS!$L$2)+1)/(BASE_PRODUTOS!$L$2:$L$1006&gt;0),ROWS($G$10:G733)),"")</f>
        <v/>
      </c>
      <c r="H733" s="9" t="str">
        <f ca="1">IF($G733="","",INDEX(BASE_PRODUTOS!$B$2:$B$1006,$G733))</f>
        <v/>
      </c>
      <c r="I733" s="9" t="str">
        <f ca="1">IF($G733="","",INDEX(BASE_PRODUTOS!$L$2:$L$1006,$G733))</f>
        <v/>
      </c>
      <c r="J733" s="9" t="str">
        <f ca="1">IF($G733="","",INDEX(BASE_PRODUTOS!$A$2:$A$1006,$G733))</f>
        <v/>
      </c>
      <c r="K733" s="9" t="str">
        <f ca="1">IF($G733="","",INDEX(BASE_PRODUTOS!$C$2:$C$1006,$G733))</f>
        <v/>
      </c>
      <c r="L733" s="9" t="str">
        <f ca="1">IF($G733="","",INDEX(BASE_PRODUTOS!$E$2:$E$1006,$G733))</f>
        <v/>
      </c>
      <c r="M733" s="9" t="str">
        <f ca="1">IF($G733="","",INDEX(BASE_PRODUTOS!$F$2:$F$1006,$G733))</f>
        <v/>
      </c>
      <c r="N733" s="9" t="str">
        <f ca="1">IF($G733="","",INDEX(BASE_PRODUTOS!$G$2:$G$1006,$G733))</f>
        <v/>
      </c>
      <c r="O733" s="9" t="str">
        <f ca="1">IF($G733="","",INDEX(BASE_PRODUTOS!$H$2:$H$1006,$G733))</f>
        <v/>
      </c>
      <c r="P733" s="9" t="str">
        <f ca="1">IF($G733="","",INDEX(BASE_PRODUTOS!$I$2:$I$1006,$G733))</f>
        <v/>
      </c>
      <c r="Q733" s="9" t="str">
        <f ca="1">IF($G733="","",INDEX(BASE_PRODUTOS!$J$2:$J$1006,$G733))</f>
        <v/>
      </c>
      <c r="R733" s="9" t="str">
        <f ca="1">IF($G733="","",INDEX(BASE_PRODUTOS!$M$2:$M$1006,$G733))</f>
        <v/>
      </c>
      <c r="S733" s="9" t="str">
        <f ca="1">IF($G733="","",INDEX(BASE_PRODUTOS!$N$2:$N$1006,$G733))</f>
        <v/>
      </c>
      <c r="T733" s="9" t="str">
        <f ca="1">IF($G733="","",INDEX(BASE_PRODUTOS!$D$2:$D$1006,$G733))</f>
        <v/>
      </c>
    </row>
    <row r="734" spans="7:20" ht="18" customHeight="1" x14ac:dyDescent="0.35">
      <c r="G734" t="str">
        <f ca="1">IFERROR(_xludf.aggregate(15,6,(ROW(BASE_PRODUTOS!$L$2:$L$1006)-ROW(BASE_PRODUTOS!$L$2)+1)/(BASE_PRODUTOS!$L$2:$L$1006&gt;0),ROWS($G$10:G734)),"")</f>
        <v/>
      </c>
      <c r="H734" s="9" t="str">
        <f ca="1">IF($G734="","",INDEX(BASE_PRODUTOS!$B$2:$B$1006,$G734))</f>
        <v/>
      </c>
      <c r="I734" s="9" t="str">
        <f ca="1">IF($G734="","",INDEX(BASE_PRODUTOS!$L$2:$L$1006,$G734))</f>
        <v/>
      </c>
      <c r="J734" s="9" t="str">
        <f ca="1">IF($G734="","",INDEX(BASE_PRODUTOS!$A$2:$A$1006,$G734))</f>
        <v/>
      </c>
      <c r="K734" s="9" t="str">
        <f ca="1">IF($G734="","",INDEX(BASE_PRODUTOS!$C$2:$C$1006,$G734))</f>
        <v/>
      </c>
      <c r="L734" s="9" t="str">
        <f ca="1">IF($G734="","",INDEX(BASE_PRODUTOS!$E$2:$E$1006,$G734))</f>
        <v/>
      </c>
      <c r="M734" s="9" t="str">
        <f ca="1">IF($G734="","",INDEX(BASE_PRODUTOS!$F$2:$F$1006,$G734))</f>
        <v/>
      </c>
      <c r="N734" s="9" t="str">
        <f ca="1">IF($G734="","",INDEX(BASE_PRODUTOS!$G$2:$G$1006,$G734))</f>
        <v/>
      </c>
      <c r="O734" s="9" t="str">
        <f ca="1">IF($G734="","",INDEX(BASE_PRODUTOS!$H$2:$H$1006,$G734))</f>
        <v/>
      </c>
      <c r="P734" s="9" t="str">
        <f ca="1">IF($G734="","",INDEX(BASE_PRODUTOS!$I$2:$I$1006,$G734))</f>
        <v/>
      </c>
      <c r="Q734" s="9" t="str">
        <f ca="1">IF($G734="","",INDEX(BASE_PRODUTOS!$J$2:$J$1006,$G734))</f>
        <v/>
      </c>
      <c r="R734" s="9" t="str">
        <f ca="1">IF($G734="","",INDEX(BASE_PRODUTOS!$M$2:$M$1006,$G734))</f>
        <v/>
      </c>
      <c r="S734" s="9" t="str">
        <f ca="1">IF($G734="","",INDEX(BASE_PRODUTOS!$N$2:$N$1006,$G734))</f>
        <v/>
      </c>
      <c r="T734" s="9" t="str">
        <f ca="1">IF($G734="","",INDEX(BASE_PRODUTOS!$D$2:$D$1006,$G734))</f>
        <v/>
      </c>
    </row>
    <row r="735" spans="7:20" ht="18" customHeight="1" x14ac:dyDescent="0.35">
      <c r="G735" t="str">
        <f ca="1">IFERROR(_xludf.aggregate(15,6,(ROW(BASE_PRODUTOS!$L$2:$L$1006)-ROW(BASE_PRODUTOS!$L$2)+1)/(BASE_PRODUTOS!$L$2:$L$1006&gt;0),ROWS($G$10:G735)),"")</f>
        <v/>
      </c>
      <c r="H735" s="9" t="str">
        <f ca="1">IF($G735="","",INDEX(BASE_PRODUTOS!$B$2:$B$1006,$G735))</f>
        <v/>
      </c>
      <c r="I735" s="9" t="str">
        <f ca="1">IF($G735="","",INDEX(BASE_PRODUTOS!$L$2:$L$1006,$G735))</f>
        <v/>
      </c>
      <c r="J735" s="9" t="str">
        <f ca="1">IF($G735="","",INDEX(BASE_PRODUTOS!$A$2:$A$1006,$G735))</f>
        <v/>
      </c>
      <c r="K735" s="9" t="str">
        <f ca="1">IF($G735="","",INDEX(BASE_PRODUTOS!$C$2:$C$1006,$G735))</f>
        <v/>
      </c>
      <c r="L735" s="9" t="str">
        <f ca="1">IF($G735="","",INDEX(BASE_PRODUTOS!$E$2:$E$1006,$G735))</f>
        <v/>
      </c>
      <c r="M735" s="9" t="str">
        <f ca="1">IF($G735="","",INDEX(BASE_PRODUTOS!$F$2:$F$1006,$G735))</f>
        <v/>
      </c>
      <c r="N735" s="9" t="str">
        <f ca="1">IF($G735="","",INDEX(BASE_PRODUTOS!$G$2:$G$1006,$G735))</f>
        <v/>
      </c>
      <c r="O735" s="9" t="str">
        <f ca="1">IF($G735="","",INDEX(BASE_PRODUTOS!$H$2:$H$1006,$G735))</f>
        <v/>
      </c>
      <c r="P735" s="9" t="str">
        <f ca="1">IF($G735="","",INDEX(BASE_PRODUTOS!$I$2:$I$1006,$G735))</f>
        <v/>
      </c>
      <c r="Q735" s="9" t="str">
        <f ca="1">IF($G735="","",INDEX(BASE_PRODUTOS!$J$2:$J$1006,$G735))</f>
        <v/>
      </c>
      <c r="R735" s="9" t="str">
        <f ca="1">IF($G735="","",INDEX(BASE_PRODUTOS!$M$2:$M$1006,$G735))</f>
        <v/>
      </c>
      <c r="S735" s="9" t="str">
        <f ca="1">IF($G735="","",INDEX(BASE_PRODUTOS!$N$2:$N$1006,$G735))</f>
        <v/>
      </c>
      <c r="T735" s="9" t="str">
        <f ca="1">IF($G735="","",INDEX(BASE_PRODUTOS!$D$2:$D$1006,$G735))</f>
        <v/>
      </c>
    </row>
    <row r="736" spans="7:20" ht="18" customHeight="1" x14ac:dyDescent="0.35">
      <c r="G736" t="str">
        <f ca="1">IFERROR(_xludf.aggregate(15,6,(ROW(BASE_PRODUTOS!$L$2:$L$1006)-ROW(BASE_PRODUTOS!$L$2)+1)/(BASE_PRODUTOS!$L$2:$L$1006&gt;0),ROWS($G$10:G736)),"")</f>
        <v/>
      </c>
      <c r="H736" s="9" t="str">
        <f ca="1">IF($G736="","",INDEX(BASE_PRODUTOS!$B$2:$B$1006,$G736))</f>
        <v/>
      </c>
      <c r="I736" s="9" t="str">
        <f ca="1">IF($G736="","",INDEX(BASE_PRODUTOS!$L$2:$L$1006,$G736))</f>
        <v/>
      </c>
      <c r="J736" s="9" t="str">
        <f ca="1">IF($G736="","",INDEX(BASE_PRODUTOS!$A$2:$A$1006,$G736))</f>
        <v/>
      </c>
      <c r="K736" s="9" t="str">
        <f ca="1">IF($G736="","",INDEX(BASE_PRODUTOS!$C$2:$C$1006,$G736))</f>
        <v/>
      </c>
      <c r="L736" s="9" t="str">
        <f ca="1">IF($G736="","",INDEX(BASE_PRODUTOS!$E$2:$E$1006,$G736))</f>
        <v/>
      </c>
      <c r="M736" s="9" t="str">
        <f ca="1">IF($G736="","",INDEX(BASE_PRODUTOS!$F$2:$F$1006,$G736))</f>
        <v/>
      </c>
      <c r="N736" s="9" t="str">
        <f ca="1">IF($G736="","",INDEX(BASE_PRODUTOS!$G$2:$G$1006,$G736))</f>
        <v/>
      </c>
      <c r="O736" s="9" t="str">
        <f ca="1">IF($G736="","",INDEX(BASE_PRODUTOS!$H$2:$H$1006,$G736))</f>
        <v/>
      </c>
      <c r="P736" s="9" t="str">
        <f ca="1">IF($G736="","",INDEX(BASE_PRODUTOS!$I$2:$I$1006,$G736))</f>
        <v/>
      </c>
      <c r="Q736" s="9" t="str">
        <f ca="1">IF($G736="","",INDEX(BASE_PRODUTOS!$J$2:$J$1006,$G736))</f>
        <v/>
      </c>
      <c r="R736" s="9" t="str">
        <f ca="1">IF($G736="","",INDEX(BASE_PRODUTOS!$M$2:$M$1006,$G736))</f>
        <v/>
      </c>
      <c r="S736" s="9" t="str">
        <f ca="1">IF($G736="","",INDEX(BASE_PRODUTOS!$N$2:$N$1006,$G736))</f>
        <v/>
      </c>
      <c r="T736" s="9" t="str">
        <f ca="1">IF($G736="","",INDEX(BASE_PRODUTOS!$D$2:$D$1006,$G736))</f>
        <v/>
      </c>
    </row>
    <row r="737" spans="7:20" ht="18" customHeight="1" x14ac:dyDescent="0.35">
      <c r="G737" t="str">
        <f ca="1">IFERROR(_xludf.aggregate(15,6,(ROW(BASE_PRODUTOS!$L$2:$L$1006)-ROW(BASE_PRODUTOS!$L$2)+1)/(BASE_PRODUTOS!$L$2:$L$1006&gt;0),ROWS($G$10:G737)),"")</f>
        <v/>
      </c>
      <c r="H737" s="9" t="str">
        <f ca="1">IF($G737="","",INDEX(BASE_PRODUTOS!$B$2:$B$1006,$G737))</f>
        <v/>
      </c>
      <c r="I737" s="9" t="str">
        <f ca="1">IF($G737="","",INDEX(BASE_PRODUTOS!$L$2:$L$1006,$G737))</f>
        <v/>
      </c>
      <c r="J737" s="9" t="str">
        <f ca="1">IF($G737="","",INDEX(BASE_PRODUTOS!$A$2:$A$1006,$G737))</f>
        <v/>
      </c>
      <c r="K737" s="9" t="str">
        <f ca="1">IF($G737="","",INDEX(BASE_PRODUTOS!$C$2:$C$1006,$G737))</f>
        <v/>
      </c>
      <c r="L737" s="9" t="str">
        <f ca="1">IF($G737="","",INDEX(BASE_PRODUTOS!$E$2:$E$1006,$G737))</f>
        <v/>
      </c>
      <c r="M737" s="9" t="str">
        <f ca="1">IF($G737="","",INDEX(BASE_PRODUTOS!$F$2:$F$1006,$G737))</f>
        <v/>
      </c>
      <c r="N737" s="9" t="str">
        <f ca="1">IF($G737="","",INDEX(BASE_PRODUTOS!$G$2:$G$1006,$G737))</f>
        <v/>
      </c>
      <c r="O737" s="9" t="str">
        <f ca="1">IF($G737="","",INDEX(BASE_PRODUTOS!$H$2:$H$1006,$G737))</f>
        <v/>
      </c>
      <c r="P737" s="9" t="str">
        <f ca="1">IF($G737="","",INDEX(BASE_PRODUTOS!$I$2:$I$1006,$G737))</f>
        <v/>
      </c>
      <c r="Q737" s="9" t="str">
        <f ca="1">IF($G737="","",INDEX(BASE_PRODUTOS!$J$2:$J$1006,$G737))</f>
        <v/>
      </c>
      <c r="R737" s="9" t="str">
        <f ca="1">IF($G737="","",INDEX(BASE_PRODUTOS!$M$2:$M$1006,$G737))</f>
        <v/>
      </c>
      <c r="S737" s="9" t="str">
        <f ca="1">IF($G737="","",INDEX(BASE_PRODUTOS!$N$2:$N$1006,$G737))</f>
        <v/>
      </c>
      <c r="T737" s="9" t="str">
        <f ca="1">IF($G737="","",INDEX(BASE_PRODUTOS!$D$2:$D$1006,$G737))</f>
        <v/>
      </c>
    </row>
    <row r="738" spans="7:20" ht="18" customHeight="1" x14ac:dyDescent="0.35">
      <c r="G738" t="str">
        <f ca="1">IFERROR(_xludf.aggregate(15,6,(ROW(BASE_PRODUTOS!$L$2:$L$1006)-ROW(BASE_PRODUTOS!$L$2)+1)/(BASE_PRODUTOS!$L$2:$L$1006&gt;0),ROWS($G$10:G738)),"")</f>
        <v/>
      </c>
      <c r="H738" s="9" t="str">
        <f ca="1">IF($G738="","",INDEX(BASE_PRODUTOS!$B$2:$B$1006,$G738))</f>
        <v/>
      </c>
      <c r="I738" s="9" t="str">
        <f ca="1">IF($G738="","",INDEX(BASE_PRODUTOS!$L$2:$L$1006,$G738))</f>
        <v/>
      </c>
      <c r="J738" s="9" t="str">
        <f ca="1">IF($G738="","",INDEX(BASE_PRODUTOS!$A$2:$A$1006,$G738))</f>
        <v/>
      </c>
      <c r="K738" s="9" t="str">
        <f ca="1">IF($G738="","",INDEX(BASE_PRODUTOS!$C$2:$C$1006,$G738))</f>
        <v/>
      </c>
      <c r="L738" s="9" t="str">
        <f ca="1">IF($G738="","",INDEX(BASE_PRODUTOS!$E$2:$E$1006,$G738))</f>
        <v/>
      </c>
      <c r="M738" s="9" t="str">
        <f ca="1">IF($G738="","",INDEX(BASE_PRODUTOS!$F$2:$F$1006,$G738))</f>
        <v/>
      </c>
      <c r="N738" s="9" t="str">
        <f ca="1">IF($G738="","",INDEX(BASE_PRODUTOS!$G$2:$G$1006,$G738))</f>
        <v/>
      </c>
      <c r="O738" s="9" t="str">
        <f ca="1">IF($G738="","",INDEX(BASE_PRODUTOS!$H$2:$H$1006,$G738))</f>
        <v/>
      </c>
      <c r="P738" s="9" t="str">
        <f ca="1">IF($G738="","",INDEX(BASE_PRODUTOS!$I$2:$I$1006,$G738))</f>
        <v/>
      </c>
      <c r="Q738" s="9" t="str">
        <f ca="1">IF($G738="","",INDEX(BASE_PRODUTOS!$J$2:$J$1006,$G738))</f>
        <v/>
      </c>
      <c r="R738" s="9" t="str">
        <f ca="1">IF($G738="","",INDEX(BASE_PRODUTOS!$M$2:$M$1006,$G738))</f>
        <v/>
      </c>
      <c r="S738" s="9" t="str">
        <f ca="1">IF($G738="","",INDEX(BASE_PRODUTOS!$N$2:$N$1006,$G738))</f>
        <v/>
      </c>
      <c r="T738" s="9" t="str">
        <f ca="1">IF($G738="","",INDEX(BASE_PRODUTOS!$D$2:$D$1006,$G738))</f>
        <v/>
      </c>
    </row>
    <row r="739" spans="7:20" ht="18" customHeight="1" x14ac:dyDescent="0.35">
      <c r="G739" t="str">
        <f ca="1">IFERROR(_xludf.aggregate(15,6,(ROW(BASE_PRODUTOS!$L$2:$L$1006)-ROW(BASE_PRODUTOS!$L$2)+1)/(BASE_PRODUTOS!$L$2:$L$1006&gt;0),ROWS($G$10:G739)),"")</f>
        <v/>
      </c>
      <c r="H739" s="9" t="str">
        <f ca="1">IF($G739="","",INDEX(BASE_PRODUTOS!$B$2:$B$1006,$G739))</f>
        <v/>
      </c>
      <c r="I739" s="9" t="str">
        <f ca="1">IF($G739="","",INDEX(BASE_PRODUTOS!$L$2:$L$1006,$G739))</f>
        <v/>
      </c>
      <c r="J739" s="9" t="str">
        <f ca="1">IF($G739="","",INDEX(BASE_PRODUTOS!$A$2:$A$1006,$G739))</f>
        <v/>
      </c>
      <c r="K739" s="9" t="str">
        <f ca="1">IF($G739="","",INDEX(BASE_PRODUTOS!$C$2:$C$1006,$G739))</f>
        <v/>
      </c>
      <c r="L739" s="9" t="str">
        <f ca="1">IF($G739="","",INDEX(BASE_PRODUTOS!$E$2:$E$1006,$G739))</f>
        <v/>
      </c>
      <c r="M739" s="9" t="str">
        <f ca="1">IF($G739="","",INDEX(BASE_PRODUTOS!$F$2:$F$1006,$G739))</f>
        <v/>
      </c>
      <c r="N739" s="9" t="str">
        <f ca="1">IF($G739="","",INDEX(BASE_PRODUTOS!$G$2:$G$1006,$G739))</f>
        <v/>
      </c>
      <c r="O739" s="9" t="str">
        <f ca="1">IF($G739="","",INDEX(BASE_PRODUTOS!$H$2:$H$1006,$G739))</f>
        <v/>
      </c>
      <c r="P739" s="9" t="str">
        <f ca="1">IF($G739="","",INDEX(BASE_PRODUTOS!$I$2:$I$1006,$G739))</f>
        <v/>
      </c>
      <c r="Q739" s="9" t="str">
        <f ca="1">IF($G739="","",INDEX(BASE_PRODUTOS!$J$2:$J$1006,$G739))</f>
        <v/>
      </c>
      <c r="R739" s="9" t="str">
        <f ca="1">IF($G739="","",INDEX(BASE_PRODUTOS!$M$2:$M$1006,$G739))</f>
        <v/>
      </c>
      <c r="S739" s="9" t="str">
        <f ca="1">IF($G739="","",INDEX(BASE_PRODUTOS!$N$2:$N$1006,$G739))</f>
        <v/>
      </c>
      <c r="T739" s="9" t="str">
        <f ca="1">IF($G739="","",INDEX(BASE_PRODUTOS!$D$2:$D$1006,$G739))</f>
        <v/>
      </c>
    </row>
    <row r="740" spans="7:20" ht="18" customHeight="1" x14ac:dyDescent="0.35">
      <c r="G740" t="str">
        <f ca="1">IFERROR(_xludf.aggregate(15,6,(ROW(BASE_PRODUTOS!$L$2:$L$1006)-ROW(BASE_PRODUTOS!$L$2)+1)/(BASE_PRODUTOS!$L$2:$L$1006&gt;0),ROWS($G$10:G740)),"")</f>
        <v/>
      </c>
      <c r="H740" s="9" t="str">
        <f ca="1">IF($G740="","",INDEX(BASE_PRODUTOS!$B$2:$B$1006,$G740))</f>
        <v/>
      </c>
      <c r="I740" s="9" t="str">
        <f ca="1">IF($G740="","",INDEX(BASE_PRODUTOS!$L$2:$L$1006,$G740))</f>
        <v/>
      </c>
      <c r="J740" s="9" t="str">
        <f ca="1">IF($G740="","",INDEX(BASE_PRODUTOS!$A$2:$A$1006,$G740))</f>
        <v/>
      </c>
      <c r="K740" s="9" t="str">
        <f ca="1">IF($G740="","",INDEX(BASE_PRODUTOS!$C$2:$C$1006,$G740))</f>
        <v/>
      </c>
      <c r="L740" s="9" t="str">
        <f ca="1">IF($G740="","",INDEX(BASE_PRODUTOS!$E$2:$E$1006,$G740))</f>
        <v/>
      </c>
      <c r="M740" s="9" t="str">
        <f ca="1">IF($G740="","",INDEX(BASE_PRODUTOS!$F$2:$F$1006,$G740))</f>
        <v/>
      </c>
      <c r="N740" s="9" t="str">
        <f ca="1">IF($G740="","",INDEX(BASE_PRODUTOS!$G$2:$G$1006,$G740))</f>
        <v/>
      </c>
      <c r="O740" s="9" t="str">
        <f ca="1">IF($G740="","",INDEX(BASE_PRODUTOS!$H$2:$H$1006,$G740))</f>
        <v/>
      </c>
      <c r="P740" s="9" t="str">
        <f ca="1">IF($G740="","",INDEX(BASE_PRODUTOS!$I$2:$I$1006,$G740))</f>
        <v/>
      </c>
      <c r="Q740" s="9" t="str">
        <f ca="1">IF($G740="","",INDEX(BASE_PRODUTOS!$J$2:$J$1006,$G740))</f>
        <v/>
      </c>
      <c r="R740" s="9" t="str">
        <f ca="1">IF($G740="","",INDEX(BASE_PRODUTOS!$M$2:$M$1006,$G740))</f>
        <v/>
      </c>
      <c r="S740" s="9" t="str">
        <f ca="1">IF($G740="","",INDEX(BASE_PRODUTOS!$N$2:$N$1006,$G740))</f>
        <v/>
      </c>
      <c r="T740" s="9" t="str">
        <f ca="1">IF($G740="","",INDEX(BASE_PRODUTOS!$D$2:$D$1006,$G740))</f>
        <v/>
      </c>
    </row>
    <row r="741" spans="7:20" ht="18" customHeight="1" x14ac:dyDescent="0.35">
      <c r="G741" t="str">
        <f ca="1">IFERROR(_xludf.aggregate(15,6,(ROW(BASE_PRODUTOS!$L$2:$L$1006)-ROW(BASE_PRODUTOS!$L$2)+1)/(BASE_PRODUTOS!$L$2:$L$1006&gt;0),ROWS($G$10:G741)),"")</f>
        <v/>
      </c>
      <c r="H741" s="9" t="str">
        <f ca="1">IF($G741="","",INDEX(BASE_PRODUTOS!$B$2:$B$1006,$G741))</f>
        <v/>
      </c>
      <c r="I741" s="9" t="str">
        <f ca="1">IF($G741="","",INDEX(BASE_PRODUTOS!$L$2:$L$1006,$G741))</f>
        <v/>
      </c>
      <c r="J741" s="9" t="str">
        <f ca="1">IF($G741="","",INDEX(BASE_PRODUTOS!$A$2:$A$1006,$G741))</f>
        <v/>
      </c>
      <c r="K741" s="9" t="str">
        <f ca="1">IF($G741="","",INDEX(BASE_PRODUTOS!$C$2:$C$1006,$G741))</f>
        <v/>
      </c>
      <c r="L741" s="9" t="str">
        <f ca="1">IF($G741="","",INDEX(BASE_PRODUTOS!$E$2:$E$1006,$G741))</f>
        <v/>
      </c>
      <c r="M741" s="9" t="str">
        <f ca="1">IF($G741="","",INDEX(BASE_PRODUTOS!$F$2:$F$1006,$G741))</f>
        <v/>
      </c>
      <c r="N741" s="9" t="str">
        <f ca="1">IF($G741="","",INDEX(BASE_PRODUTOS!$G$2:$G$1006,$G741))</f>
        <v/>
      </c>
      <c r="O741" s="9" t="str">
        <f ca="1">IF($G741="","",INDEX(BASE_PRODUTOS!$H$2:$H$1006,$G741))</f>
        <v/>
      </c>
      <c r="P741" s="9" t="str">
        <f ca="1">IF($G741="","",INDEX(BASE_PRODUTOS!$I$2:$I$1006,$G741))</f>
        <v/>
      </c>
      <c r="Q741" s="9" t="str">
        <f ca="1">IF($G741="","",INDEX(BASE_PRODUTOS!$J$2:$J$1006,$G741))</f>
        <v/>
      </c>
      <c r="R741" s="9" t="str">
        <f ca="1">IF($G741="","",INDEX(BASE_PRODUTOS!$M$2:$M$1006,$G741))</f>
        <v/>
      </c>
      <c r="S741" s="9" t="str">
        <f ca="1">IF($G741="","",INDEX(BASE_PRODUTOS!$N$2:$N$1006,$G741))</f>
        <v/>
      </c>
      <c r="T741" s="9" t="str">
        <f ca="1">IF($G741="","",INDEX(BASE_PRODUTOS!$D$2:$D$1006,$G741))</f>
        <v/>
      </c>
    </row>
    <row r="742" spans="7:20" ht="18" customHeight="1" x14ac:dyDescent="0.35">
      <c r="G742" t="str">
        <f ca="1">IFERROR(_xludf.aggregate(15,6,(ROW(BASE_PRODUTOS!$L$2:$L$1006)-ROW(BASE_PRODUTOS!$L$2)+1)/(BASE_PRODUTOS!$L$2:$L$1006&gt;0),ROWS($G$10:G742)),"")</f>
        <v/>
      </c>
      <c r="H742" s="9" t="str">
        <f ca="1">IF($G742="","",INDEX(BASE_PRODUTOS!$B$2:$B$1006,$G742))</f>
        <v/>
      </c>
      <c r="I742" s="9" t="str">
        <f ca="1">IF($G742="","",INDEX(BASE_PRODUTOS!$L$2:$L$1006,$G742))</f>
        <v/>
      </c>
      <c r="J742" s="9" t="str">
        <f ca="1">IF($G742="","",INDEX(BASE_PRODUTOS!$A$2:$A$1006,$G742))</f>
        <v/>
      </c>
      <c r="K742" s="9" t="str">
        <f ca="1">IF($G742="","",INDEX(BASE_PRODUTOS!$C$2:$C$1006,$G742))</f>
        <v/>
      </c>
      <c r="L742" s="9" t="str">
        <f ca="1">IF($G742="","",INDEX(BASE_PRODUTOS!$E$2:$E$1006,$G742))</f>
        <v/>
      </c>
      <c r="M742" s="9" t="str">
        <f ca="1">IF($G742="","",INDEX(BASE_PRODUTOS!$F$2:$F$1006,$G742))</f>
        <v/>
      </c>
      <c r="N742" s="9" t="str">
        <f ca="1">IF($G742="","",INDEX(BASE_PRODUTOS!$G$2:$G$1006,$G742))</f>
        <v/>
      </c>
      <c r="O742" s="9" t="str">
        <f ca="1">IF($G742="","",INDEX(BASE_PRODUTOS!$H$2:$H$1006,$G742))</f>
        <v/>
      </c>
      <c r="P742" s="9" t="str">
        <f ca="1">IF($G742="","",INDEX(BASE_PRODUTOS!$I$2:$I$1006,$G742))</f>
        <v/>
      </c>
      <c r="Q742" s="9" t="str">
        <f ca="1">IF($G742="","",INDEX(BASE_PRODUTOS!$J$2:$J$1006,$G742))</f>
        <v/>
      </c>
      <c r="R742" s="9" t="str">
        <f ca="1">IF($G742="","",INDEX(BASE_PRODUTOS!$M$2:$M$1006,$G742))</f>
        <v/>
      </c>
      <c r="S742" s="9" t="str">
        <f ca="1">IF($G742="","",INDEX(BASE_PRODUTOS!$N$2:$N$1006,$G742))</f>
        <v/>
      </c>
      <c r="T742" s="9" t="str">
        <f ca="1">IF($G742="","",INDEX(BASE_PRODUTOS!$D$2:$D$1006,$G742))</f>
        <v/>
      </c>
    </row>
    <row r="743" spans="7:20" ht="18" customHeight="1" x14ac:dyDescent="0.35">
      <c r="G743" t="str">
        <f ca="1">IFERROR(_xludf.aggregate(15,6,(ROW(BASE_PRODUTOS!$L$2:$L$1006)-ROW(BASE_PRODUTOS!$L$2)+1)/(BASE_PRODUTOS!$L$2:$L$1006&gt;0),ROWS($G$10:G743)),"")</f>
        <v/>
      </c>
      <c r="H743" s="9" t="str">
        <f ca="1">IF($G743="","",INDEX(BASE_PRODUTOS!$B$2:$B$1006,$G743))</f>
        <v/>
      </c>
      <c r="I743" s="9" t="str">
        <f ca="1">IF($G743="","",INDEX(BASE_PRODUTOS!$L$2:$L$1006,$G743))</f>
        <v/>
      </c>
      <c r="J743" s="9" t="str">
        <f ca="1">IF($G743="","",INDEX(BASE_PRODUTOS!$A$2:$A$1006,$G743))</f>
        <v/>
      </c>
      <c r="K743" s="9" t="str">
        <f ca="1">IF($G743="","",INDEX(BASE_PRODUTOS!$C$2:$C$1006,$G743))</f>
        <v/>
      </c>
      <c r="L743" s="9" t="str">
        <f ca="1">IF($G743="","",INDEX(BASE_PRODUTOS!$E$2:$E$1006,$G743))</f>
        <v/>
      </c>
      <c r="M743" s="9" t="str">
        <f ca="1">IF($G743="","",INDEX(BASE_PRODUTOS!$F$2:$F$1006,$G743))</f>
        <v/>
      </c>
      <c r="N743" s="9" t="str">
        <f ca="1">IF($G743="","",INDEX(BASE_PRODUTOS!$G$2:$G$1006,$G743))</f>
        <v/>
      </c>
      <c r="O743" s="9" t="str">
        <f ca="1">IF($G743="","",INDEX(BASE_PRODUTOS!$H$2:$H$1006,$G743))</f>
        <v/>
      </c>
      <c r="P743" s="9" t="str">
        <f ca="1">IF($G743="","",INDEX(BASE_PRODUTOS!$I$2:$I$1006,$G743))</f>
        <v/>
      </c>
      <c r="Q743" s="9" t="str">
        <f ca="1">IF($G743="","",INDEX(BASE_PRODUTOS!$J$2:$J$1006,$G743))</f>
        <v/>
      </c>
      <c r="R743" s="9" t="str">
        <f ca="1">IF($G743="","",INDEX(BASE_PRODUTOS!$M$2:$M$1006,$G743))</f>
        <v/>
      </c>
      <c r="S743" s="9" t="str">
        <f ca="1">IF($G743="","",INDEX(BASE_PRODUTOS!$N$2:$N$1006,$G743))</f>
        <v/>
      </c>
      <c r="T743" s="9" t="str">
        <f ca="1">IF($G743="","",INDEX(BASE_PRODUTOS!$D$2:$D$1006,$G743))</f>
        <v/>
      </c>
    </row>
    <row r="744" spans="7:20" ht="18" customHeight="1" x14ac:dyDescent="0.35">
      <c r="G744" t="str">
        <f ca="1">IFERROR(_xludf.aggregate(15,6,(ROW(BASE_PRODUTOS!$L$2:$L$1006)-ROW(BASE_PRODUTOS!$L$2)+1)/(BASE_PRODUTOS!$L$2:$L$1006&gt;0),ROWS($G$10:G744)),"")</f>
        <v/>
      </c>
      <c r="H744" s="9" t="str">
        <f ca="1">IF($G744="","",INDEX(BASE_PRODUTOS!$B$2:$B$1006,$G744))</f>
        <v/>
      </c>
      <c r="I744" s="9" t="str">
        <f ca="1">IF($G744="","",INDEX(BASE_PRODUTOS!$L$2:$L$1006,$G744))</f>
        <v/>
      </c>
      <c r="J744" s="9" t="str">
        <f ca="1">IF($G744="","",INDEX(BASE_PRODUTOS!$A$2:$A$1006,$G744))</f>
        <v/>
      </c>
      <c r="K744" s="9" t="str">
        <f ca="1">IF($G744="","",INDEX(BASE_PRODUTOS!$C$2:$C$1006,$G744))</f>
        <v/>
      </c>
      <c r="L744" s="9" t="str">
        <f ca="1">IF($G744="","",INDEX(BASE_PRODUTOS!$E$2:$E$1006,$G744))</f>
        <v/>
      </c>
      <c r="M744" s="9" t="str">
        <f ca="1">IF($G744="","",INDEX(BASE_PRODUTOS!$F$2:$F$1006,$G744))</f>
        <v/>
      </c>
      <c r="N744" s="9" t="str">
        <f ca="1">IF($G744="","",INDEX(BASE_PRODUTOS!$G$2:$G$1006,$G744))</f>
        <v/>
      </c>
      <c r="O744" s="9" t="str">
        <f ca="1">IF($G744="","",INDEX(BASE_PRODUTOS!$H$2:$H$1006,$G744))</f>
        <v/>
      </c>
      <c r="P744" s="9" t="str">
        <f ca="1">IF($G744="","",INDEX(BASE_PRODUTOS!$I$2:$I$1006,$G744))</f>
        <v/>
      </c>
      <c r="Q744" s="9" t="str">
        <f ca="1">IF($G744="","",INDEX(BASE_PRODUTOS!$J$2:$J$1006,$G744))</f>
        <v/>
      </c>
      <c r="R744" s="9" t="str">
        <f ca="1">IF($G744="","",INDEX(BASE_PRODUTOS!$M$2:$M$1006,$G744))</f>
        <v/>
      </c>
      <c r="S744" s="9" t="str">
        <f ca="1">IF($G744="","",INDEX(BASE_PRODUTOS!$N$2:$N$1006,$G744))</f>
        <v/>
      </c>
      <c r="T744" s="9" t="str">
        <f ca="1">IF($G744="","",INDEX(BASE_PRODUTOS!$D$2:$D$1006,$G744))</f>
        <v/>
      </c>
    </row>
    <row r="745" spans="7:20" ht="18" customHeight="1" x14ac:dyDescent="0.35">
      <c r="G745" t="str">
        <f ca="1">IFERROR(_xludf.aggregate(15,6,(ROW(BASE_PRODUTOS!$L$2:$L$1006)-ROW(BASE_PRODUTOS!$L$2)+1)/(BASE_PRODUTOS!$L$2:$L$1006&gt;0),ROWS($G$10:G745)),"")</f>
        <v/>
      </c>
      <c r="H745" s="9" t="str">
        <f ca="1">IF($G745="","",INDEX(BASE_PRODUTOS!$B$2:$B$1006,$G745))</f>
        <v/>
      </c>
      <c r="I745" s="9" t="str">
        <f ca="1">IF($G745="","",INDEX(BASE_PRODUTOS!$L$2:$L$1006,$G745))</f>
        <v/>
      </c>
      <c r="J745" s="9" t="str">
        <f ca="1">IF($G745="","",INDEX(BASE_PRODUTOS!$A$2:$A$1006,$G745))</f>
        <v/>
      </c>
      <c r="K745" s="9" t="str">
        <f ca="1">IF($G745="","",INDEX(BASE_PRODUTOS!$C$2:$C$1006,$G745))</f>
        <v/>
      </c>
      <c r="L745" s="9" t="str">
        <f ca="1">IF($G745="","",INDEX(BASE_PRODUTOS!$E$2:$E$1006,$G745))</f>
        <v/>
      </c>
      <c r="M745" s="9" t="str">
        <f ca="1">IF($G745="","",INDEX(BASE_PRODUTOS!$F$2:$F$1006,$G745))</f>
        <v/>
      </c>
      <c r="N745" s="9" t="str">
        <f ca="1">IF($G745="","",INDEX(BASE_PRODUTOS!$G$2:$G$1006,$G745))</f>
        <v/>
      </c>
      <c r="O745" s="9" t="str">
        <f ca="1">IF($G745="","",INDEX(BASE_PRODUTOS!$H$2:$H$1006,$G745))</f>
        <v/>
      </c>
      <c r="P745" s="9" t="str">
        <f ca="1">IF($G745="","",INDEX(BASE_PRODUTOS!$I$2:$I$1006,$G745))</f>
        <v/>
      </c>
      <c r="Q745" s="9" t="str">
        <f ca="1">IF($G745="","",INDEX(BASE_PRODUTOS!$J$2:$J$1006,$G745))</f>
        <v/>
      </c>
      <c r="R745" s="9" t="str">
        <f ca="1">IF($G745="","",INDEX(BASE_PRODUTOS!$M$2:$M$1006,$G745))</f>
        <v/>
      </c>
      <c r="S745" s="9" t="str">
        <f ca="1">IF($G745="","",INDEX(BASE_PRODUTOS!$N$2:$N$1006,$G745))</f>
        <v/>
      </c>
      <c r="T745" s="9" t="str">
        <f ca="1">IF($G745="","",INDEX(BASE_PRODUTOS!$D$2:$D$1006,$G745))</f>
        <v/>
      </c>
    </row>
    <row r="746" spans="7:20" ht="18" customHeight="1" x14ac:dyDescent="0.35">
      <c r="G746" t="str">
        <f ca="1">IFERROR(_xludf.aggregate(15,6,(ROW(BASE_PRODUTOS!$L$2:$L$1006)-ROW(BASE_PRODUTOS!$L$2)+1)/(BASE_PRODUTOS!$L$2:$L$1006&gt;0),ROWS($G$10:G746)),"")</f>
        <v/>
      </c>
      <c r="H746" s="9" t="str">
        <f ca="1">IF($G746="","",INDEX(BASE_PRODUTOS!$B$2:$B$1006,$G746))</f>
        <v/>
      </c>
      <c r="I746" s="9" t="str">
        <f ca="1">IF($G746="","",INDEX(BASE_PRODUTOS!$L$2:$L$1006,$G746))</f>
        <v/>
      </c>
      <c r="J746" s="9" t="str">
        <f ca="1">IF($G746="","",INDEX(BASE_PRODUTOS!$A$2:$A$1006,$G746))</f>
        <v/>
      </c>
      <c r="K746" s="9" t="str">
        <f ca="1">IF($G746="","",INDEX(BASE_PRODUTOS!$C$2:$C$1006,$G746))</f>
        <v/>
      </c>
      <c r="L746" s="9" t="str">
        <f ca="1">IF($G746="","",INDEX(BASE_PRODUTOS!$E$2:$E$1006,$G746))</f>
        <v/>
      </c>
      <c r="M746" s="9" t="str">
        <f ca="1">IF($G746="","",INDEX(BASE_PRODUTOS!$F$2:$F$1006,$G746))</f>
        <v/>
      </c>
      <c r="N746" s="9" t="str">
        <f ca="1">IF($G746="","",INDEX(BASE_PRODUTOS!$G$2:$G$1006,$G746))</f>
        <v/>
      </c>
      <c r="O746" s="9" t="str">
        <f ca="1">IF($G746="","",INDEX(BASE_PRODUTOS!$H$2:$H$1006,$G746))</f>
        <v/>
      </c>
      <c r="P746" s="9" t="str">
        <f ca="1">IF($G746="","",INDEX(BASE_PRODUTOS!$I$2:$I$1006,$G746))</f>
        <v/>
      </c>
      <c r="Q746" s="9" t="str">
        <f ca="1">IF($G746="","",INDEX(BASE_PRODUTOS!$J$2:$J$1006,$G746))</f>
        <v/>
      </c>
      <c r="R746" s="9" t="str">
        <f ca="1">IF($G746="","",INDEX(BASE_PRODUTOS!$M$2:$M$1006,$G746))</f>
        <v/>
      </c>
      <c r="S746" s="9" t="str">
        <f ca="1">IF($G746="","",INDEX(BASE_PRODUTOS!$N$2:$N$1006,$G746))</f>
        <v/>
      </c>
      <c r="T746" s="9" t="str">
        <f ca="1">IF($G746="","",INDEX(BASE_PRODUTOS!$D$2:$D$1006,$G746))</f>
        <v/>
      </c>
    </row>
    <row r="747" spans="7:20" ht="18" customHeight="1" x14ac:dyDescent="0.35">
      <c r="G747" t="str">
        <f ca="1">IFERROR(_xludf.aggregate(15,6,(ROW(BASE_PRODUTOS!$L$2:$L$1006)-ROW(BASE_PRODUTOS!$L$2)+1)/(BASE_PRODUTOS!$L$2:$L$1006&gt;0),ROWS($G$10:G747)),"")</f>
        <v/>
      </c>
      <c r="H747" s="9" t="str">
        <f ca="1">IF($G747="","",INDEX(BASE_PRODUTOS!$B$2:$B$1006,$G747))</f>
        <v/>
      </c>
      <c r="I747" s="9" t="str">
        <f ca="1">IF($G747="","",INDEX(BASE_PRODUTOS!$L$2:$L$1006,$G747))</f>
        <v/>
      </c>
      <c r="J747" s="9" t="str">
        <f ca="1">IF($G747="","",INDEX(BASE_PRODUTOS!$A$2:$A$1006,$G747))</f>
        <v/>
      </c>
      <c r="K747" s="9" t="str">
        <f ca="1">IF($G747="","",INDEX(BASE_PRODUTOS!$C$2:$C$1006,$G747))</f>
        <v/>
      </c>
      <c r="L747" s="9" t="str">
        <f ca="1">IF($G747="","",INDEX(BASE_PRODUTOS!$E$2:$E$1006,$G747))</f>
        <v/>
      </c>
      <c r="M747" s="9" t="str">
        <f ca="1">IF($G747="","",INDEX(BASE_PRODUTOS!$F$2:$F$1006,$G747))</f>
        <v/>
      </c>
      <c r="N747" s="9" t="str">
        <f ca="1">IF($G747="","",INDEX(BASE_PRODUTOS!$G$2:$G$1006,$G747))</f>
        <v/>
      </c>
      <c r="O747" s="9" t="str">
        <f ca="1">IF($G747="","",INDEX(BASE_PRODUTOS!$H$2:$H$1006,$G747))</f>
        <v/>
      </c>
      <c r="P747" s="9" t="str">
        <f ca="1">IF($G747="","",INDEX(BASE_PRODUTOS!$I$2:$I$1006,$G747))</f>
        <v/>
      </c>
      <c r="Q747" s="9" t="str">
        <f ca="1">IF($G747="","",INDEX(BASE_PRODUTOS!$J$2:$J$1006,$G747))</f>
        <v/>
      </c>
      <c r="R747" s="9" t="str">
        <f ca="1">IF($G747="","",INDEX(BASE_PRODUTOS!$M$2:$M$1006,$G747))</f>
        <v/>
      </c>
      <c r="S747" s="9" t="str">
        <f ca="1">IF($G747="","",INDEX(BASE_PRODUTOS!$N$2:$N$1006,$G747))</f>
        <v/>
      </c>
      <c r="T747" s="9" t="str">
        <f ca="1">IF($G747="","",INDEX(BASE_PRODUTOS!$D$2:$D$1006,$G747))</f>
        <v/>
      </c>
    </row>
    <row r="748" spans="7:20" ht="18" customHeight="1" x14ac:dyDescent="0.35">
      <c r="G748" t="str">
        <f ca="1">IFERROR(_xludf.aggregate(15,6,(ROW(BASE_PRODUTOS!$L$2:$L$1006)-ROW(BASE_PRODUTOS!$L$2)+1)/(BASE_PRODUTOS!$L$2:$L$1006&gt;0),ROWS($G$10:G748)),"")</f>
        <v/>
      </c>
      <c r="H748" s="9" t="str">
        <f ca="1">IF($G748="","",INDEX(BASE_PRODUTOS!$B$2:$B$1006,$G748))</f>
        <v/>
      </c>
      <c r="I748" s="9" t="str">
        <f ca="1">IF($G748="","",INDEX(BASE_PRODUTOS!$L$2:$L$1006,$G748))</f>
        <v/>
      </c>
      <c r="J748" s="9" t="str">
        <f ca="1">IF($G748="","",INDEX(BASE_PRODUTOS!$A$2:$A$1006,$G748))</f>
        <v/>
      </c>
      <c r="K748" s="9" t="str">
        <f ca="1">IF($G748="","",INDEX(BASE_PRODUTOS!$C$2:$C$1006,$G748))</f>
        <v/>
      </c>
      <c r="L748" s="9" t="str">
        <f ca="1">IF($G748="","",INDEX(BASE_PRODUTOS!$E$2:$E$1006,$G748))</f>
        <v/>
      </c>
      <c r="M748" s="9" t="str">
        <f ca="1">IF($G748="","",INDEX(BASE_PRODUTOS!$F$2:$F$1006,$G748))</f>
        <v/>
      </c>
      <c r="N748" s="9" t="str">
        <f ca="1">IF($G748="","",INDEX(BASE_PRODUTOS!$G$2:$G$1006,$G748))</f>
        <v/>
      </c>
      <c r="O748" s="9" t="str">
        <f ca="1">IF($G748="","",INDEX(BASE_PRODUTOS!$H$2:$H$1006,$G748))</f>
        <v/>
      </c>
      <c r="P748" s="9" t="str">
        <f ca="1">IF($G748="","",INDEX(BASE_PRODUTOS!$I$2:$I$1006,$G748))</f>
        <v/>
      </c>
      <c r="Q748" s="9" t="str">
        <f ca="1">IF($G748="","",INDEX(BASE_PRODUTOS!$J$2:$J$1006,$G748))</f>
        <v/>
      </c>
      <c r="R748" s="9" t="str">
        <f ca="1">IF($G748="","",INDEX(BASE_PRODUTOS!$M$2:$M$1006,$G748))</f>
        <v/>
      </c>
      <c r="S748" s="9" t="str">
        <f ca="1">IF($G748="","",INDEX(BASE_PRODUTOS!$N$2:$N$1006,$G748))</f>
        <v/>
      </c>
      <c r="T748" s="9" t="str">
        <f ca="1">IF($G748="","",INDEX(BASE_PRODUTOS!$D$2:$D$1006,$G748))</f>
        <v/>
      </c>
    </row>
    <row r="749" spans="7:20" ht="18" customHeight="1" x14ac:dyDescent="0.35">
      <c r="G749" t="str">
        <f ca="1">IFERROR(_xludf.aggregate(15,6,(ROW(BASE_PRODUTOS!$L$2:$L$1006)-ROW(BASE_PRODUTOS!$L$2)+1)/(BASE_PRODUTOS!$L$2:$L$1006&gt;0),ROWS($G$10:G749)),"")</f>
        <v/>
      </c>
      <c r="H749" s="9" t="str">
        <f ca="1">IF($G749="","",INDEX(BASE_PRODUTOS!$B$2:$B$1006,$G749))</f>
        <v/>
      </c>
      <c r="I749" s="9" t="str">
        <f ca="1">IF($G749="","",INDEX(BASE_PRODUTOS!$L$2:$L$1006,$G749))</f>
        <v/>
      </c>
      <c r="J749" s="9" t="str">
        <f ca="1">IF($G749="","",INDEX(BASE_PRODUTOS!$A$2:$A$1006,$G749))</f>
        <v/>
      </c>
      <c r="K749" s="9" t="str">
        <f ca="1">IF($G749="","",INDEX(BASE_PRODUTOS!$C$2:$C$1006,$G749))</f>
        <v/>
      </c>
      <c r="L749" s="9" t="str">
        <f ca="1">IF($G749="","",INDEX(BASE_PRODUTOS!$E$2:$E$1006,$G749))</f>
        <v/>
      </c>
      <c r="M749" s="9" t="str">
        <f ca="1">IF($G749="","",INDEX(BASE_PRODUTOS!$F$2:$F$1006,$G749))</f>
        <v/>
      </c>
      <c r="N749" s="9" t="str">
        <f ca="1">IF($G749="","",INDEX(BASE_PRODUTOS!$G$2:$G$1006,$G749))</f>
        <v/>
      </c>
      <c r="O749" s="9" t="str">
        <f ca="1">IF($G749="","",INDEX(BASE_PRODUTOS!$H$2:$H$1006,$G749))</f>
        <v/>
      </c>
      <c r="P749" s="9" t="str">
        <f ca="1">IF($G749="","",INDEX(BASE_PRODUTOS!$I$2:$I$1006,$G749))</f>
        <v/>
      </c>
      <c r="Q749" s="9" t="str">
        <f ca="1">IF($G749="","",INDEX(BASE_PRODUTOS!$J$2:$J$1006,$G749))</f>
        <v/>
      </c>
      <c r="R749" s="9" t="str">
        <f ca="1">IF($G749="","",INDEX(BASE_PRODUTOS!$M$2:$M$1006,$G749))</f>
        <v/>
      </c>
      <c r="S749" s="9" t="str">
        <f ca="1">IF($G749="","",INDEX(BASE_PRODUTOS!$N$2:$N$1006,$G749))</f>
        <v/>
      </c>
      <c r="T749" s="9" t="str">
        <f ca="1">IF($G749="","",INDEX(BASE_PRODUTOS!$D$2:$D$1006,$G749))</f>
        <v/>
      </c>
    </row>
    <row r="750" spans="7:20" ht="18" customHeight="1" x14ac:dyDescent="0.35">
      <c r="G750" t="str">
        <f ca="1">IFERROR(_xludf.aggregate(15,6,(ROW(BASE_PRODUTOS!$L$2:$L$1006)-ROW(BASE_PRODUTOS!$L$2)+1)/(BASE_PRODUTOS!$L$2:$L$1006&gt;0),ROWS($G$10:G750)),"")</f>
        <v/>
      </c>
      <c r="H750" s="9" t="str">
        <f ca="1">IF($G750="","",INDEX(BASE_PRODUTOS!$B$2:$B$1006,$G750))</f>
        <v/>
      </c>
      <c r="I750" s="9" t="str">
        <f ca="1">IF($G750="","",INDEX(BASE_PRODUTOS!$L$2:$L$1006,$G750))</f>
        <v/>
      </c>
      <c r="J750" s="9" t="str">
        <f ca="1">IF($G750="","",INDEX(BASE_PRODUTOS!$A$2:$A$1006,$G750))</f>
        <v/>
      </c>
      <c r="K750" s="9" t="str">
        <f ca="1">IF($G750="","",INDEX(BASE_PRODUTOS!$C$2:$C$1006,$G750))</f>
        <v/>
      </c>
      <c r="L750" s="9" t="str">
        <f ca="1">IF($G750="","",INDEX(BASE_PRODUTOS!$E$2:$E$1006,$G750))</f>
        <v/>
      </c>
      <c r="M750" s="9" t="str">
        <f ca="1">IF($G750="","",INDEX(BASE_PRODUTOS!$F$2:$F$1006,$G750))</f>
        <v/>
      </c>
      <c r="N750" s="9" t="str">
        <f ca="1">IF($G750="","",INDEX(BASE_PRODUTOS!$G$2:$G$1006,$G750))</f>
        <v/>
      </c>
      <c r="O750" s="9" t="str">
        <f ca="1">IF($G750="","",INDEX(BASE_PRODUTOS!$H$2:$H$1006,$G750))</f>
        <v/>
      </c>
      <c r="P750" s="9" t="str">
        <f ca="1">IF($G750="","",INDEX(BASE_PRODUTOS!$I$2:$I$1006,$G750))</f>
        <v/>
      </c>
      <c r="Q750" s="9" t="str">
        <f ca="1">IF($G750="","",INDEX(BASE_PRODUTOS!$J$2:$J$1006,$G750))</f>
        <v/>
      </c>
      <c r="R750" s="9" t="str">
        <f ca="1">IF($G750="","",INDEX(BASE_PRODUTOS!$M$2:$M$1006,$G750))</f>
        <v/>
      </c>
      <c r="S750" s="9" t="str">
        <f ca="1">IF($G750="","",INDEX(BASE_PRODUTOS!$N$2:$N$1006,$G750))</f>
        <v/>
      </c>
      <c r="T750" s="9" t="str">
        <f ca="1">IF($G750="","",INDEX(BASE_PRODUTOS!$D$2:$D$1006,$G750))</f>
        <v/>
      </c>
    </row>
    <row r="751" spans="7:20" ht="18" customHeight="1" x14ac:dyDescent="0.35">
      <c r="G751" t="str">
        <f ca="1">IFERROR(_xludf.aggregate(15,6,(ROW(BASE_PRODUTOS!$L$2:$L$1006)-ROW(BASE_PRODUTOS!$L$2)+1)/(BASE_PRODUTOS!$L$2:$L$1006&gt;0),ROWS($G$10:G751)),"")</f>
        <v/>
      </c>
      <c r="H751" s="9" t="str">
        <f ca="1">IF($G751="","",INDEX(BASE_PRODUTOS!$B$2:$B$1006,$G751))</f>
        <v/>
      </c>
      <c r="I751" s="9" t="str">
        <f ca="1">IF($G751="","",INDEX(BASE_PRODUTOS!$L$2:$L$1006,$G751))</f>
        <v/>
      </c>
      <c r="J751" s="9" t="str">
        <f ca="1">IF($G751="","",INDEX(BASE_PRODUTOS!$A$2:$A$1006,$G751))</f>
        <v/>
      </c>
      <c r="K751" s="9" t="str">
        <f ca="1">IF($G751="","",INDEX(BASE_PRODUTOS!$C$2:$C$1006,$G751))</f>
        <v/>
      </c>
      <c r="L751" s="9" t="str">
        <f ca="1">IF($G751="","",INDEX(BASE_PRODUTOS!$E$2:$E$1006,$G751))</f>
        <v/>
      </c>
      <c r="M751" s="9" t="str">
        <f ca="1">IF($G751="","",INDEX(BASE_PRODUTOS!$F$2:$F$1006,$G751))</f>
        <v/>
      </c>
      <c r="N751" s="9" t="str">
        <f ca="1">IF($G751="","",INDEX(BASE_PRODUTOS!$G$2:$G$1006,$G751))</f>
        <v/>
      </c>
      <c r="O751" s="9" t="str">
        <f ca="1">IF($G751="","",INDEX(BASE_PRODUTOS!$H$2:$H$1006,$G751))</f>
        <v/>
      </c>
      <c r="P751" s="9" t="str">
        <f ca="1">IF($G751="","",INDEX(BASE_PRODUTOS!$I$2:$I$1006,$G751))</f>
        <v/>
      </c>
      <c r="Q751" s="9" t="str">
        <f ca="1">IF($G751="","",INDEX(BASE_PRODUTOS!$J$2:$J$1006,$G751))</f>
        <v/>
      </c>
      <c r="R751" s="9" t="str">
        <f ca="1">IF($G751="","",INDEX(BASE_PRODUTOS!$M$2:$M$1006,$G751))</f>
        <v/>
      </c>
      <c r="S751" s="9" t="str">
        <f ca="1">IF($G751="","",INDEX(BASE_PRODUTOS!$N$2:$N$1006,$G751))</f>
        <v/>
      </c>
      <c r="T751" s="9" t="str">
        <f ca="1">IF($G751="","",INDEX(BASE_PRODUTOS!$D$2:$D$1006,$G751))</f>
        <v/>
      </c>
    </row>
    <row r="752" spans="7:20" ht="18" customHeight="1" x14ac:dyDescent="0.35">
      <c r="G752" t="str">
        <f ca="1">IFERROR(_xludf.aggregate(15,6,(ROW(BASE_PRODUTOS!$L$2:$L$1006)-ROW(BASE_PRODUTOS!$L$2)+1)/(BASE_PRODUTOS!$L$2:$L$1006&gt;0),ROWS($G$10:G752)),"")</f>
        <v/>
      </c>
      <c r="H752" s="9" t="str">
        <f ca="1">IF($G752="","",INDEX(BASE_PRODUTOS!$B$2:$B$1006,$G752))</f>
        <v/>
      </c>
      <c r="I752" s="9" t="str">
        <f ca="1">IF($G752="","",INDEX(BASE_PRODUTOS!$L$2:$L$1006,$G752))</f>
        <v/>
      </c>
      <c r="J752" s="9" t="str">
        <f ca="1">IF($G752="","",INDEX(BASE_PRODUTOS!$A$2:$A$1006,$G752))</f>
        <v/>
      </c>
      <c r="K752" s="9" t="str">
        <f ca="1">IF($G752="","",INDEX(BASE_PRODUTOS!$C$2:$C$1006,$G752))</f>
        <v/>
      </c>
      <c r="L752" s="9" t="str">
        <f ca="1">IF($G752="","",INDEX(BASE_PRODUTOS!$E$2:$E$1006,$G752))</f>
        <v/>
      </c>
      <c r="M752" s="9" t="str">
        <f ca="1">IF($G752="","",INDEX(BASE_PRODUTOS!$F$2:$F$1006,$G752))</f>
        <v/>
      </c>
      <c r="N752" s="9" t="str">
        <f ca="1">IF($G752="","",INDEX(BASE_PRODUTOS!$G$2:$G$1006,$G752))</f>
        <v/>
      </c>
      <c r="O752" s="9" t="str">
        <f ca="1">IF($G752="","",INDEX(BASE_PRODUTOS!$H$2:$H$1006,$G752))</f>
        <v/>
      </c>
      <c r="P752" s="9" t="str">
        <f ca="1">IF($G752="","",INDEX(BASE_PRODUTOS!$I$2:$I$1006,$G752))</f>
        <v/>
      </c>
      <c r="Q752" s="9" t="str">
        <f ca="1">IF($G752="","",INDEX(BASE_PRODUTOS!$J$2:$J$1006,$G752))</f>
        <v/>
      </c>
      <c r="R752" s="9" t="str">
        <f ca="1">IF($G752="","",INDEX(BASE_PRODUTOS!$M$2:$M$1006,$G752))</f>
        <v/>
      </c>
      <c r="S752" s="9" t="str">
        <f ca="1">IF($G752="","",INDEX(BASE_PRODUTOS!$N$2:$N$1006,$G752))</f>
        <v/>
      </c>
      <c r="T752" s="9" t="str">
        <f ca="1">IF($G752="","",INDEX(BASE_PRODUTOS!$D$2:$D$1006,$G752))</f>
        <v/>
      </c>
    </row>
    <row r="753" spans="7:20" ht="18" customHeight="1" x14ac:dyDescent="0.35">
      <c r="G753" t="str">
        <f ca="1">IFERROR(_xludf.aggregate(15,6,(ROW(BASE_PRODUTOS!$L$2:$L$1006)-ROW(BASE_PRODUTOS!$L$2)+1)/(BASE_PRODUTOS!$L$2:$L$1006&gt;0),ROWS($G$10:G753)),"")</f>
        <v/>
      </c>
      <c r="H753" s="9" t="str">
        <f ca="1">IF($G753="","",INDEX(BASE_PRODUTOS!$B$2:$B$1006,$G753))</f>
        <v/>
      </c>
      <c r="I753" s="9" t="str">
        <f ca="1">IF($G753="","",INDEX(BASE_PRODUTOS!$L$2:$L$1006,$G753))</f>
        <v/>
      </c>
      <c r="J753" s="9" t="str">
        <f ca="1">IF($G753="","",INDEX(BASE_PRODUTOS!$A$2:$A$1006,$G753))</f>
        <v/>
      </c>
      <c r="K753" s="9" t="str">
        <f ca="1">IF($G753="","",INDEX(BASE_PRODUTOS!$C$2:$C$1006,$G753))</f>
        <v/>
      </c>
      <c r="L753" s="9" t="str">
        <f ca="1">IF($G753="","",INDEX(BASE_PRODUTOS!$E$2:$E$1006,$G753))</f>
        <v/>
      </c>
      <c r="M753" s="9" t="str">
        <f ca="1">IF($G753="","",INDEX(BASE_PRODUTOS!$F$2:$F$1006,$G753))</f>
        <v/>
      </c>
      <c r="N753" s="9" t="str">
        <f ca="1">IF($G753="","",INDEX(BASE_PRODUTOS!$G$2:$G$1006,$G753))</f>
        <v/>
      </c>
      <c r="O753" s="9" t="str">
        <f ca="1">IF($G753="","",INDEX(BASE_PRODUTOS!$H$2:$H$1006,$G753))</f>
        <v/>
      </c>
      <c r="P753" s="9" t="str">
        <f ca="1">IF($G753="","",INDEX(BASE_PRODUTOS!$I$2:$I$1006,$G753))</f>
        <v/>
      </c>
      <c r="Q753" s="9" t="str">
        <f ca="1">IF($G753="","",INDEX(BASE_PRODUTOS!$J$2:$J$1006,$G753))</f>
        <v/>
      </c>
      <c r="R753" s="9" t="str">
        <f ca="1">IF($G753="","",INDEX(BASE_PRODUTOS!$M$2:$M$1006,$G753))</f>
        <v/>
      </c>
      <c r="S753" s="9" t="str">
        <f ca="1">IF($G753="","",INDEX(BASE_PRODUTOS!$N$2:$N$1006,$G753))</f>
        <v/>
      </c>
      <c r="T753" s="9" t="str">
        <f ca="1">IF($G753="","",INDEX(BASE_PRODUTOS!$D$2:$D$1006,$G753))</f>
        <v/>
      </c>
    </row>
    <row r="754" spans="7:20" ht="18" customHeight="1" x14ac:dyDescent="0.35">
      <c r="G754" t="str">
        <f ca="1">IFERROR(_xludf.aggregate(15,6,(ROW(BASE_PRODUTOS!$L$2:$L$1006)-ROW(BASE_PRODUTOS!$L$2)+1)/(BASE_PRODUTOS!$L$2:$L$1006&gt;0),ROWS($G$10:G754)),"")</f>
        <v/>
      </c>
      <c r="H754" s="9" t="str">
        <f ca="1">IF($G754="","",INDEX(BASE_PRODUTOS!$B$2:$B$1006,$G754))</f>
        <v/>
      </c>
      <c r="I754" s="9" t="str">
        <f ca="1">IF($G754="","",INDEX(BASE_PRODUTOS!$L$2:$L$1006,$G754))</f>
        <v/>
      </c>
      <c r="J754" s="9" t="str">
        <f ca="1">IF($G754="","",INDEX(BASE_PRODUTOS!$A$2:$A$1006,$G754))</f>
        <v/>
      </c>
      <c r="K754" s="9" t="str">
        <f ca="1">IF($G754="","",INDEX(BASE_PRODUTOS!$C$2:$C$1006,$G754))</f>
        <v/>
      </c>
      <c r="L754" s="9" t="str">
        <f ca="1">IF($G754="","",INDEX(BASE_PRODUTOS!$E$2:$E$1006,$G754))</f>
        <v/>
      </c>
      <c r="M754" s="9" t="str">
        <f ca="1">IF($G754="","",INDEX(BASE_PRODUTOS!$F$2:$F$1006,$G754))</f>
        <v/>
      </c>
      <c r="N754" s="9" t="str">
        <f ca="1">IF($G754="","",INDEX(BASE_PRODUTOS!$G$2:$G$1006,$G754))</f>
        <v/>
      </c>
      <c r="O754" s="9" t="str">
        <f ca="1">IF($G754="","",INDEX(BASE_PRODUTOS!$H$2:$H$1006,$G754))</f>
        <v/>
      </c>
      <c r="P754" s="9" t="str">
        <f ca="1">IF($G754="","",INDEX(BASE_PRODUTOS!$I$2:$I$1006,$G754))</f>
        <v/>
      </c>
      <c r="Q754" s="9" t="str">
        <f ca="1">IF($G754="","",INDEX(BASE_PRODUTOS!$J$2:$J$1006,$G754))</f>
        <v/>
      </c>
      <c r="R754" s="9" t="str">
        <f ca="1">IF($G754="","",INDEX(BASE_PRODUTOS!$M$2:$M$1006,$G754))</f>
        <v/>
      </c>
      <c r="S754" s="9" t="str">
        <f ca="1">IF($G754="","",INDEX(BASE_PRODUTOS!$N$2:$N$1006,$G754))</f>
        <v/>
      </c>
      <c r="T754" s="9" t="str">
        <f ca="1">IF($G754="","",INDEX(BASE_PRODUTOS!$D$2:$D$1006,$G754))</f>
        <v/>
      </c>
    </row>
    <row r="755" spans="7:20" ht="18" customHeight="1" x14ac:dyDescent="0.35">
      <c r="G755" t="str">
        <f ca="1">IFERROR(_xludf.aggregate(15,6,(ROW(BASE_PRODUTOS!$L$2:$L$1006)-ROW(BASE_PRODUTOS!$L$2)+1)/(BASE_PRODUTOS!$L$2:$L$1006&gt;0),ROWS($G$10:G755)),"")</f>
        <v/>
      </c>
      <c r="H755" s="9" t="str">
        <f ca="1">IF($G755="","",INDEX(BASE_PRODUTOS!$B$2:$B$1006,$G755))</f>
        <v/>
      </c>
      <c r="I755" s="9" t="str">
        <f ca="1">IF($G755="","",INDEX(BASE_PRODUTOS!$L$2:$L$1006,$G755))</f>
        <v/>
      </c>
      <c r="J755" s="9" t="str">
        <f ca="1">IF($G755="","",INDEX(BASE_PRODUTOS!$A$2:$A$1006,$G755))</f>
        <v/>
      </c>
      <c r="K755" s="9" t="str">
        <f ca="1">IF($G755="","",INDEX(BASE_PRODUTOS!$C$2:$C$1006,$G755))</f>
        <v/>
      </c>
      <c r="L755" s="9" t="str">
        <f ca="1">IF($G755="","",INDEX(BASE_PRODUTOS!$E$2:$E$1006,$G755))</f>
        <v/>
      </c>
      <c r="M755" s="9" t="str">
        <f ca="1">IF($G755="","",INDEX(BASE_PRODUTOS!$F$2:$F$1006,$G755))</f>
        <v/>
      </c>
      <c r="N755" s="9" t="str">
        <f ca="1">IF($G755="","",INDEX(BASE_PRODUTOS!$G$2:$G$1006,$G755))</f>
        <v/>
      </c>
      <c r="O755" s="9" t="str">
        <f ca="1">IF($G755="","",INDEX(BASE_PRODUTOS!$H$2:$H$1006,$G755))</f>
        <v/>
      </c>
      <c r="P755" s="9" t="str">
        <f ca="1">IF($G755="","",INDEX(BASE_PRODUTOS!$I$2:$I$1006,$G755))</f>
        <v/>
      </c>
      <c r="Q755" s="9" t="str">
        <f ca="1">IF($G755="","",INDEX(BASE_PRODUTOS!$J$2:$J$1006,$G755))</f>
        <v/>
      </c>
      <c r="R755" s="9" t="str">
        <f ca="1">IF($G755="","",INDEX(BASE_PRODUTOS!$M$2:$M$1006,$G755))</f>
        <v/>
      </c>
      <c r="S755" s="9" t="str">
        <f ca="1">IF($G755="","",INDEX(BASE_PRODUTOS!$N$2:$N$1006,$G755))</f>
        <v/>
      </c>
      <c r="T755" s="9" t="str">
        <f ca="1">IF($G755="","",INDEX(BASE_PRODUTOS!$D$2:$D$1006,$G755))</f>
        <v/>
      </c>
    </row>
    <row r="756" spans="7:20" ht="18" customHeight="1" x14ac:dyDescent="0.35">
      <c r="G756" t="str">
        <f ca="1">IFERROR(_xludf.aggregate(15,6,(ROW(BASE_PRODUTOS!$L$2:$L$1006)-ROW(BASE_PRODUTOS!$L$2)+1)/(BASE_PRODUTOS!$L$2:$L$1006&gt;0),ROWS($G$10:G756)),"")</f>
        <v/>
      </c>
      <c r="H756" s="9" t="str">
        <f ca="1">IF($G756="","",INDEX(BASE_PRODUTOS!$B$2:$B$1006,$G756))</f>
        <v/>
      </c>
      <c r="I756" s="9" t="str">
        <f ca="1">IF($G756="","",INDEX(BASE_PRODUTOS!$L$2:$L$1006,$G756))</f>
        <v/>
      </c>
      <c r="J756" s="9" t="str">
        <f ca="1">IF($G756="","",INDEX(BASE_PRODUTOS!$A$2:$A$1006,$G756))</f>
        <v/>
      </c>
      <c r="K756" s="9" t="str">
        <f ca="1">IF($G756="","",INDEX(BASE_PRODUTOS!$C$2:$C$1006,$G756))</f>
        <v/>
      </c>
      <c r="L756" s="9" t="str">
        <f ca="1">IF($G756="","",INDEX(BASE_PRODUTOS!$E$2:$E$1006,$G756))</f>
        <v/>
      </c>
      <c r="M756" s="9" t="str">
        <f ca="1">IF($G756="","",INDEX(BASE_PRODUTOS!$F$2:$F$1006,$G756))</f>
        <v/>
      </c>
      <c r="N756" s="9" t="str">
        <f ca="1">IF($G756="","",INDEX(BASE_PRODUTOS!$G$2:$G$1006,$G756))</f>
        <v/>
      </c>
      <c r="O756" s="9" t="str">
        <f ca="1">IF($G756="","",INDEX(BASE_PRODUTOS!$H$2:$H$1006,$G756))</f>
        <v/>
      </c>
      <c r="P756" s="9" t="str">
        <f ca="1">IF($G756="","",INDEX(BASE_PRODUTOS!$I$2:$I$1006,$G756))</f>
        <v/>
      </c>
      <c r="Q756" s="9" t="str">
        <f ca="1">IF($G756="","",INDEX(BASE_PRODUTOS!$J$2:$J$1006,$G756))</f>
        <v/>
      </c>
      <c r="R756" s="9" t="str">
        <f ca="1">IF($G756="","",INDEX(BASE_PRODUTOS!$M$2:$M$1006,$G756))</f>
        <v/>
      </c>
      <c r="S756" s="9" t="str">
        <f ca="1">IF($G756="","",INDEX(BASE_PRODUTOS!$N$2:$N$1006,$G756))</f>
        <v/>
      </c>
      <c r="T756" s="9" t="str">
        <f ca="1">IF($G756="","",INDEX(BASE_PRODUTOS!$D$2:$D$1006,$G756))</f>
        <v/>
      </c>
    </row>
    <row r="757" spans="7:20" ht="18" customHeight="1" x14ac:dyDescent="0.35">
      <c r="G757" t="str">
        <f ca="1">IFERROR(_xludf.aggregate(15,6,(ROW(BASE_PRODUTOS!$L$2:$L$1006)-ROW(BASE_PRODUTOS!$L$2)+1)/(BASE_PRODUTOS!$L$2:$L$1006&gt;0),ROWS($G$10:G757)),"")</f>
        <v/>
      </c>
      <c r="H757" s="9" t="str">
        <f ca="1">IF($G757="","",INDEX(BASE_PRODUTOS!$B$2:$B$1006,$G757))</f>
        <v/>
      </c>
      <c r="I757" s="9" t="str">
        <f ca="1">IF($G757="","",INDEX(BASE_PRODUTOS!$L$2:$L$1006,$G757))</f>
        <v/>
      </c>
      <c r="J757" s="9" t="str">
        <f ca="1">IF($G757="","",INDEX(BASE_PRODUTOS!$A$2:$A$1006,$G757))</f>
        <v/>
      </c>
      <c r="K757" s="9" t="str">
        <f ca="1">IF($G757="","",INDEX(BASE_PRODUTOS!$C$2:$C$1006,$G757))</f>
        <v/>
      </c>
      <c r="L757" s="9" t="str">
        <f ca="1">IF($G757="","",INDEX(BASE_PRODUTOS!$E$2:$E$1006,$G757))</f>
        <v/>
      </c>
      <c r="M757" s="9" t="str">
        <f ca="1">IF($G757="","",INDEX(BASE_PRODUTOS!$F$2:$F$1006,$G757))</f>
        <v/>
      </c>
      <c r="N757" s="9" t="str">
        <f ca="1">IF($G757="","",INDEX(BASE_PRODUTOS!$G$2:$G$1006,$G757))</f>
        <v/>
      </c>
      <c r="O757" s="9" t="str">
        <f ca="1">IF($G757="","",INDEX(BASE_PRODUTOS!$H$2:$H$1006,$G757))</f>
        <v/>
      </c>
      <c r="P757" s="9" t="str">
        <f ca="1">IF($G757="","",INDEX(BASE_PRODUTOS!$I$2:$I$1006,$G757))</f>
        <v/>
      </c>
      <c r="Q757" s="9" t="str">
        <f ca="1">IF($G757="","",INDEX(BASE_PRODUTOS!$J$2:$J$1006,$G757))</f>
        <v/>
      </c>
      <c r="R757" s="9" t="str">
        <f ca="1">IF($G757="","",INDEX(BASE_PRODUTOS!$M$2:$M$1006,$G757))</f>
        <v/>
      </c>
      <c r="S757" s="9" t="str">
        <f ca="1">IF($G757="","",INDEX(BASE_PRODUTOS!$N$2:$N$1006,$G757))</f>
        <v/>
      </c>
      <c r="T757" s="9" t="str">
        <f ca="1">IF($G757="","",INDEX(BASE_PRODUTOS!$D$2:$D$1006,$G757))</f>
        <v/>
      </c>
    </row>
    <row r="758" spans="7:20" ht="18" customHeight="1" x14ac:dyDescent="0.35">
      <c r="G758" t="str">
        <f ca="1">IFERROR(_xludf.aggregate(15,6,(ROW(BASE_PRODUTOS!$L$2:$L$1006)-ROW(BASE_PRODUTOS!$L$2)+1)/(BASE_PRODUTOS!$L$2:$L$1006&gt;0),ROWS($G$10:G758)),"")</f>
        <v/>
      </c>
      <c r="H758" s="9" t="str">
        <f ca="1">IF($G758="","",INDEX(BASE_PRODUTOS!$B$2:$B$1006,$G758))</f>
        <v/>
      </c>
      <c r="I758" s="9" t="str">
        <f ca="1">IF($G758="","",INDEX(BASE_PRODUTOS!$L$2:$L$1006,$G758))</f>
        <v/>
      </c>
      <c r="J758" s="9" t="str">
        <f ca="1">IF($G758="","",INDEX(BASE_PRODUTOS!$A$2:$A$1006,$G758))</f>
        <v/>
      </c>
      <c r="K758" s="9" t="str">
        <f ca="1">IF($G758="","",INDEX(BASE_PRODUTOS!$C$2:$C$1006,$G758))</f>
        <v/>
      </c>
      <c r="L758" s="9" t="str">
        <f ca="1">IF($G758="","",INDEX(BASE_PRODUTOS!$E$2:$E$1006,$G758))</f>
        <v/>
      </c>
      <c r="M758" s="9" t="str">
        <f ca="1">IF($G758="","",INDEX(BASE_PRODUTOS!$F$2:$F$1006,$G758))</f>
        <v/>
      </c>
      <c r="N758" s="9" t="str">
        <f ca="1">IF($G758="","",INDEX(BASE_PRODUTOS!$G$2:$G$1006,$G758))</f>
        <v/>
      </c>
      <c r="O758" s="9" t="str">
        <f ca="1">IF($G758="","",INDEX(BASE_PRODUTOS!$H$2:$H$1006,$G758))</f>
        <v/>
      </c>
      <c r="P758" s="9" t="str">
        <f ca="1">IF($G758="","",INDEX(BASE_PRODUTOS!$I$2:$I$1006,$G758))</f>
        <v/>
      </c>
      <c r="Q758" s="9" t="str">
        <f ca="1">IF($G758="","",INDEX(BASE_PRODUTOS!$J$2:$J$1006,$G758))</f>
        <v/>
      </c>
      <c r="R758" s="9" t="str">
        <f ca="1">IF($G758="","",INDEX(BASE_PRODUTOS!$M$2:$M$1006,$G758))</f>
        <v/>
      </c>
      <c r="S758" s="9" t="str">
        <f ca="1">IF($G758="","",INDEX(BASE_PRODUTOS!$N$2:$N$1006,$G758))</f>
        <v/>
      </c>
      <c r="T758" s="9" t="str">
        <f ca="1">IF($G758="","",INDEX(BASE_PRODUTOS!$D$2:$D$1006,$G758))</f>
        <v/>
      </c>
    </row>
    <row r="759" spans="7:20" ht="18" customHeight="1" x14ac:dyDescent="0.35">
      <c r="G759" t="str">
        <f ca="1">IFERROR(_xludf.aggregate(15,6,(ROW(BASE_PRODUTOS!$L$2:$L$1006)-ROW(BASE_PRODUTOS!$L$2)+1)/(BASE_PRODUTOS!$L$2:$L$1006&gt;0),ROWS($G$10:G759)),"")</f>
        <v/>
      </c>
      <c r="H759" s="9" t="str">
        <f ca="1">IF($G759="","",INDEX(BASE_PRODUTOS!$B$2:$B$1006,$G759))</f>
        <v/>
      </c>
      <c r="I759" s="9" t="str">
        <f ca="1">IF($G759="","",INDEX(BASE_PRODUTOS!$L$2:$L$1006,$G759))</f>
        <v/>
      </c>
      <c r="J759" s="9" t="str">
        <f ca="1">IF($G759="","",INDEX(BASE_PRODUTOS!$A$2:$A$1006,$G759))</f>
        <v/>
      </c>
      <c r="K759" s="9" t="str">
        <f ca="1">IF($G759="","",INDEX(BASE_PRODUTOS!$C$2:$C$1006,$G759))</f>
        <v/>
      </c>
      <c r="L759" s="9" t="str">
        <f ca="1">IF($G759="","",INDEX(BASE_PRODUTOS!$E$2:$E$1006,$G759))</f>
        <v/>
      </c>
      <c r="M759" s="9" t="str">
        <f ca="1">IF($G759="","",INDEX(BASE_PRODUTOS!$F$2:$F$1006,$G759))</f>
        <v/>
      </c>
      <c r="N759" s="9" t="str">
        <f ca="1">IF($G759="","",INDEX(BASE_PRODUTOS!$G$2:$G$1006,$G759))</f>
        <v/>
      </c>
      <c r="O759" s="9" t="str">
        <f ca="1">IF($G759="","",INDEX(BASE_PRODUTOS!$H$2:$H$1006,$G759))</f>
        <v/>
      </c>
      <c r="P759" s="9" t="str">
        <f ca="1">IF($G759="","",INDEX(BASE_PRODUTOS!$I$2:$I$1006,$G759))</f>
        <v/>
      </c>
      <c r="Q759" s="9" t="str">
        <f ca="1">IF($G759="","",INDEX(BASE_PRODUTOS!$J$2:$J$1006,$G759))</f>
        <v/>
      </c>
      <c r="R759" s="9" t="str">
        <f ca="1">IF($G759="","",INDEX(BASE_PRODUTOS!$M$2:$M$1006,$G759))</f>
        <v/>
      </c>
      <c r="S759" s="9" t="str">
        <f ca="1">IF($G759="","",INDEX(BASE_PRODUTOS!$N$2:$N$1006,$G759))</f>
        <v/>
      </c>
      <c r="T759" s="9" t="str">
        <f ca="1">IF($G759="","",INDEX(BASE_PRODUTOS!$D$2:$D$1006,$G759))</f>
        <v/>
      </c>
    </row>
    <row r="760" spans="7:20" ht="18" customHeight="1" x14ac:dyDescent="0.35">
      <c r="G760" t="str">
        <f ca="1">IFERROR(_xludf.aggregate(15,6,(ROW(BASE_PRODUTOS!$L$2:$L$1006)-ROW(BASE_PRODUTOS!$L$2)+1)/(BASE_PRODUTOS!$L$2:$L$1006&gt;0),ROWS($G$10:G760)),"")</f>
        <v/>
      </c>
      <c r="H760" s="9" t="str">
        <f ca="1">IF($G760="","",INDEX(BASE_PRODUTOS!$B$2:$B$1006,$G760))</f>
        <v/>
      </c>
      <c r="I760" s="9" t="str">
        <f ca="1">IF($G760="","",INDEX(BASE_PRODUTOS!$L$2:$L$1006,$G760))</f>
        <v/>
      </c>
      <c r="J760" s="9" t="str">
        <f ca="1">IF($G760="","",INDEX(BASE_PRODUTOS!$A$2:$A$1006,$G760))</f>
        <v/>
      </c>
      <c r="K760" s="9" t="str">
        <f ca="1">IF($G760="","",INDEX(BASE_PRODUTOS!$C$2:$C$1006,$G760))</f>
        <v/>
      </c>
      <c r="L760" s="9" t="str">
        <f ca="1">IF($G760="","",INDEX(BASE_PRODUTOS!$E$2:$E$1006,$G760))</f>
        <v/>
      </c>
      <c r="M760" s="9" t="str">
        <f ca="1">IF($G760="","",INDEX(BASE_PRODUTOS!$F$2:$F$1006,$G760))</f>
        <v/>
      </c>
      <c r="N760" s="9" t="str">
        <f ca="1">IF($G760="","",INDEX(BASE_PRODUTOS!$G$2:$G$1006,$G760))</f>
        <v/>
      </c>
      <c r="O760" s="9" t="str">
        <f ca="1">IF($G760="","",INDEX(BASE_PRODUTOS!$H$2:$H$1006,$G760))</f>
        <v/>
      </c>
      <c r="P760" s="9" t="str">
        <f ca="1">IF($G760="","",INDEX(BASE_PRODUTOS!$I$2:$I$1006,$G760))</f>
        <v/>
      </c>
      <c r="Q760" s="9" t="str">
        <f ca="1">IF($G760="","",INDEX(BASE_PRODUTOS!$J$2:$J$1006,$G760))</f>
        <v/>
      </c>
      <c r="R760" s="9" t="str">
        <f ca="1">IF($G760="","",INDEX(BASE_PRODUTOS!$M$2:$M$1006,$G760))</f>
        <v/>
      </c>
      <c r="S760" s="9" t="str">
        <f ca="1">IF($G760="","",INDEX(BASE_PRODUTOS!$N$2:$N$1006,$G760))</f>
        <v/>
      </c>
      <c r="T760" s="9" t="str">
        <f ca="1">IF($G760="","",INDEX(BASE_PRODUTOS!$D$2:$D$1006,$G760))</f>
        <v/>
      </c>
    </row>
    <row r="761" spans="7:20" ht="18" customHeight="1" x14ac:dyDescent="0.35">
      <c r="G761" t="str">
        <f ca="1">IFERROR(_xludf.aggregate(15,6,(ROW(BASE_PRODUTOS!$L$2:$L$1006)-ROW(BASE_PRODUTOS!$L$2)+1)/(BASE_PRODUTOS!$L$2:$L$1006&gt;0),ROWS($G$10:G761)),"")</f>
        <v/>
      </c>
      <c r="H761" s="9" t="str">
        <f ca="1">IF($G761="","",INDEX(BASE_PRODUTOS!$B$2:$B$1006,$G761))</f>
        <v/>
      </c>
      <c r="I761" s="9" t="str">
        <f ca="1">IF($G761="","",INDEX(BASE_PRODUTOS!$L$2:$L$1006,$G761))</f>
        <v/>
      </c>
      <c r="J761" s="9" t="str">
        <f ca="1">IF($G761="","",INDEX(BASE_PRODUTOS!$A$2:$A$1006,$G761))</f>
        <v/>
      </c>
      <c r="K761" s="9" t="str">
        <f ca="1">IF($G761="","",INDEX(BASE_PRODUTOS!$C$2:$C$1006,$G761))</f>
        <v/>
      </c>
      <c r="L761" s="9" t="str">
        <f ca="1">IF($G761="","",INDEX(BASE_PRODUTOS!$E$2:$E$1006,$G761))</f>
        <v/>
      </c>
      <c r="M761" s="9" t="str">
        <f ca="1">IF($G761="","",INDEX(BASE_PRODUTOS!$F$2:$F$1006,$G761))</f>
        <v/>
      </c>
      <c r="N761" s="9" t="str">
        <f ca="1">IF($G761="","",INDEX(BASE_PRODUTOS!$G$2:$G$1006,$G761))</f>
        <v/>
      </c>
      <c r="O761" s="9" t="str">
        <f ca="1">IF($G761="","",INDEX(BASE_PRODUTOS!$H$2:$H$1006,$G761))</f>
        <v/>
      </c>
      <c r="P761" s="9" t="str">
        <f ca="1">IF($G761="","",INDEX(BASE_PRODUTOS!$I$2:$I$1006,$G761))</f>
        <v/>
      </c>
      <c r="Q761" s="9" t="str">
        <f ca="1">IF($G761="","",INDEX(BASE_PRODUTOS!$J$2:$J$1006,$G761))</f>
        <v/>
      </c>
      <c r="R761" s="9" t="str">
        <f ca="1">IF($G761="","",INDEX(BASE_PRODUTOS!$M$2:$M$1006,$G761))</f>
        <v/>
      </c>
      <c r="S761" s="9" t="str">
        <f ca="1">IF($G761="","",INDEX(BASE_PRODUTOS!$N$2:$N$1006,$G761))</f>
        <v/>
      </c>
      <c r="T761" s="9" t="str">
        <f ca="1">IF($G761="","",INDEX(BASE_PRODUTOS!$D$2:$D$1006,$G761))</f>
        <v/>
      </c>
    </row>
    <row r="762" spans="7:20" ht="18" customHeight="1" x14ac:dyDescent="0.35">
      <c r="G762" t="str">
        <f ca="1">IFERROR(_xludf.aggregate(15,6,(ROW(BASE_PRODUTOS!$L$2:$L$1006)-ROW(BASE_PRODUTOS!$L$2)+1)/(BASE_PRODUTOS!$L$2:$L$1006&gt;0),ROWS($G$10:G762)),"")</f>
        <v/>
      </c>
      <c r="H762" s="9" t="str">
        <f ca="1">IF($G762="","",INDEX(BASE_PRODUTOS!$B$2:$B$1006,$G762))</f>
        <v/>
      </c>
      <c r="I762" s="9" t="str">
        <f ca="1">IF($G762="","",INDEX(BASE_PRODUTOS!$L$2:$L$1006,$G762))</f>
        <v/>
      </c>
      <c r="J762" s="9" t="str">
        <f ca="1">IF($G762="","",INDEX(BASE_PRODUTOS!$A$2:$A$1006,$G762))</f>
        <v/>
      </c>
      <c r="K762" s="9" t="str">
        <f ca="1">IF($G762="","",INDEX(BASE_PRODUTOS!$C$2:$C$1006,$G762))</f>
        <v/>
      </c>
      <c r="L762" s="9" t="str">
        <f ca="1">IF($G762="","",INDEX(BASE_PRODUTOS!$E$2:$E$1006,$G762))</f>
        <v/>
      </c>
      <c r="M762" s="9" t="str">
        <f ca="1">IF($G762="","",INDEX(BASE_PRODUTOS!$F$2:$F$1006,$G762))</f>
        <v/>
      </c>
      <c r="N762" s="9" t="str">
        <f ca="1">IF($G762="","",INDEX(BASE_PRODUTOS!$G$2:$G$1006,$G762))</f>
        <v/>
      </c>
      <c r="O762" s="9" t="str">
        <f ca="1">IF($G762="","",INDEX(BASE_PRODUTOS!$H$2:$H$1006,$G762))</f>
        <v/>
      </c>
      <c r="P762" s="9" t="str">
        <f ca="1">IF($G762="","",INDEX(BASE_PRODUTOS!$I$2:$I$1006,$G762))</f>
        <v/>
      </c>
      <c r="Q762" s="9" t="str">
        <f ca="1">IF($G762="","",INDEX(BASE_PRODUTOS!$J$2:$J$1006,$G762))</f>
        <v/>
      </c>
      <c r="R762" s="9" t="str">
        <f ca="1">IF($G762="","",INDEX(BASE_PRODUTOS!$M$2:$M$1006,$G762))</f>
        <v/>
      </c>
      <c r="S762" s="9" t="str">
        <f ca="1">IF($G762="","",INDEX(BASE_PRODUTOS!$N$2:$N$1006,$G762))</f>
        <v/>
      </c>
      <c r="T762" s="9" t="str">
        <f ca="1">IF($G762="","",INDEX(BASE_PRODUTOS!$D$2:$D$1006,$G762))</f>
        <v/>
      </c>
    </row>
    <row r="763" spans="7:20" ht="18" customHeight="1" x14ac:dyDescent="0.35">
      <c r="G763" t="str">
        <f ca="1">IFERROR(_xludf.aggregate(15,6,(ROW(BASE_PRODUTOS!$L$2:$L$1006)-ROW(BASE_PRODUTOS!$L$2)+1)/(BASE_PRODUTOS!$L$2:$L$1006&gt;0),ROWS($G$10:G763)),"")</f>
        <v/>
      </c>
      <c r="H763" s="9" t="str">
        <f ca="1">IF($G763="","",INDEX(BASE_PRODUTOS!$B$2:$B$1006,$G763))</f>
        <v/>
      </c>
      <c r="I763" s="9" t="str">
        <f ca="1">IF($G763="","",INDEX(BASE_PRODUTOS!$L$2:$L$1006,$G763))</f>
        <v/>
      </c>
      <c r="J763" s="9" t="str">
        <f ca="1">IF($G763="","",INDEX(BASE_PRODUTOS!$A$2:$A$1006,$G763))</f>
        <v/>
      </c>
      <c r="K763" s="9" t="str">
        <f ca="1">IF($G763="","",INDEX(BASE_PRODUTOS!$C$2:$C$1006,$G763))</f>
        <v/>
      </c>
      <c r="L763" s="9" t="str">
        <f ca="1">IF($G763="","",INDEX(BASE_PRODUTOS!$E$2:$E$1006,$G763))</f>
        <v/>
      </c>
      <c r="M763" s="9" t="str">
        <f ca="1">IF($G763="","",INDEX(BASE_PRODUTOS!$F$2:$F$1006,$G763))</f>
        <v/>
      </c>
      <c r="N763" s="9" t="str">
        <f ca="1">IF($G763="","",INDEX(BASE_PRODUTOS!$G$2:$G$1006,$G763))</f>
        <v/>
      </c>
      <c r="O763" s="9" t="str">
        <f ca="1">IF($G763="","",INDEX(BASE_PRODUTOS!$H$2:$H$1006,$G763))</f>
        <v/>
      </c>
      <c r="P763" s="9" t="str">
        <f ca="1">IF($G763="","",INDEX(BASE_PRODUTOS!$I$2:$I$1006,$G763))</f>
        <v/>
      </c>
      <c r="Q763" s="9" t="str">
        <f ca="1">IF($G763="","",INDEX(BASE_PRODUTOS!$J$2:$J$1006,$G763))</f>
        <v/>
      </c>
      <c r="R763" s="9" t="str">
        <f ca="1">IF($G763="","",INDEX(BASE_PRODUTOS!$M$2:$M$1006,$G763))</f>
        <v/>
      </c>
      <c r="S763" s="9" t="str">
        <f ca="1">IF($G763="","",INDEX(BASE_PRODUTOS!$N$2:$N$1006,$G763))</f>
        <v/>
      </c>
      <c r="T763" s="9" t="str">
        <f ca="1">IF($G763="","",INDEX(BASE_PRODUTOS!$D$2:$D$1006,$G763))</f>
        <v/>
      </c>
    </row>
    <row r="764" spans="7:20" ht="18" customHeight="1" x14ac:dyDescent="0.35">
      <c r="G764" t="str">
        <f ca="1">IFERROR(_xludf.aggregate(15,6,(ROW(BASE_PRODUTOS!$L$2:$L$1006)-ROW(BASE_PRODUTOS!$L$2)+1)/(BASE_PRODUTOS!$L$2:$L$1006&gt;0),ROWS($G$10:G764)),"")</f>
        <v/>
      </c>
      <c r="H764" s="9" t="str">
        <f ca="1">IF($G764="","",INDEX(BASE_PRODUTOS!$B$2:$B$1006,$G764))</f>
        <v/>
      </c>
      <c r="I764" s="9" t="str">
        <f ca="1">IF($G764="","",INDEX(BASE_PRODUTOS!$L$2:$L$1006,$G764))</f>
        <v/>
      </c>
      <c r="J764" s="9" t="str">
        <f ca="1">IF($G764="","",INDEX(BASE_PRODUTOS!$A$2:$A$1006,$G764))</f>
        <v/>
      </c>
      <c r="K764" s="9" t="str">
        <f ca="1">IF($G764="","",INDEX(BASE_PRODUTOS!$C$2:$C$1006,$G764))</f>
        <v/>
      </c>
      <c r="L764" s="9" t="str">
        <f ca="1">IF($G764="","",INDEX(BASE_PRODUTOS!$E$2:$E$1006,$G764))</f>
        <v/>
      </c>
      <c r="M764" s="9" t="str">
        <f ca="1">IF($G764="","",INDEX(BASE_PRODUTOS!$F$2:$F$1006,$G764))</f>
        <v/>
      </c>
      <c r="N764" s="9" t="str">
        <f ca="1">IF($G764="","",INDEX(BASE_PRODUTOS!$G$2:$G$1006,$G764))</f>
        <v/>
      </c>
      <c r="O764" s="9" t="str">
        <f ca="1">IF($G764="","",INDEX(BASE_PRODUTOS!$H$2:$H$1006,$G764))</f>
        <v/>
      </c>
      <c r="P764" s="9" t="str">
        <f ca="1">IF($G764="","",INDEX(BASE_PRODUTOS!$I$2:$I$1006,$G764))</f>
        <v/>
      </c>
      <c r="Q764" s="9" t="str">
        <f ca="1">IF($G764="","",INDEX(BASE_PRODUTOS!$J$2:$J$1006,$G764))</f>
        <v/>
      </c>
      <c r="R764" s="9" t="str">
        <f ca="1">IF($G764="","",INDEX(BASE_PRODUTOS!$M$2:$M$1006,$G764))</f>
        <v/>
      </c>
      <c r="S764" s="9" t="str">
        <f ca="1">IF($G764="","",INDEX(BASE_PRODUTOS!$N$2:$N$1006,$G764))</f>
        <v/>
      </c>
      <c r="T764" s="9" t="str">
        <f ca="1">IF($G764="","",INDEX(BASE_PRODUTOS!$D$2:$D$1006,$G764))</f>
        <v/>
      </c>
    </row>
    <row r="765" spans="7:20" ht="18" customHeight="1" x14ac:dyDescent="0.35">
      <c r="G765" t="str">
        <f ca="1">IFERROR(_xludf.aggregate(15,6,(ROW(BASE_PRODUTOS!$L$2:$L$1006)-ROW(BASE_PRODUTOS!$L$2)+1)/(BASE_PRODUTOS!$L$2:$L$1006&gt;0),ROWS($G$10:G765)),"")</f>
        <v/>
      </c>
      <c r="H765" s="9" t="str">
        <f ca="1">IF($G765="","",INDEX(BASE_PRODUTOS!$B$2:$B$1006,$G765))</f>
        <v/>
      </c>
      <c r="I765" s="9" t="str">
        <f ca="1">IF($G765="","",INDEX(BASE_PRODUTOS!$L$2:$L$1006,$G765))</f>
        <v/>
      </c>
      <c r="J765" s="9" t="str">
        <f ca="1">IF($G765="","",INDEX(BASE_PRODUTOS!$A$2:$A$1006,$G765))</f>
        <v/>
      </c>
      <c r="K765" s="9" t="str">
        <f ca="1">IF($G765="","",INDEX(BASE_PRODUTOS!$C$2:$C$1006,$G765))</f>
        <v/>
      </c>
      <c r="L765" s="9" t="str">
        <f ca="1">IF($G765="","",INDEX(BASE_PRODUTOS!$E$2:$E$1006,$G765))</f>
        <v/>
      </c>
      <c r="M765" s="9" t="str">
        <f ca="1">IF($G765="","",INDEX(BASE_PRODUTOS!$F$2:$F$1006,$G765))</f>
        <v/>
      </c>
      <c r="N765" s="9" t="str">
        <f ca="1">IF($G765="","",INDEX(BASE_PRODUTOS!$G$2:$G$1006,$G765))</f>
        <v/>
      </c>
      <c r="O765" s="9" t="str">
        <f ca="1">IF($G765="","",INDEX(BASE_PRODUTOS!$H$2:$H$1006,$G765))</f>
        <v/>
      </c>
      <c r="P765" s="9" t="str">
        <f ca="1">IF($G765="","",INDEX(BASE_PRODUTOS!$I$2:$I$1006,$G765))</f>
        <v/>
      </c>
      <c r="Q765" s="9" t="str">
        <f ca="1">IF($G765="","",INDEX(BASE_PRODUTOS!$J$2:$J$1006,$G765))</f>
        <v/>
      </c>
      <c r="R765" s="9" t="str">
        <f ca="1">IF($G765="","",INDEX(BASE_PRODUTOS!$M$2:$M$1006,$G765))</f>
        <v/>
      </c>
      <c r="S765" s="9" t="str">
        <f ca="1">IF($G765="","",INDEX(BASE_PRODUTOS!$N$2:$N$1006,$G765))</f>
        <v/>
      </c>
      <c r="T765" s="9" t="str">
        <f ca="1">IF($G765="","",INDEX(BASE_PRODUTOS!$D$2:$D$1006,$G765))</f>
        <v/>
      </c>
    </row>
    <row r="766" spans="7:20" ht="18" customHeight="1" x14ac:dyDescent="0.35">
      <c r="G766" t="str">
        <f ca="1">IFERROR(_xludf.aggregate(15,6,(ROW(BASE_PRODUTOS!$L$2:$L$1006)-ROW(BASE_PRODUTOS!$L$2)+1)/(BASE_PRODUTOS!$L$2:$L$1006&gt;0),ROWS($G$10:G766)),"")</f>
        <v/>
      </c>
      <c r="H766" s="9" t="str">
        <f ca="1">IF($G766="","",INDEX(BASE_PRODUTOS!$B$2:$B$1006,$G766))</f>
        <v/>
      </c>
      <c r="I766" s="9" t="str">
        <f ca="1">IF($G766="","",INDEX(BASE_PRODUTOS!$L$2:$L$1006,$G766))</f>
        <v/>
      </c>
      <c r="J766" s="9" t="str">
        <f ca="1">IF($G766="","",INDEX(BASE_PRODUTOS!$A$2:$A$1006,$G766))</f>
        <v/>
      </c>
      <c r="K766" s="9" t="str">
        <f ca="1">IF($G766="","",INDEX(BASE_PRODUTOS!$C$2:$C$1006,$G766))</f>
        <v/>
      </c>
      <c r="L766" s="9" t="str">
        <f ca="1">IF($G766="","",INDEX(BASE_PRODUTOS!$E$2:$E$1006,$G766))</f>
        <v/>
      </c>
      <c r="M766" s="9" t="str">
        <f ca="1">IF($G766="","",INDEX(BASE_PRODUTOS!$F$2:$F$1006,$G766))</f>
        <v/>
      </c>
      <c r="N766" s="9" t="str">
        <f ca="1">IF($G766="","",INDEX(BASE_PRODUTOS!$G$2:$G$1006,$G766))</f>
        <v/>
      </c>
      <c r="O766" s="9" t="str">
        <f ca="1">IF($G766="","",INDEX(BASE_PRODUTOS!$H$2:$H$1006,$G766))</f>
        <v/>
      </c>
      <c r="P766" s="9" t="str">
        <f ca="1">IF($G766="","",INDEX(BASE_PRODUTOS!$I$2:$I$1006,$G766))</f>
        <v/>
      </c>
      <c r="Q766" s="9" t="str">
        <f ca="1">IF($G766="","",INDEX(BASE_PRODUTOS!$J$2:$J$1006,$G766))</f>
        <v/>
      </c>
      <c r="R766" s="9" t="str">
        <f ca="1">IF($G766="","",INDEX(BASE_PRODUTOS!$M$2:$M$1006,$G766))</f>
        <v/>
      </c>
      <c r="S766" s="9" t="str">
        <f ca="1">IF($G766="","",INDEX(BASE_PRODUTOS!$N$2:$N$1006,$G766))</f>
        <v/>
      </c>
      <c r="T766" s="9" t="str">
        <f ca="1">IF($G766="","",INDEX(BASE_PRODUTOS!$D$2:$D$1006,$G766))</f>
        <v/>
      </c>
    </row>
    <row r="767" spans="7:20" ht="18" customHeight="1" x14ac:dyDescent="0.35">
      <c r="G767" t="str">
        <f ca="1">IFERROR(_xludf.aggregate(15,6,(ROW(BASE_PRODUTOS!$L$2:$L$1006)-ROW(BASE_PRODUTOS!$L$2)+1)/(BASE_PRODUTOS!$L$2:$L$1006&gt;0),ROWS($G$10:G767)),"")</f>
        <v/>
      </c>
      <c r="H767" s="9" t="str">
        <f ca="1">IF($G767="","",INDEX(BASE_PRODUTOS!$B$2:$B$1006,$G767))</f>
        <v/>
      </c>
      <c r="I767" s="9" t="str">
        <f ca="1">IF($G767="","",INDEX(BASE_PRODUTOS!$L$2:$L$1006,$G767))</f>
        <v/>
      </c>
      <c r="J767" s="9" t="str">
        <f ca="1">IF($G767="","",INDEX(BASE_PRODUTOS!$A$2:$A$1006,$G767))</f>
        <v/>
      </c>
      <c r="K767" s="9" t="str">
        <f ca="1">IF($G767="","",INDEX(BASE_PRODUTOS!$C$2:$C$1006,$G767))</f>
        <v/>
      </c>
      <c r="L767" s="9" t="str">
        <f ca="1">IF($G767="","",INDEX(BASE_PRODUTOS!$E$2:$E$1006,$G767))</f>
        <v/>
      </c>
      <c r="M767" s="9" t="str">
        <f ca="1">IF($G767="","",INDEX(BASE_PRODUTOS!$F$2:$F$1006,$G767))</f>
        <v/>
      </c>
      <c r="N767" s="9" t="str">
        <f ca="1">IF($G767="","",INDEX(BASE_PRODUTOS!$G$2:$G$1006,$G767))</f>
        <v/>
      </c>
      <c r="O767" s="9" t="str">
        <f ca="1">IF($G767="","",INDEX(BASE_PRODUTOS!$H$2:$H$1006,$G767))</f>
        <v/>
      </c>
      <c r="P767" s="9" t="str">
        <f ca="1">IF($G767="","",INDEX(BASE_PRODUTOS!$I$2:$I$1006,$G767))</f>
        <v/>
      </c>
      <c r="Q767" s="9" t="str">
        <f ca="1">IF($G767="","",INDEX(BASE_PRODUTOS!$J$2:$J$1006,$G767))</f>
        <v/>
      </c>
      <c r="R767" s="9" t="str">
        <f ca="1">IF($G767="","",INDEX(BASE_PRODUTOS!$M$2:$M$1006,$G767))</f>
        <v/>
      </c>
      <c r="S767" s="9" t="str">
        <f ca="1">IF($G767="","",INDEX(BASE_PRODUTOS!$N$2:$N$1006,$G767))</f>
        <v/>
      </c>
      <c r="T767" s="9" t="str">
        <f ca="1">IF($G767="","",INDEX(BASE_PRODUTOS!$D$2:$D$1006,$G767))</f>
        <v/>
      </c>
    </row>
    <row r="768" spans="7:20" ht="18" customHeight="1" x14ac:dyDescent="0.35">
      <c r="G768" t="str">
        <f ca="1">IFERROR(_xludf.aggregate(15,6,(ROW(BASE_PRODUTOS!$L$2:$L$1006)-ROW(BASE_PRODUTOS!$L$2)+1)/(BASE_PRODUTOS!$L$2:$L$1006&gt;0),ROWS($G$10:G768)),"")</f>
        <v/>
      </c>
      <c r="H768" s="9" t="str">
        <f ca="1">IF($G768="","",INDEX(BASE_PRODUTOS!$B$2:$B$1006,$G768))</f>
        <v/>
      </c>
      <c r="I768" s="9" t="str">
        <f ca="1">IF($G768="","",INDEX(BASE_PRODUTOS!$L$2:$L$1006,$G768))</f>
        <v/>
      </c>
      <c r="J768" s="9" t="str">
        <f ca="1">IF($G768="","",INDEX(BASE_PRODUTOS!$A$2:$A$1006,$G768))</f>
        <v/>
      </c>
      <c r="K768" s="9" t="str">
        <f ca="1">IF($G768="","",INDEX(BASE_PRODUTOS!$C$2:$C$1006,$G768))</f>
        <v/>
      </c>
      <c r="L768" s="9" t="str">
        <f ca="1">IF($G768="","",INDEX(BASE_PRODUTOS!$E$2:$E$1006,$G768))</f>
        <v/>
      </c>
      <c r="M768" s="9" t="str">
        <f ca="1">IF($G768="","",INDEX(BASE_PRODUTOS!$F$2:$F$1006,$G768))</f>
        <v/>
      </c>
      <c r="N768" s="9" t="str">
        <f ca="1">IF($G768="","",INDEX(BASE_PRODUTOS!$G$2:$G$1006,$G768))</f>
        <v/>
      </c>
      <c r="O768" s="9" t="str">
        <f ca="1">IF($G768="","",INDEX(BASE_PRODUTOS!$H$2:$H$1006,$G768))</f>
        <v/>
      </c>
      <c r="P768" s="9" t="str">
        <f ca="1">IF($G768="","",INDEX(BASE_PRODUTOS!$I$2:$I$1006,$G768))</f>
        <v/>
      </c>
      <c r="Q768" s="9" t="str">
        <f ca="1">IF($G768="","",INDEX(BASE_PRODUTOS!$J$2:$J$1006,$G768))</f>
        <v/>
      </c>
      <c r="R768" s="9" t="str">
        <f ca="1">IF($G768="","",INDEX(BASE_PRODUTOS!$M$2:$M$1006,$G768))</f>
        <v/>
      </c>
      <c r="S768" s="9" t="str">
        <f ca="1">IF($G768="","",INDEX(BASE_PRODUTOS!$N$2:$N$1006,$G768))</f>
        <v/>
      </c>
      <c r="T768" s="9" t="str">
        <f ca="1">IF($G768="","",INDEX(BASE_PRODUTOS!$D$2:$D$1006,$G768))</f>
        <v/>
      </c>
    </row>
    <row r="769" spans="7:20" ht="18" customHeight="1" x14ac:dyDescent="0.35">
      <c r="G769" t="str">
        <f ca="1">IFERROR(_xludf.aggregate(15,6,(ROW(BASE_PRODUTOS!$L$2:$L$1006)-ROW(BASE_PRODUTOS!$L$2)+1)/(BASE_PRODUTOS!$L$2:$L$1006&gt;0),ROWS($G$10:G769)),"")</f>
        <v/>
      </c>
      <c r="H769" s="9" t="str">
        <f ca="1">IF($G769="","",INDEX(BASE_PRODUTOS!$B$2:$B$1006,$G769))</f>
        <v/>
      </c>
      <c r="I769" s="9" t="str">
        <f ca="1">IF($G769="","",INDEX(BASE_PRODUTOS!$L$2:$L$1006,$G769))</f>
        <v/>
      </c>
      <c r="J769" s="9" t="str">
        <f ca="1">IF($G769="","",INDEX(BASE_PRODUTOS!$A$2:$A$1006,$G769))</f>
        <v/>
      </c>
      <c r="K769" s="9" t="str">
        <f ca="1">IF($G769="","",INDEX(BASE_PRODUTOS!$C$2:$C$1006,$G769))</f>
        <v/>
      </c>
      <c r="L769" s="9" t="str">
        <f ca="1">IF($G769="","",INDEX(BASE_PRODUTOS!$E$2:$E$1006,$G769))</f>
        <v/>
      </c>
      <c r="M769" s="9" t="str">
        <f ca="1">IF($G769="","",INDEX(BASE_PRODUTOS!$F$2:$F$1006,$G769))</f>
        <v/>
      </c>
      <c r="N769" s="9" t="str">
        <f ca="1">IF($G769="","",INDEX(BASE_PRODUTOS!$G$2:$G$1006,$G769))</f>
        <v/>
      </c>
      <c r="O769" s="9" t="str">
        <f ca="1">IF($G769="","",INDEX(BASE_PRODUTOS!$H$2:$H$1006,$G769))</f>
        <v/>
      </c>
      <c r="P769" s="9" t="str">
        <f ca="1">IF($G769="","",INDEX(BASE_PRODUTOS!$I$2:$I$1006,$G769))</f>
        <v/>
      </c>
      <c r="Q769" s="9" t="str">
        <f ca="1">IF($G769="","",INDEX(BASE_PRODUTOS!$J$2:$J$1006,$G769))</f>
        <v/>
      </c>
      <c r="R769" s="9" t="str">
        <f ca="1">IF($G769="","",INDEX(BASE_PRODUTOS!$M$2:$M$1006,$G769))</f>
        <v/>
      </c>
      <c r="S769" s="9" t="str">
        <f ca="1">IF($G769="","",INDEX(BASE_PRODUTOS!$N$2:$N$1006,$G769))</f>
        <v/>
      </c>
      <c r="T769" s="9" t="str">
        <f ca="1">IF($G769="","",INDEX(BASE_PRODUTOS!$D$2:$D$1006,$G769))</f>
        <v/>
      </c>
    </row>
    <row r="770" spans="7:20" ht="18" customHeight="1" x14ac:dyDescent="0.35">
      <c r="G770" t="str">
        <f ca="1">IFERROR(_xludf.aggregate(15,6,(ROW(BASE_PRODUTOS!$L$2:$L$1006)-ROW(BASE_PRODUTOS!$L$2)+1)/(BASE_PRODUTOS!$L$2:$L$1006&gt;0),ROWS($G$10:G770)),"")</f>
        <v/>
      </c>
      <c r="H770" s="9" t="str">
        <f ca="1">IF($G770="","",INDEX(BASE_PRODUTOS!$B$2:$B$1006,$G770))</f>
        <v/>
      </c>
      <c r="I770" s="9" t="str">
        <f ca="1">IF($G770="","",INDEX(BASE_PRODUTOS!$L$2:$L$1006,$G770))</f>
        <v/>
      </c>
      <c r="J770" s="9" t="str">
        <f ca="1">IF($G770="","",INDEX(BASE_PRODUTOS!$A$2:$A$1006,$G770))</f>
        <v/>
      </c>
      <c r="K770" s="9" t="str">
        <f ca="1">IF($G770="","",INDEX(BASE_PRODUTOS!$C$2:$C$1006,$G770))</f>
        <v/>
      </c>
      <c r="L770" s="9" t="str">
        <f ca="1">IF($G770="","",INDEX(BASE_PRODUTOS!$E$2:$E$1006,$G770))</f>
        <v/>
      </c>
      <c r="M770" s="9" t="str">
        <f ca="1">IF($G770="","",INDEX(BASE_PRODUTOS!$F$2:$F$1006,$G770))</f>
        <v/>
      </c>
      <c r="N770" s="9" t="str">
        <f ca="1">IF($G770="","",INDEX(BASE_PRODUTOS!$G$2:$G$1006,$G770))</f>
        <v/>
      </c>
      <c r="O770" s="9" t="str">
        <f ca="1">IF($G770="","",INDEX(BASE_PRODUTOS!$H$2:$H$1006,$G770))</f>
        <v/>
      </c>
      <c r="P770" s="9" t="str">
        <f ca="1">IF($G770="","",INDEX(BASE_PRODUTOS!$I$2:$I$1006,$G770))</f>
        <v/>
      </c>
      <c r="Q770" s="9" t="str">
        <f ca="1">IF($G770="","",INDEX(BASE_PRODUTOS!$J$2:$J$1006,$G770))</f>
        <v/>
      </c>
      <c r="R770" s="9" t="str">
        <f ca="1">IF($G770="","",INDEX(BASE_PRODUTOS!$M$2:$M$1006,$G770))</f>
        <v/>
      </c>
      <c r="S770" s="9" t="str">
        <f ca="1">IF($G770="","",INDEX(BASE_PRODUTOS!$N$2:$N$1006,$G770))</f>
        <v/>
      </c>
      <c r="T770" s="9" t="str">
        <f ca="1">IF($G770="","",INDEX(BASE_PRODUTOS!$D$2:$D$1006,$G770))</f>
        <v/>
      </c>
    </row>
    <row r="771" spans="7:20" ht="18" customHeight="1" x14ac:dyDescent="0.35">
      <c r="G771" t="str">
        <f ca="1">IFERROR(_xludf.aggregate(15,6,(ROW(BASE_PRODUTOS!$L$2:$L$1006)-ROW(BASE_PRODUTOS!$L$2)+1)/(BASE_PRODUTOS!$L$2:$L$1006&gt;0),ROWS($G$10:G771)),"")</f>
        <v/>
      </c>
      <c r="H771" s="9" t="str">
        <f ca="1">IF($G771="","",INDEX(BASE_PRODUTOS!$B$2:$B$1006,$G771))</f>
        <v/>
      </c>
      <c r="I771" s="9" t="str">
        <f ca="1">IF($G771="","",INDEX(BASE_PRODUTOS!$L$2:$L$1006,$G771))</f>
        <v/>
      </c>
      <c r="J771" s="9" t="str">
        <f ca="1">IF($G771="","",INDEX(BASE_PRODUTOS!$A$2:$A$1006,$G771))</f>
        <v/>
      </c>
      <c r="K771" s="9" t="str">
        <f ca="1">IF($G771="","",INDEX(BASE_PRODUTOS!$C$2:$C$1006,$G771))</f>
        <v/>
      </c>
      <c r="L771" s="9" t="str">
        <f ca="1">IF($G771="","",INDEX(BASE_PRODUTOS!$E$2:$E$1006,$G771))</f>
        <v/>
      </c>
      <c r="M771" s="9" t="str">
        <f ca="1">IF($G771="","",INDEX(BASE_PRODUTOS!$F$2:$F$1006,$G771))</f>
        <v/>
      </c>
      <c r="N771" s="9" t="str">
        <f ca="1">IF($G771="","",INDEX(BASE_PRODUTOS!$G$2:$G$1006,$G771))</f>
        <v/>
      </c>
      <c r="O771" s="9" t="str">
        <f ca="1">IF($G771="","",INDEX(BASE_PRODUTOS!$H$2:$H$1006,$G771))</f>
        <v/>
      </c>
      <c r="P771" s="9" t="str">
        <f ca="1">IF($G771="","",INDEX(BASE_PRODUTOS!$I$2:$I$1006,$G771))</f>
        <v/>
      </c>
      <c r="Q771" s="9" t="str">
        <f ca="1">IF($G771="","",INDEX(BASE_PRODUTOS!$J$2:$J$1006,$G771))</f>
        <v/>
      </c>
      <c r="R771" s="9" t="str">
        <f ca="1">IF($G771="","",INDEX(BASE_PRODUTOS!$M$2:$M$1006,$G771))</f>
        <v/>
      </c>
      <c r="S771" s="9" t="str">
        <f ca="1">IF($G771="","",INDEX(BASE_PRODUTOS!$N$2:$N$1006,$G771))</f>
        <v/>
      </c>
      <c r="T771" s="9" t="str">
        <f ca="1">IF($G771="","",INDEX(BASE_PRODUTOS!$D$2:$D$1006,$G771))</f>
        <v/>
      </c>
    </row>
    <row r="772" spans="7:20" ht="18" customHeight="1" x14ac:dyDescent="0.35">
      <c r="G772" t="str">
        <f ca="1">IFERROR(_xludf.aggregate(15,6,(ROW(BASE_PRODUTOS!$L$2:$L$1006)-ROW(BASE_PRODUTOS!$L$2)+1)/(BASE_PRODUTOS!$L$2:$L$1006&gt;0),ROWS($G$10:G772)),"")</f>
        <v/>
      </c>
      <c r="H772" s="9" t="str">
        <f ca="1">IF($G772="","",INDEX(BASE_PRODUTOS!$B$2:$B$1006,$G772))</f>
        <v/>
      </c>
      <c r="I772" s="9" t="str">
        <f ca="1">IF($G772="","",INDEX(BASE_PRODUTOS!$L$2:$L$1006,$G772))</f>
        <v/>
      </c>
      <c r="J772" s="9" t="str">
        <f ca="1">IF($G772="","",INDEX(BASE_PRODUTOS!$A$2:$A$1006,$G772))</f>
        <v/>
      </c>
      <c r="K772" s="9" t="str">
        <f ca="1">IF($G772="","",INDEX(BASE_PRODUTOS!$C$2:$C$1006,$G772))</f>
        <v/>
      </c>
      <c r="L772" s="9" t="str">
        <f ca="1">IF($G772="","",INDEX(BASE_PRODUTOS!$E$2:$E$1006,$G772))</f>
        <v/>
      </c>
      <c r="M772" s="9" t="str">
        <f ca="1">IF($G772="","",INDEX(BASE_PRODUTOS!$F$2:$F$1006,$G772))</f>
        <v/>
      </c>
      <c r="N772" s="9" t="str">
        <f ca="1">IF($G772="","",INDEX(BASE_PRODUTOS!$G$2:$G$1006,$G772))</f>
        <v/>
      </c>
      <c r="O772" s="9" t="str">
        <f ca="1">IF($G772="","",INDEX(BASE_PRODUTOS!$H$2:$H$1006,$G772))</f>
        <v/>
      </c>
      <c r="P772" s="9" t="str">
        <f ca="1">IF($G772="","",INDEX(BASE_PRODUTOS!$I$2:$I$1006,$G772))</f>
        <v/>
      </c>
      <c r="Q772" s="9" t="str">
        <f ca="1">IF($G772="","",INDEX(BASE_PRODUTOS!$J$2:$J$1006,$G772))</f>
        <v/>
      </c>
      <c r="R772" s="9" t="str">
        <f ca="1">IF($G772="","",INDEX(BASE_PRODUTOS!$M$2:$M$1006,$G772))</f>
        <v/>
      </c>
      <c r="S772" s="9" t="str">
        <f ca="1">IF($G772="","",INDEX(BASE_PRODUTOS!$N$2:$N$1006,$G772))</f>
        <v/>
      </c>
      <c r="T772" s="9" t="str">
        <f ca="1">IF($G772="","",INDEX(BASE_PRODUTOS!$D$2:$D$1006,$G772))</f>
        <v/>
      </c>
    </row>
    <row r="773" spans="7:20" ht="18" customHeight="1" x14ac:dyDescent="0.35">
      <c r="G773" t="str">
        <f ca="1">IFERROR(_xludf.aggregate(15,6,(ROW(BASE_PRODUTOS!$L$2:$L$1006)-ROW(BASE_PRODUTOS!$L$2)+1)/(BASE_PRODUTOS!$L$2:$L$1006&gt;0),ROWS($G$10:G773)),"")</f>
        <v/>
      </c>
      <c r="H773" s="9" t="str">
        <f ca="1">IF($G773="","",INDEX(BASE_PRODUTOS!$B$2:$B$1006,$G773))</f>
        <v/>
      </c>
      <c r="I773" s="9" t="str">
        <f ca="1">IF($G773="","",INDEX(BASE_PRODUTOS!$L$2:$L$1006,$G773))</f>
        <v/>
      </c>
      <c r="J773" s="9" t="str">
        <f ca="1">IF($G773="","",INDEX(BASE_PRODUTOS!$A$2:$A$1006,$G773))</f>
        <v/>
      </c>
      <c r="K773" s="9" t="str">
        <f ca="1">IF($G773="","",INDEX(BASE_PRODUTOS!$C$2:$C$1006,$G773))</f>
        <v/>
      </c>
      <c r="L773" s="9" t="str">
        <f ca="1">IF($G773="","",INDEX(BASE_PRODUTOS!$E$2:$E$1006,$G773))</f>
        <v/>
      </c>
      <c r="M773" s="9" t="str">
        <f ca="1">IF($G773="","",INDEX(BASE_PRODUTOS!$F$2:$F$1006,$G773))</f>
        <v/>
      </c>
      <c r="N773" s="9" t="str">
        <f ca="1">IF($G773="","",INDEX(BASE_PRODUTOS!$G$2:$G$1006,$G773))</f>
        <v/>
      </c>
      <c r="O773" s="9" t="str">
        <f ca="1">IF($G773="","",INDEX(BASE_PRODUTOS!$H$2:$H$1006,$G773))</f>
        <v/>
      </c>
      <c r="P773" s="9" t="str">
        <f ca="1">IF($G773="","",INDEX(BASE_PRODUTOS!$I$2:$I$1006,$G773))</f>
        <v/>
      </c>
      <c r="Q773" s="9" t="str">
        <f ca="1">IF($G773="","",INDEX(BASE_PRODUTOS!$J$2:$J$1006,$G773))</f>
        <v/>
      </c>
      <c r="R773" s="9" t="str">
        <f ca="1">IF($G773="","",INDEX(BASE_PRODUTOS!$M$2:$M$1006,$G773))</f>
        <v/>
      </c>
      <c r="S773" s="9" t="str">
        <f ca="1">IF($G773="","",INDEX(BASE_PRODUTOS!$N$2:$N$1006,$G773))</f>
        <v/>
      </c>
      <c r="T773" s="9" t="str">
        <f ca="1">IF($G773="","",INDEX(BASE_PRODUTOS!$D$2:$D$1006,$G773))</f>
        <v/>
      </c>
    </row>
    <row r="774" spans="7:20" ht="18" customHeight="1" x14ac:dyDescent="0.35">
      <c r="G774" t="str">
        <f ca="1">IFERROR(_xludf.aggregate(15,6,(ROW(BASE_PRODUTOS!$L$2:$L$1006)-ROW(BASE_PRODUTOS!$L$2)+1)/(BASE_PRODUTOS!$L$2:$L$1006&gt;0),ROWS($G$10:G774)),"")</f>
        <v/>
      </c>
      <c r="H774" s="9" t="str">
        <f ca="1">IF($G774="","",INDEX(BASE_PRODUTOS!$B$2:$B$1006,$G774))</f>
        <v/>
      </c>
      <c r="I774" s="9" t="str">
        <f ca="1">IF($G774="","",INDEX(BASE_PRODUTOS!$L$2:$L$1006,$G774))</f>
        <v/>
      </c>
      <c r="J774" s="9" t="str">
        <f ca="1">IF($G774="","",INDEX(BASE_PRODUTOS!$A$2:$A$1006,$G774))</f>
        <v/>
      </c>
      <c r="K774" s="9" t="str">
        <f ca="1">IF($G774="","",INDEX(BASE_PRODUTOS!$C$2:$C$1006,$G774))</f>
        <v/>
      </c>
      <c r="L774" s="9" t="str">
        <f ca="1">IF($G774="","",INDEX(BASE_PRODUTOS!$E$2:$E$1006,$G774))</f>
        <v/>
      </c>
      <c r="M774" s="9" t="str">
        <f ca="1">IF($G774="","",INDEX(BASE_PRODUTOS!$F$2:$F$1006,$G774))</f>
        <v/>
      </c>
      <c r="N774" s="9" t="str">
        <f ca="1">IF($G774="","",INDEX(BASE_PRODUTOS!$G$2:$G$1006,$G774))</f>
        <v/>
      </c>
      <c r="O774" s="9" t="str">
        <f ca="1">IF($G774="","",INDEX(BASE_PRODUTOS!$H$2:$H$1006,$G774))</f>
        <v/>
      </c>
      <c r="P774" s="9" t="str">
        <f ca="1">IF($G774="","",INDEX(BASE_PRODUTOS!$I$2:$I$1006,$G774))</f>
        <v/>
      </c>
      <c r="Q774" s="9" t="str">
        <f ca="1">IF($G774="","",INDEX(BASE_PRODUTOS!$J$2:$J$1006,$G774))</f>
        <v/>
      </c>
      <c r="R774" s="9" t="str">
        <f ca="1">IF($G774="","",INDEX(BASE_PRODUTOS!$M$2:$M$1006,$G774))</f>
        <v/>
      </c>
      <c r="S774" s="9" t="str">
        <f ca="1">IF($G774="","",INDEX(BASE_PRODUTOS!$N$2:$N$1006,$G774))</f>
        <v/>
      </c>
      <c r="T774" s="9" t="str">
        <f ca="1">IF($G774="","",INDEX(BASE_PRODUTOS!$D$2:$D$1006,$G774))</f>
        <v/>
      </c>
    </row>
    <row r="775" spans="7:20" ht="18" customHeight="1" x14ac:dyDescent="0.35">
      <c r="G775" t="str">
        <f ca="1">IFERROR(_xludf.aggregate(15,6,(ROW(BASE_PRODUTOS!$L$2:$L$1006)-ROW(BASE_PRODUTOS!$L$2)+1)/(BASE_PRODUTOS!$L$2:$L$1006&gt;0),ROWS($G$10:G775)),"")</f>
        <v/>
      </c>
      <c r="H775" s="9" t="str">
        <f ca="1">IF($G775="","",INDEX(BASE_PRODUTOS!$B$2:$B$1006,$G775))</f>
        <v/>
      </c>
      <c r="I775" s="9" t="str">
        <f ca="1">IF($G775="","",INDEX(BASE_PRODUTOS!$L$2:$L$1006,$G775))</f>
        <v/>
      </c>
      <c r="J775" s="9" t="str">
        <f ca="1">IF($G775="","",INDEX(BASE_PRODUTOS!$A$2:$A$1006,$G775))</f>
        <v/>
      </c>
      <c r="K775" s="9" t="str">
        <f ca="1">IF($G775="","",INDEX(BASE_PRODUTOS!$C$2:$C$1006,$G775))</f>
        <v/>
      </c>
      <c r="L775" s="9" t="str">
        <f ca="1">IF($G775="","",INDEX(BASE_PRODUTOS!$E$2:$E$1006,$G775))</f>
        <v/>
      </c>
      <c r="M775" s="9" t="str">
        <f ca="1">IF($G775="","",INDEX(BASE_PRODUTOS!$F$2:$F$1006,$G775))</f>
        <v/>
      </c>
      <c r="N775" s="9" t="str">
        <f ca="1">IF($G775="","",INDEX(BASE_PRODUTOS!$G$2:$G$1006,$G775))</f>
        <v/>
      </c>
      <c r="O775" s="9" t="str">
        <f ca="1">IF($G775="","",INDEX(BASE_PRODUTOS!$H$2:$H$1006,$G775))</f>
        <v/>
      </c>
      <c r="P775" s="9" t="str">
        <f ca="1">IF($G775="","",INDEX(BASE_PRODUTOS!$I$2:$I$1006,$G775))</f>
        <v/>
      </c>
      <c r="Q775" s="9" t="str">
        <f ca="1">IF($G775="","",INDEX(BASE_PRODUTOS!$J$2:$J$1006,$G775))</f>
        <v/>
      </c>
      <c r="R775" s="9" t="str">
        <f ca="1">IF($G775="","",INDEX(BASE_PRODUTOS!$M$2:$M$1006,$G775))</f>
        <v/>
      </c>
      <c r="S775" s="9" t="str">
        <f ca="1">IF($G775="","",INDEX(BASE_PRODUTOS!$N$2:$N$1006,$G775))</f>
        <v/>
      </c>
      <c r="T775" s="9" t="str">
        <f ca="1">IF($G775="","",INDEX(BASE_PRODUTOS!$D$2:$D$1006,$G775))</f>
        <v/>
      </c>
    </row>
    <row r="776" spans="7:20" ht="18" customHeight="1" x14ac:dyDescent="0.35">
      <c r="G776" t="str">
        <f ca="1">IFERROR(_xludf.aggregate(15,6,(ROW(BASE_PRODUTOS!$L$2:$L$1006)-ROW(BASE_PRODUTOS!$L$2)+1)/(BASE_PRODUTOS!$L$2:$L$1006&gt;0),ROWS($G$10:G776)),"")</f>
        <v/>
      </c>
      <c r="H776" s="9" t="str">
        <f ca="1">IF($G776="","",INDEX(BASE_PRODUTOS!$B$2:$B$1006,$G776))</f>
        <v/>
      </c>
      <c r="I776" s="9" t="str">
        <f ca="1">IF($G776="","",INDEX(BASE_PRODUTOS!$L$2:$L$1006,$G776))</f>
        <v/>
      </c>
      <c r="J776" s="9" t="str">
        <f ca="1">IF($G776="","",INDEX(BASE_PRODUTOS!$A$2:$A$1006,$G776))</f>
        <v/>
      </c>
      <c r="K776" s="9" t="str">
        <f ca="1">IF($G776="","",INDEX(BASE_PRODUTOS!$C$2:$C$1006,$G776))</f>
        <v/>
      </c>
      <c r="L776" s="9" t="str">
        <f ca="1">IF($G776="","",INDEX(BASE_PRODUTOS!$E$2:$E$1006,$G776))</f>
        <v/>
      </c>
      <c r="M776" s="9" t="str">
        <f ca="1">IF($G776="","",INDEX(BASE_PRODUTOS!$F$2:$F$1006,$G776))</f>
        <v/>
      </c>
      <c r="N776" s="9" t="str">
        <f ca="1">IF($G776="","",INDEX(BASE_PRODUTOS!$G$2:$G$1006,$G776))</f>
        <v/>
      </c>
      <c r="O776" s="9" t="str">
        <f ca="1">IF($G776="","",INDEX(BASE_PRODUTOS!$H$2:$H$1006,$G776))</f>
        <v/>
      </c>
      <c r="P776" s="9" t="str">
        <f ca="1">IF($G776="","",INDEX(BASE_PRODUTOS!$I$2:$I$1006,$G776))</f>
        <v/>
      </c>
      <c r="Q776" s="9" t="str">
        <f ca="1">IF($G776="","",INDEX(BASE_PRODUTOS!$J$2:$J$1006,$G776))</f>
        <v/>
      </c>
      <c r="R776" s="9" t="str">
        <f ca="1">IF($G776="","",INDEX(BASE_PRODUTOS!$M$2:$M$1006,$G776))</f>
        <v/>
      </c>
      <c r="S776" s="9" t="str">
        <f ca="1">IF($G776="","",INDEX(BASE_PRODUTOS!$N$2:$N$1006,$G776))</f>
        <v/>
      </c>
      <c r="T776" s="9" t="str">
        <f ca="1">IF($G776="","",INDEX(BASE_PRODUTOS!$D$2:$D$1006,$G776))</f>
        <v/>
      </c>
    </row>
    <row r="777" spans="7:20" ht="18" customHeight="1" x14ac:dyDescent="0.35">
      <c r="G777" t="str">
        <f ca="1">IFERROR(_xludf.aggregate(15,6,(ROW(BASE_PRODUTOS!$L$2:$L$1006)-ROW(BASE_PRODUTOS!$L$2)+1)/(BASE_PRODUTOS!$L$2:$L$1006&gt;0),ROWS($G$10:G777)),"")</f>
        <v/>
      </c>
      <c r="H777" s="9" t="str">
        <f ca="1">IF($G777="","",INDEX(BASE_PRODUTOS!$B$2:$B$1006,$G777))</f>
        <v/>
      </c>
      <c r="I777" s="9" t="str">
        <f ca="1">IF($G777="","",INDEX(BASE_PRODUTOS!$L$2:$L$1006,$G777))</f>
        <v/>
      </c>
      <c r="J777" s="9" t="str">
        <f ca="1">IF($G777="","",INDEX(BASE_PRODUTOS!$A$2:$A$1006,$G777))</f>
        <v/>
      </c>
      <c r="K777" s="9" t="str">
        <f ca="1">IF($G777="","",INDEX(BASE_PRODUTOS!$C$2:$C$1006,$G777))</f>
        <v/>
      </c>
      <c r="L777" s="9" t="str">
        <f ca="1">IF($G777="","",INDEX(BASE_PRODUTOS!$E$2:$E$1006,$G777))</f>
        <v/>
      </c>
      <c r="M777" s="9" t="str">
        <f ca="1">IF($G777="","",INDEX(BASE_PRODUTOS!$F$2:$F$1006,$G777))</f>
        <v/>
      </c>
      <c r="N777" s="9" t="str">
        <f ca="1">IF($G777="","",INDEX(BASE_PRODUTOS!$G$2:$G$1006,$G777))</f>
        <v/>
      </c>
      <c r="O777" s="9" t="str">
        <f ca="1">IF($G777="","",INDEX(BASE_PRODUTOS!$H$2:$H$1006,$G777))</f>
        <v/>
      </c>
      <c r="P777" s="9" t="str">
        <f ca="1">IF($G777="","",INDEX(BASE_PRODUTOS!$I$2:$I$1006,$G777))</f>
        <v/>
      </c>
      <c r="Q777" s="9" t="str">
        <f ca="1">IF($G777="","",INDEX(BASE_PRODUTOS!$J$2:$J$1006,$G777))</f>
        <v/>
      </c>
      <c r="R777" s="9" t="str">
        <f ca="1">IF($G777="","",INDEX(BASE_PRODUTOS!$M$2:$M$1006,$G777))</f>
        <v/>
      </c>
      <c r="S777" s="9" t="str">
        <f ca="1">IF($G777="","",INDEX(BASE_PRODUTOS!$N$2:$N$1006,$G777))</f>
        <v/>
      </c>
      <c r="T777" s="9" t="str">
        <f ca="1">IF($G777="","",INDEX(BASE_PRODUTOS!$D$2:$D$1006,$G777))</f>
        <v/>
      </c>
    </row>
    <row r="778" spans="7:20" ht="18" customHeight="1" x14ac:dyDescent="0.35">
      <c r="G778" t="str">
        <f ca="1">IFERROR(_xludf.aggregate(15,6,(ROW(BASE_PRODUTOS!$L$2:$L$1006)-ROW(BASE_PRODUTOS!$L$2)+1)/(BASE_PRODUTOS!$L$2:$L$1006&gt;0),ROWS($G$10:G778)),"")</f>
        <v/>
      </c>
      <c r="H778" s="9" t="str">
        <f ca="1">IF($G778="","",INDEX(BASE_PRODUTOS!$B$2:$B$1006,$G778))</f>
        <v/>
      </c>
      <c r="I778" s="9" t="str">
        <f ca="1">IF($G778="","",INDEX(BASE_PRODUTOS!$L$2:$L$1006,$G778))</f>
        <v/>
      </c>
      <c r="J778" s="9" t="str">
        <f ca="1">IF($G778="","",INDEX(BASE_PRODUTOS!$A$2:$A$1006,$G778))</f>
        <v/>
      </c>
      <c r="K778" s="9" t="str">
        <f ca="1">IF($G778="","",INDEX(BASE_PRODUTOS!$C$2:$C$1006,$G778))</f>
        <v/>
      </c>
      <c r="L778" s="9" t="str">
        <f ca="1">IF($G778="","",INDEX(BASE_PRODUTOS!$E$2:$E$1006,$G778))</f>
        <v/>
      </c>
      <c r="M778" s="9" t="str">
        <f ca="1">IF($G778="","",INDEX(BASE_PRODUTOS!$F$2:$F$1006,$G778))</f>
        <v/>
      </c>
      <c r="N778" s="9" t="str">
        <f ca="1">IF($G778="","",INDEX(BASE_PRODUTOS!$G$2:$G$1006,$G778))</f>
        <v/>
      </c>
      <c r="O778" s="9" t="str">
        <f ca="1">IF($G778="","",INDEX(BASE_PRODUTOS!$H$2:$H$1006,$G778))</f>
        <v/>
      </c>
      <c r="P778" s="9" t="str">
        <f ca="1">IF($G778="","",INDEX(BASE_PRODUTOS!$I$2:$I$1006,$G778))</f>
        <v/>
      </c>
      <c r="Q778" s="9" t="str">
        <f ca="1">IF($G778="","",INDEX(BASE_PRODUTOS!$J$2:$J$1006,$G778))</f>
        <v/>
      </c>
      <c r="R778" s="9" t="str">
        <f ca="1">IF($G778="","",INDEX(BASE_PRODUTOS!$M$2:$M$1006,$G778))</f>
        <v/>
      </c>
      <c r="S778" s="9" t="str">
        <f ca="1">IF($G778="","",INDEX(BASE_PRODUTOS!$N$2:$N$1006,$G778))</f>
        <v/>
      </c>
      <c r="T778" s="9" t="str">
        <f ca="1">IF($G778="","",INDEX(BASE_PRODUTOS!$D$2:$D$1006,$G778))</f>
        <v/>
      </c>
    </row>
    <row r="779" spans="7:20" ht="18" customHeight="1" x14ac:dyDescent="0.35">
      <c r="G779" t="str">
        <f ca="1">IFERROR(_xludf.aggregate(15,6,(ROW(BASE_PRODUTOS!$L$2:$L$1006)-ROW(BASE_PRODUTOS!$L$2)+1)/(BASE_PRODUTOS!$L$2:$L$1006&gt;0),ROWS($G$10:G779)),"")</f>
        <v/>
      </c>
      <c r="H779" s="9" t="str">
        <f ca="1">IF($G779="","",INDEX(BASE_PRODUTOS!$B$2:$B$1006,$G779))</f>
        <v/>
      </c>
      <c r="I779" s="9" t="str">
        <f ca="1">IF($G779="","",INDEX(BASE_PRODUTOS!$L$2:$L$1006,$G779))</f>
        <v/>
      </c>
      <c r="J779" s="9" t="str">
        <f ca="1">IF($G779="","",INDEX(BASE_PRODUTOS!$A$2:$A$1006,$G779))</f>
        <v/>
      </c>
      <c r="K779" s="9" t="str">
        <f ca="1">IF($G779="","",INDEX(BASE_PRODUTOS!$C$2:$C$1006,$G779))</f>
        <v/>
      </c>
      <c r="L779" s="9" t="str">
        <f ca="1">IF($G779="","",INDEX(BASE_PRODUTOS!$E$2:$E$1006,$G779))</f>
        <v/>
      </c>
      <c r="M779" s="9" t="str">
        <f ca="1">IF($G779="","",INDEX(BASE_PRODUTOS!$F$2:$F$1006,$G779))</f>
        <v/>
      </c>
      <c r="N779" s="9" t="str">
        <f ca="1">IF($G779="","",INDEX(BASE_PRODUTOS!$G$2:$G$1006,$G779))</f>
        <v/>
      </c>
      <c r="O779" s="9" t="str">
        <f ca="1">IF($G779="","",INDEX(BASE_PRODUTOS!$H$2:$H$1006,$G779))</f>
        <v/>
      </c>
      <c r="P779" s="9" t="str">
        <f ca="1">IF($G779="","",INDEX(BASE_PRODUTOS!$I$2:$I$1006,$G779))</f>
        <v/>
      </c>
      <c r="Q779" s="9" t="str">
        <f ca="1">IF($G779="","",INDEX(BASE_PRODUTOS!$J$2:$J$1006,$G779))</f>
        <v/>
      </c>
      <c r="R779" s="9" t="str">
        <f ca="1">IF($G779="","",INDEX(BASE_PRODUTOS!$M$2:$M$1006,$G779))</f>
        <v/>
      </c>
      <c r="S779" s="9" t="str">
        <f ca="1">IF($G779="","",INDEX(BASE_PRODUTOS!$N$2:$N$1006,$G779))</f>
        <v/>
      </c>
      <c r="T779" s="9" t="str">
        <f ca="1">IF($G779="","",INDEX(BASE_PRODUTOS!$D$2:$D$1006,$G779))</f>
        <v/>
      </c>
    </row>
    <row r="780" spans="7:20" ht="18" customHeight="1" x14ac:dyDescent="0.35">
      <c r="G780" t="str">
        <f ca="1">IFERROR(_xludf.aggregate(15,6,(ROW(BASE_PRODUTOS!$L$2:$L$1006)-ROW(BASE_PRODUTOS!$L$2)+1)/(BASE_PRODUTOS!$L$2:$L$1006&gt;0),ROWS($G$10:G780)),"")</f>
        <v/>
      </c>
      <c r="H780" s="9" t="str">
        <f ca="1">IF($G780="","",INDEX(BASE_PRODUTOS!$B$2:$B$1006,$G780))</f>
        <v/>
      </c>
      <c r="I780" s="9" t="str">
        <f ca="1">IF($G780="","",INDEX(BASE_PRODUTOS!$L$2:$L$1006,$G780))</f>
        <v/>
      </c>
      <c r="J780" s="9" t="str">
        <f ca="1">IF($G780="","",INDEX(BASE_PRODUTOS!$A$2:$A$1006,$G780))</f>
        <v/>
      </c>
      <c r="K780" s="9" t="str">
        <f ca="1">IF($G780="","",INDEX(BASE_PRODUTOS!$C$2:$C$1006,$G780))</f>
        <v/>
      </c>
      <c r="L780" s="9" t="str">
        <f ca="1">IF($G780="","",INDEX(BASE_PRODUTOS!$E$2:$E$1006,$G780))</f>
        <v/>
      </c>
      <c r="M780" s="9" t="str">
        <f ca="1">IF($G780="","",INDEX(BASE_PRODUTOS!$F$2:$F$1006,$G780))</f>
        <v/>
      </c>
      <c r="N780" s="9" t="str">
        <f ca="1">IF($G780="","",INDEX(BASE_PRODUTOS!$G$2:$G$1006,$G780))</f>
        <v/>
      </c>
      <c r="O780" s="9" t="str">
        <f ca="1">IF($G780="","",INDEX(BASE_PRODUTOS!$H$2:$H$1006,$G780))</f>
        <v/>
      </c>
      <c r="P780" s="9" t="str">
        <f ca="1">IF($G780="","",INDEX(BASE_PRODUTOS!$I$2:$I$1006,$G780))</f>
        <v/>
      </c>
      <c r="Q780" s="9" t="str">
        <f ca="1">IF($G780="","",INDEX(BASE_PRODUTOS!$J$2:$J$1006,$G780))</f>
        <v/>
      </c>
      <c r="R780" s="9" t="str">
        <f ca="1">IF($G780="","",INDEX(BASE_PRODUTOS!$M$2:$M$1006,$G780))</f>
        <v/>
      </c>
      <c r="S780" s="9" t="str">
        <f ca="1">IF($G780="","",INDEX(BASE_PRODUTOS!$N$2:$N$1006,$G780))</f>
        <v/>
      </c>
      <c r="T780" s="9" t="str">
        <f ca="1">IF($G780="","",INDEX(BASE_PRODUTOS!$D$2:$D$1006,$G780))</f>
        <v/>
      </c>
    </row>
    <row r="781" spans="7:20" ht="18" customHeight="1" x14ac:dyDescent="0.35">
      <c r="G781" t="str">
        <f ca="1">IFERROR(_xludf.aggregate(15,6,(ROW(BASE_PRODUTOS!$L$2:$L$1006)-ROW(BASE_PRODUTOS!$L$2)+1)/(BASE_PRODUTOS!$L$2:$L$1006&gt;0),ROWS($G$10:G781)),"")</f>
        <v/>
      </c>
      <c r="H781" s="9" t="str">
        <f ca="1">IF($G781="","",INDEX(BASE_PRODUTOS!$B$2:$B$1006,$G781))</f>
        <v/>
      </c>
      <c r="I781" s="9" t="str">
        <f ca="1">IF($G781="","",INDEX(BASE_PRODUTOS!$L$2:$L$1006,$G781))</f>
        <v/>
      </c>
      <c r="J781" s="9" t="str">
        <f ca="1">IF($G781="","",INDEX(BASE_PRODUTOS!$A$2:$A$1006,$G781))</f>
        <v/>
      </c>
      <c r="K781" s="9" t="str">
        <f ca="1">IF($G781="","",INDEX(BASE_PRODUTOS!$C$2:$C$1006,$G781))</f>
        <v/>
      </c>
      <c r="L781" s="9" t="str">
        <f ca="1">IF($G781="","",INDEX(BASE_PRODUTOS!$E$2:$E$1006,$G781))</f>
        <v/>
      </c>
      <c r="M781" s="9" t="str">
        <f ca="1">IF($G781="","",INDEX(BASE_PRODUTOS!$F$2:$F$1006,$G781))</f>
        <v/>
      </c>
      <c r="N781" s="9" t="str">
        <f ca="1">IF($G781="","",INDEX(BASE_PRODUTOS!$G$2:$G$1006,$G781))</f>
        <v/>
      </c>
      <c r="O781" s="9" t="str">
        <f ca="1">IF($G781="","",INDEX(BASE_PRODUTOS!$H$2:$H$1006,$G781))</f>
        <v/>
      </c>
      <c r="P781" s="9" t="str">
        <f ca="1">IF($G781="","",INDEX(BASE_PRODUTOS!$I$2:$I$1006,$G781))</f>
        <v/>
      </c>
      <c r="Q781" s="9" t="str">
        <f ca="1">IF($G781="","",INDEX(BASE_PRODUTOS!$J$2:$J$1006,$G781))</f>
        <v/>
      </c>
      <c r="R781" s="9" t="str">
        <f ca="1">IF($G781="","",INDEX(BASE_PRODUTOS!$M$2:$M$1006,$G781))</f>
        <v/>
      </c>
      <c r="S781" s="9" t="str">
        <f ca="1">IF($G781="","",INDEX(BASE_PRODUTOS!$N$2:$N$1006,$G781))</f>
        <v/>
      </c>
      <c r="T781" s="9" t="str">
        <f ca="1">IF($G781="","",INDEX(BASE_PRODUTOS!$D$2:$D$1006,$G781))</f>
        <v/>
      </c>
    </row>
    <row r="782" spans="7:20" ht="18" customHeight="1" x14ac:dyDescent="0.35">
      <c r="G782" t="str">
        <f ca="1">IFERROR(_xludf.aggregate(15,6,(ROW(BASE_PRODUTOS!$L$2:$L$1006)-ROW(BASE_PRODUTOS!$L$2)+1)/(BASE_PRODUTOS!$L$2:$L$1006&gt;0),ROWS($G$10:G782)),"")</f>
        <v/>
      </c>
      <c r="H782" s="9" t="str">
        <f ca="1">IF($G782="","",INDEX(BASE_PRODUTOS!$B$2:$B$1006,$G782))</f>
        <v/>
      </c>
      <c r="I782" s="9" t="str">
        <f ca="1">IF($G782="","",INDEX(BASE_PRODUTOS!$L$2:$L$1006,$G782))</f>
        <v/>
      </c>
      <c r="J782" s="9" t="str">
        <f ca="1">IF($G782="","",INDEX(BASE_PRODUTOS!$A$2:$A$1006,$G782))</f>
        <v/>
      </c>
      <c r="K782" s="9" t="str">
        <f ca="1">IF($G782="","",INDEX(BASE_PRODUTOS!$C$2:$C$1006,$G782))</f>
        <v/>
      </c>
      <c r="L782" s="9" t="str">
        <f ca="1">IF($G782="","",INDEX(BASE_PRODUTOS!$E$2:$E$1006,$G782))</f>
        <v/>
      </c>
      <c r="M782" s="9" t="str">
        <f ca="1">IF($G782="","",INDEX(BASE_PRODUTOS!$F$2:$F$1006,$G782))</f>
        <v/>
      </c>
      <c r="N782" s="9" t="str">
        <f ca="1">IF($G782="","",INDEX(BASE_PRODUTOS!$G$2:$G$1006,$G782))</f>
        <v/>
      </c>
      <c r="O782" s="9" t="str">
        <f ca="1">IF($G782="","",INDEX(BASE_PRODUTOS!$H$2:$H$1006,$G782))</f>
        <v/>
      </c>
      <c r="P782" s="9" t="str">
        <f ca="1">IF($G782="","",INDEX(BASE_PRODUTOS!$I$2:$I$1006,$G782))</f>
        <v/>
      </c>
      <c r="Q782" s="9" t="str">
        <f ca="1">IF($G782="","",INDEX(BASE_PRODUTOS!$J$2:$J$1006,$G782))</f>
        <v/>
      </c>
      <c r="R782" s="9" t="str">
        <f ca="1">IF($G782="","",INDEX(BASE_PRODUTOS!$M$2:$M$1006,$G782))</f>
        <v/>
      </c>
      <c r="S782" s="9" t="str">
        <f ca="1">IF($G782="","",INDEX(BASE_PRODUTOS!$N$2:$N$1006,$G782))</f>
        <v/>
      </c>
      <c r="T782" s="9" t="str">
        <f ca="1">IF($G782="","",INDEX(BASE_PRODUTOS!$D$2:$D$1006,$G782))</f>
        <v/>
      </c>
    </row>
    <row r="783" spans="7:20" ht="18" customHeight="1" x14ac:dyDescent="0.35">
      <c r="G783" t="str">
        <f ca="1">IFERROR(_xludf.aggregate(15,6,(ROW(BASE_PRODUTOS!$L$2:$L$1006)-ROW(BASE_PRODUTOS!$L$2)+1)/(BASE_PRODUTOS!$L$2:$L$1006&gt;0),ROWS($G$10:G783)),"")</f>
        <v/>
      </c>
      <c r="H783" s="9" t="str">
        <f ca="1">IF($G783="","",INDEX(BASE_PRODUTOS!$B$2:$B$1006,$G783))</f>
        <v/>
      </c>
      <c r="I783" s="9" t="str">
        <f ca="1">IF($G783="","",INDEX(BASE_PRODUTOS!$L$2:$L$1006,$G783))</f>
        <v/>
      </c>
      <c r="J783" s="9" t="str">
        <f ca="1">IF($G783="","",INDEX(BASE_PRODUTOS!$A$2:$A$1006,$G783))</f>
        <v/>
      </c>
      <c r="K783" s="9" t="str">
        <f ca="1">IF($G783="","",INDEX(BASE_PRODUTOS!$C$2:$C$1006,$G783))</f>
        <v/>
      </c>
      <c r="L783" s="9" t="str">
        <f ca="1">IF($G783="","",INDEX(BASE_PRODUTOS!$E$2:$E$1006,$G783))</f>
        <v/>
      </c>
      <c r="M783" s="9" t="str">
        <f ca="1">IF($G783="","",INDEX(BASE_PRODUTOS!$F$2:$F$1006,$G783))</f>
        <v/>
      </c>
      <c r="N783" s="9" t="str">
        <f ca="1">IF($G783="","",INDEX(BASE_PRODUTOS!$G$2:$G$1006,$G783))</f>
        <v/>
      </c>
      <c r="O783" s="9" t="str">
        <f ca="1">IF($G783="","",INDEX(BASE_PRODUTOS!$H$2:$H$1006,$G783))</f>
        <v/>
      </c>
      <c r="P783" s="9" t="str">
        <f ca="1">IF($G783="","",INDEX(BASE_PRODUTOS!$I$2:$I$1006,$G783))</f>
        <v/>
      </c>
      <c r="Q783" s="9" t="str">
        <f ca="1">IF($G783="","",INDEX(BASE_PRODUTOS!$J$2:$J$1006,$G783))</f>
        <v/>
      </c>
      <c r="R783" s="9" t="str">
        <f ca="1">IF($G783="","",INDEX(BASE_PRODUTOS!$M$2:$M$1006,$G783))</f>
        <v/>
      </c>
      <c r="S783" s="9" t="str">
        <f ca="1">IF($G783="","",INDEX(BASE_PRODUTOS!$N$2:$N$1006,$G783))</f>
        <v/>
      </c>
      <c r="T783" s="9" t="str">
        <f ca="1">IF($G783="","",INDEX(BASE_PRODUTOS!$D$2:$D$1006,$G783))</f>
        <v/>
      </c>
    </row>
    <row r="784" spans="7:20" ht="18" customHeight="1" x14ac:dyDescent="0.35">
      <c r="G784" t="str">
        <f ca="1">IFERROR(_xludf.aggregate(15,6,(ROW(BASE_PRODUTOS!$L$2:$L$1006)-ROW(BASE_PRODUTOS!$L$2)+1)/(BASE_PRODUTOS!$L$2:$L$1006&gt;0),ROWS($G$10:G784)),"")</f>
        <v/>
      </c>
      <c r="H784" s="9" t="str">
        <f ca="1">IF($G784="","",INDEX(BASE_PRODUTOS!$B$2:$B$1006,$G784))</f>
        <v/>
      </c>
      <c r="I784" s="9" t="str">
        <f ca="1">IF($G784="","",INDEX(BASE_PRODUTOS!$L$2:$L$1006,$G784))</f>
        <v/>
      </c>
      <c r="J784" s="9" t="str">
        <f ca="1">IF($G784="","",INDEX(BASE_PRODUTOS!$A$2:$A$1006,$G784))</f>
        <v/>
      </c>
      <c r="K784" s="9" t="str">
        <f ca="1">IF($G784="","",INDEX(BASE_PRODUTOS!$C$2:$C$1006,$G784))</f>
        <v/>
      </c>
      <c r="L784" s="9" t="str">
        <f ca="1">IF($G784="","",INDEX(BASE_PRODUTOS!$E$2:$E$1006,$G784))</f>
        <v/>
      </c>
      <c r="M784" s="9" t="str">
        <f ca="1">IF($G784="","",INDEX(BASE_PRODUTOS!$F$2:$F$1006,$G784))</f>
        <v/>
      </c>
      <c r="N784" s="9" t="str">
        <f ca="1">IF($G784="","",INDEX(BASE_PRODUTOS!$G$2:$G$1006,$G784))</f>
        <v/>
      </c>
      <c r="O784" s="9" t="str">
        <f ca="1">IF($G784="","",INDEX(BASE_PRODUTOS!$H$2:$H$1006,$G784))</f>
        <v/>
      </c>
      <c r="P784" s="9" t="str">
        <f ca="1">IF($G784="","",INDEX(BASE_PRODUTOS!$I$2:$I$1006,$G784))</f>
        <v/>
      </c>
      <c r="Q784" s="9" t="str">
        <f ca="1">IF($G784="","",INDEX(BASE_PRODUTOS!$J$2:$J$1006,$G784))</f>
        <v/>
      </c>
      <c r="R784" s="9" t="str">
        <f ca="1">IF($G784="","",INDEX(BASE_PRODUTOS!$M$2:$M$1006,$G784))</f>
        <v/>
      </c>
      <c r="S784" s="9" t="str">
        <f ca="1">IF($G784="","",INDEX(BASE_PRODUTOS!$N$2:$N$1006,$G784))</f>
        <v/>
      </c>
      <c r="T784" s="9" t="str">
        <f ca="1">IF($G784="","",INDEX(BASE_PRODUTOS!$D$2:$D$1006,$G784))</f>
        <v/>
      </c>
    </row>
    <row r="785" spans="7:20" ht="18" customHeight="1" x14ac:dyDescent="0.35">
      <c r="G785" t="str">
        <f ca="1">IFERROR(_xludf.aggregate(15,6,(ROW(BASE_PRODUTOS!$L$2:$L$1006)-ROW(BASE_PRODUTOS!$L$2)+1)/(BASE_PRODUTOS!$L$2:$L$1006&gt;0),ROWS($G$10:G785)),"")</f>
        <v/>
      </c>
      <c r="H785" s="9" t="str">
        <f ca="1">IF($G785="","",INDEX(BASE_PRODUTOS!$B$2:$B$1006,$G785))</f>
        <v/>
      </c>
      <c r="I785" s="9" t="str">
        <f ca="1">IF($G785="","",INDEX(BASE_PRODUTOS!$L$2:$L$1006,$G785))</f>
        <v/>
      </c>
      <c r="J785" s="9" t="str">
        <f ca="1">IF($G785="","",INDEX(BASE_PRODUTOS!$A$2:$A$1006,$G785))</f>
        <v/>
      </c>
      <c r="K785" s="9" t="str">
        <f ca="1">IF($G785="","",INDEX(BASE_PRODUTOS!$C$2:$C$1006,$G785))</f>
        <v/>
      </c>
      <c r="L785" s="9" t="str">
        <f ca="1">IF($G785="","",INDEX(BASE_PRODUTOS!$E$2:$E$1006,$G785))</f>
        <v/>
      </c>
      <c r="M785" s="9" t="str">
        <f ca="1">IF($G785="","",INDEX(BASE_PRODUTOS!$F$2:$F$1006,$G785))</f>
        <v/>
      </c>
      <c r="N785" s="9" t="str">
        <f ca="1">IF($G785="","",INDEX(BASE_PRODUTOS!$G$2:$G$1006,$G785))</f>
        <v/>
      </c>
      <c r="O785" s="9" t="str">
        <f ca="1">IF($G785="","",INDEX(BASE_PRODUTOS!$H$2:$H$1006,$G785))</f>
        <v/>
      </c>
      <c r="P785" s="9" t="str">
        <f ca="1">IF($G785="","",INDEX(BASE_PRODUTOS!$I$2:$I$1006,$G785))</f>
        <v/>
      </c>
      <c r="Q785" s="9" t="str">
        <f ca="1">IF($G785="","",INDEX(BASE_PRODUTOS!$J$2:$J$1006,$G785))</f>
        <v/>
      </c>
      <c r="R785" s="9" t="str">
        <f ca="1">IF($G785="","",INDEX(BASE_PRODUTOS!$M$2:$M$1006,$G785))</f>
        <v/>
      </c>
      <c r="S785" s="9" t="str">
        <f ca="1">IF($G785="","",INDEX(BASE_PRODUTOS!$N$2:$N$1006,$G785))</f>
        <v/>
      </c>
      <c r="T785" s="9" t="str">
        <f ca="1">IF($G785="","",INDEX(BASE_PRODUTOS!$D$2:$D$1006,$G785))</f>
        <v/>
      </c>
    </row>
    <row r="786" spans="7:20" ht="18" customHeight="1" x14ac:dyDescent="0.35">
      <c r="G786" t="str">
        <f ca="1">IFERROR(_xludf.aggregate(15,6,(ROW(BASE_PRODUTOS!$L$2:$L$1006)-ROW(BASE_PRODUTOS!$L$2)+1)/(BASE_PRODUTOS!$L$2:$L$1006&gt;0),ROWS($G$10:G786)),"")</f>
        <v/>
      </c>
      <c r="H786" s="9" t="str">
        <f ca="1">IF($G786="","",INDEX(BASE_PRODUTOS!$B$2:$B$1006,$G786))</f>
        <v/>
      </c>
      <c r="I786" s="9" t="str">
        <f ca="1">IF($G786="","",INDEX(BASE_PRODUTOS!$L$2:$L$1006,$G786))</f>
        <v/>
      </c>
      <c r="J786" s="9" t="str">
        <f ca="1">IF($G786="","",INDEX(BASE_PRODUTOS!$A$2:$A$1006,$G786))</f>
        <v/>
      </c>
      <c r="K786" s="9" t="str">
        <f ca="1">IF($G786="","",INDEX(BASE_PRODUTOS!$C$2:$C$1006,$G786))</f>
        <v/>
      </c>
      <c r="L786" s="9" t="str">
        <f ca="1">IF($G786="","",INDEX(BASE_PRODUTOS!$E$2:$E$1006,$G786))</f>
        <v/>
      </c>
      <c r="M786" s="9" t="str">
        <f ca="1">IF($G786="","",INDEX(BASE_PRODUTOS!$F$2:$F$1006,$G786))</f>
        <v/>
      </c>
      <c r="N786" s="9" t="str">
        <f ca="1">IF($G786="","",INDEX(BASE_PRODUTOS!$G$2:$G$1006,$G786))</f>
        <v/>
      </c>
      <c r="O786" s="9" t="str">
        <f ca="1">IF($G786="","",INDEX(BASE_PRODUTOS!$H$2:$H$1006,$G786))</f>
        <v/>
      </c>
      <c r="P786" s="9" t="str">
        <f ca="1">IF($G786="","",INDEX(BASE_PRODUTOS!$I$2:$I$1006,$G786))</f>
        <v/>
      </c>
      <c r="Q786" s="9" t="str">
        <f ca="1">IF($G786="","",INDEX(BASE_PRODUTOS!$J$2:$J$1006,$G786))</f>
        <v/>
      </c>
      <c r="R786" s="9" t="str">
        <f ca="1">IF($G786="","",INDEX(BASE_PRODUTOS!$M$2:$M$1006,$G786))</f>
        <v/>
      </c>
      <c r="S786" s="9" t="str">
        <f ca="1">IF($G786="","",INDEX(BASE_PRODUTOS!$N$2:$N$1006,$G786))</f>
        <v/>
      </c>
      <c r="T786" s="9" t="str">
        <f ca="1">IF($G786="","",INDEX(BASE_PRODUTOS!$D$2:$D$1006,$G786))</f>
        <v/>
      </c>
    </row>
    <row r="787" spans="7:20" ht="18" customHeight="1" x14ac:dyDescent="0.35">
      <c r="G787" t="str">
        <f ca="1">IFERROR(_xludf.aggregate(15,6,(ROW(BASE_PRODUTOS!$L$2:$L$1006)-ROW(BASE_PRODUTOS!$L$2)+1)/(BASE_PRODUTOS!$L$2:$L$1006&gt;0),ROWS($G$10:G787)),"")</f>
        <v/>
      </c>
      <c r="H787" s="9" t="str">
        <f ca="1">IF($G787="","",INDEX(BASE_PRODUTOS!$B$2:$B$1006,$G787))</f>
        <v/>
      </c>
      <c r="I787" s="9" t="str">
        <f ca="1">IF($G787="","",INDEX(BASE_PRODUTOS!$L$2:$L$1006,$G787))</f>
        <v/>
      </c>
      <c r="J787" s="9" t="str">
        <f ca="1">IF($G787="","",INDEX(BASE_PRODUTOS!$A$2:$A$1006,$G787))</f>
        <v/>
      </c>
      <c r="K787" s="9" t="str">
        <f ca="1">IF($G787="","",INDEX(BASE_PRODUTOS!$C$2:$C$1006,$G787))</f>
        <v/>
      </c>
      <c r="L787" s="9" t="str">
        <f ca="1">IF($G787="","",INDEX(BASE_PRODUTOS!$E$2:$E$1006,$G787))</f>
        <v/>
      </c>
      <c r="M787" s="9" t="str">
        <f ca="1">IF($G787="","",INDEX(BASE_PRODUTOS!$F$2:$F$1006,$G787))</f>
        <v/>
      </c>
      <c r="N787" s="9" t="str">
        <f ca="1">IF($G787="","",INDEX(BASE_PRODUTOS!$G$2:$G$1006,$G787))</f>
        <v/>
      </c>
      <c r="O787" s="9" t="str">
        <f ca="1">IF($G787="","",INDEX(BASE_PRODUTOS!$H$2:$H$1006,$G787))</f>
        <v/>
      </c>
      <c r="P787" s="9" t="str">
        <f ca="1">IF($G787="","",INDEX(BASE_PRODUTOS!$I$2:$I$1006,$G787))</f>
        <v/>
      </c>
      <c r="Q787" s="9" t="str">
        <f ca="1">IF($G787="","",INDEX(BASE_PRODUTOS!$J$2:$J$1006,$G787))</f>
        <v/>
      </c>
      <c r="R787" s="9" t="str">
        <f ca="1">IF($G787="","",INDEX(BASE_PRODUTOS!$M$2:$M$1006,$G787))</f>
        <v/>
      </c>
      <c r="S787" s="9" t="str">
        <f ca="1">IF($G787="","",INDEX(BASE_PRODUTOS!$N$2:$N$1006,$G787))</f>
        <v/>
      </c>
      <c r="T787" s="9" t="str">
        <f ca="1">IF($G787="","",INDEX(BASE_PRODUTOS!$D$2:$D$1006,$G787))</f>
        <v/>
      </c>
    </row>
    <row r="788" spans="7:20" ht="18" customHeight="1" x14ac:dyDescent="0.35">
      <c r="G788" t="str">
        <f ca="1">IFERROR(_xludf.aggregate(15,6,(ROW(BASE_PRODUTOS!$L$2:$L$1006)-ROW(BASE_PRODUTOS!$L$2)+1)/(BASE_PRODUTOS!$L$2:$L$1006&gt;0),ROWS($G$10:G788)),"")</f>
        <v/>
      </c>
      <c r="H788" s="9" t="str">
        <f ca="1">IF($G788="","",INDEX(BASE_PRODUTOS!$B$2:$B$1006,$G788))</f>
        <v/>
      </c>
      <c r="I788" s="9" t="str">
        <f ca="1">IF($G788="","",INDEX(BASE_PRODUTOS!$L$2:$L$1006,$G788))</f>
        <v/>
      </c>
      <c r="J788" s="9" t="str">
        <f ca="1">IF($G788="","",INDEX(BASE_PRODUTOS!$A$2:$A$1006,$G788))</f>
        <v/>
      </c>
      <c r="K788" s="9" t="str">
        <f ca="1">IF($G788="","",INDEX(BASE_PRODUTOS!$C$2:$C$1006,$G788))</f>
        <v/>
      </c>
      <c r="L788" s="9" t="str">
        <f ca="1">IF($G788="","",INDEX(BASE_PRODUTOS!$E$2:$E$1006,$G788))</f>
        <v/>
      </c>
      <c r="M788" s="9" t="str">
        <f ca="1">IF($G788="","",INDEX(BASE_PRODUTOS!$F$2:$F$1006,$G788))</f>
        <v/>
      </c>
      <c r="N788" s="9" t="str">
        <f ca="1">IF($G788="","",INDEX(BASE_PRODUTOS!$G$2:$G$1006,$G788))</f>
        <v/>
      </c>
      <c r="O788" s="9" t="str">
        <f ca="1">IF($G788="","",INDEX(BASE_PRODUTOS!$H$2:$H$1006,$G788))</f>
        <v/>
      </c>
      <c r="P788" s="9" t="str">
        <f ca="1">IF($G788="","",INDEX(BASE_PRODUTOS!$I$2:$I$1006,$G788))</f>
        <v/>
      </c>
      <c r="Q788" s="9" t="str">
        <f ca="1">IF($G788="","",INDEX(BASE_PRODUTOS!$J$2:$J$1006,$G788))</f>
        <v/>
      </c>
      <c r="R788" s="9" t="str">
        <f ca="1">IF($G788="","",INDEX(BASE_PRODUTOS!$M$2:$M$1006,$G788))</f>
        <v/>
      </c>
      <c r="S788" s="9" t="str">
        <f ca="1">IF($G788="","",INDEX(BASE_PRODUTOS!$N$2:$N$1006,$G788))</f>
        <v/>
      </c>
      <c r="T788" s="9" t="str">
        <f ca="1">IF($G788="","",INDEX(BASE_PRODUTOS!$D$2:$D$1006,$G788))</f>
        <v/>
      </c>
    </row>
    <row r="789" spans="7:20" ht="18" customHeight="1" x14ac:dyDescent="0.35">
      <c r="G789" t="str">
        <f ca="1">IFERROR(_xludf.aggregate(15,6,(ROW(BASE_PRODUTOS!$L$2:$L$1006)-ROW(BASE_PRODUTOS!$L$2)+1)/(BASE_PRODUTOS!$L$2:$L$1006&gt;0),ROWS($G$10:G789)),"")</f>
        <v/>
      </c>
      <c r="H789" s="9" t="str">
        <f ca="1">IF($G789="","",INDEX(BASE_PRODUTOS!$B$2:$B$1006,$G789))</f>
        <v/>
      </c>
      <c r="I789" s="9" t="str">
        <f ca="1">IF($G789="","",INDEX(BASE_PRODUTOS!$L$2:$L$1006,$G789))</f>
        <v/>
      </c>
      <c r="J789" s="9" t="str">
        <f ca="1">IF($G789="","",INDEX(BASE_PRODUTOS!$A$2:$A$1006,$G789))</f>
        <v/>
      </c>
      <c r="K789" s="9" t="str">
        <f ca="1">IF($G789="","",INDEX(BASE_PRODUTOS!$C$2:$C$1006,$G789))</f>
        <v/>
      </c>
      <c r="L789" s="9" t="str">
        <f ca="1">IF($G789="","",INDEX(BASE_PRODUTOS!$E$2:$E$1006,$G789))</f>
        <v/>
      </c>
      <c r="M789" s="9" t="str">
        <f ca="1">IF($G789="","",INDEX(BASE_PRODUTOS!$F$2:$F$1006,$G789))</f>
        <v/>
      </c>
      <c r="N789" s="9" t="str">
        <f ca="1">IF($G789="","",INDEX(BASE_PRODUTOS!$G$2:$G$1006,$G789))</f>
        <v/>
      </c>
      <c r="O789" s="9" t="str">
        <f ca="1">IF($G789="","",INDEX(BASE_PRODUTOS!$H$2:$H$1006,$G789))</f>
        <v/>
      </c>
      <c r="P789" s="9" t="str">
        <f ca="1">IF($G789="","",INDEX(BASE_PRODUTOS!$I$2:$I$1006,$G789))</f>
        <v/>
      </c>
      <c r="Q789" s="9" t="str">
        <f ca="1">IF($G789="","",INDEX(BASE_PRODUTOS!$J$2:$J$1006,$G789))</f>
        <v/>
      </c>
      <c r="R789" s="9" t="str">
        <f ca="1">IF($G789="","",INDEX(BASE_PRODUTOS!$M$2:$M$1006,$G789))</f>
        <v/>
      </c>
      <c r="S789" s="9" t="str">
        <f ca="1">IF($G789="","",INDEX(BASE_PRODUTOS!$N$2:$N$1006,$G789))</f>
        <v/>
      </c>
      <c r="T789" s="9" t="str">
        <f ca="1">IF($G789="","",INDEX(BASE_PRODUTOS!$D$2:$D$1006,$G789))</f>
        <v/>
      </c>
    </row>
    <row r="790" spans="7:20" ht="18" customHeight="1" x14ac:dyDescent="0.35">
      <c r="G790" t="str">
        <f ca="1">IFERROR(_xludf.aggregate(15,6,(ROW(BASE_PRODUTOS!$L$2:$L$1006)-ROW(BASE_PRODUTOS!$L$2)+1)/(BASE_PRODUTOS!$L$2:$L$1006&gt;0),ROWS($G$10:G790)),"")</f>
        <v/>
      </c>
      <c r="H790" s="9" t="str">
        <f ca="1">IF($G790="","",INDEX(BASE_PRODUTOS!$B$2:$B$1006,$G790))</f>
        <v/>
      </c>
      <c r="I790" s="9" t="str">
        <f ca="1">IF($G790="","",INDEX(BASE_PRODUTOS!$L$2:$L$1006,$G790))</f>
        <v/>
      </c>
      <c r="J790" s="9" t="str">
        <f ca="1">IF($G790="","",INDEX(BASE_PRODUTOS!$A$2:$A$1006,$G790))</f>
        <v/>
      </c>
      <c r="K790" s="9" t="str">
        <f ca="1">IF($G790="","",INDEX(BASE_PRODUTOS!$C$2:$C$1006,$G790))</f>
        <v/>
      </c>
      <c r="L790" s="9" t="str">
        <f ca="1">IF($G790="","",INDEX(BASE_PRODUTOS!$E$2:$E$1006,$G790))</f>
        <v/>
      </c>
      <c r="M790" s="9" t="str">
        <f ca="1">IF($G790="","",INDEX(BASE_PRODUTOS!$F$2:$F$1006,$G790))</f>
        <v/>
      </c>
      <c r="N790" s="9" t="str">
        <f ca="1">IF($G790="","",INDEX(BASE_PRODUTOS!$G$2:$G$1006,$G790))</f>
        <v/>
      </c>
      <c r="O790" s="9" t="str">
        <f ca="1">IF($G790="","",INDEX(BASE_PRODUTOS!$H$2:$H$1006,$G790))</f>
        <v/>
      </c>
      <c r="P790" s="9" t="str">
        <f ca="1">IF($G790="","",INDEX(BASE_PRODUTOS!$I$2:$I$1006,$G790))</f>
        <v/>
      </c>
      <c r="Q790" s="9" t="str">
        <f ca="1">IF($G790="","",INDEX(BASE_PRODUTOS!$J$2:$J$1006,$G790))</f>
        <v/>
      </c>
      <c r="R790" s="9" t="str">
        <f ca="1">IF($G790="","",INDEX(BASE_PRODUTOS!$M$2:$M$1006,$G790))</f>
        <v/>
      </c>
      <c r="S790" s="9" t="str">
        <f ca="1">IF($G790="","",INDEX(BASE_PRODUTOS!$N$2:$N$1006,$G790))</f>
        <v/>
      </c>
      <c r="T790" s="9" t="str">
        <f ca="1">IF($G790="","",INDEX(BASE_PRODUTOS!$D$2:$D$1006,$G790))</f>
        <v/>
      </c>
    </row>
    <row r="791" spans="7:20" ht="18" customHeight="1" x14ac:dyDescent="0.35">
      <c r="G791" t="str">
        <f ca="1">IFERROR(_xludf.aggregate(15,6,(ROW(BASE_PRODUTOS!$L$2:$L$1006)-ROW(BASE_PRODUTOS!$L$2)+1)/(BASE_PRODUTOS!$L$2:$L$1006&gt;0),ROWS($G$10:G791)),"")</f>
        <v/>
      </c>
      <c r="H791" s="9" t="str">
        <f ca="1">IF($G791="","",INDEX(BASE_PRODUTOS!$B$2:$B$1006,$G791))</f>
        <v/>
      </c>
      <c r="I791" s="9" t="str">
        <f ca="1">IF($G791="","",INDEX(BASE_PRODUTOS!$L$2:$L$1006,$G791))</f>
        <v/>
      </c>
      <c r="J791" s="9" t="str">
        <f ca="1">IF($G791="","",INDEX(BASE_PRODUTOS!$A$2:$A$1006,$G791))</f>
        <v/>
      </c>
      <c r="K791" s="9" t="str">
        <f ca="1">IF($G791="","",INDEX(BASE_PRODUTOS!$C$2:$C$1006,$G791))</f>
        <v/>
      </c>
      <c r="L791" s="9" t="str">
        <f ca="1">IF($G791="","",INDEX(BASE_PRODUTOS!$E$2:$E$1006,$G791))</f>
        <v/>
      </c>
      <c r="M791" s="9" t="str">
        <f ca="1">IF($G791="","",INDEX(BASE_PRODUTOS!$F$2:$F$1006,$G791))</f>
        <v/>
      </c>
      <c r="N791" s="9" t="str">
        <f ca="1">IF($G791="","",INDEX(BASE_PRODUTOS!$G$2:$G$1006,$G791))</f>
        <v/>
      </c>
      <c r="O791" s="9" t="str">
        <f ca="1">IF($G791="","",INDEX(BASE_PRODUTOS!$H$2:$H$1006,$G791))</f>
        <v/>
      </c>
      <c r="P791" s="9" t="str">
        <f ca="1">IF($G791="","",INDEX(BASE_PRODUTOS!$I$2:$I$1006,$G791))</f>
        <v/>
      </c>
      <c r="Q791" s="9" t="str">
        <f ca="1">IF($G791="","",INDEX(BASE_PRODUTOS!$J$2:$J$1006,$G791))</f>
        <v/>
      </c>
      <c r="R791" s="9" t="str">
        <f ca="1">IF($G791="","",INDEX(BASE_PRODUTOS!$M$2:$M$1006,$G791))</f>
        <v/>
      </c>
      <c r="S791" s="9" t="str">
        <f ca="1">IF($G791="","",INDEX(BASE_PRODUTOS!$N$2:$N$1006,$G791))</f>
        <v/>
      </c>
      <c r="T791" s="9" t="str">
        <f ca="1">IF($G791="","",INDEX(BASE_PRODUTOS!$D$2:$D$1006,$G791))</f>
        <v/>
      </c>
    </row>
    <row r="792" spans="7:20" ht="18" customHeight="1" x14ac:dyDescent="0.35">
      <c r="G792" t="str">
        <f ca="1">IFERROR(_xludf.aggregate(15,6,(ROW(BASE_PRODUTOS!$L$2:$L$1006)-ROW(BASE_PRODUTOS!$L$2)+1)/(BASE_PRODUTOS!$L$2:$L$1006&gt;0),ROWS($G$10:G792)),"")</f>
        <v/>
      </c>
      <c r="H792" s="9" t="str">
        <f ca="1">IF($G792="","",INDEX(BASE_PRODUTOS!$B$2:$B$1006,$G792))</f>
        <v/>
      </c>
      <c r="I792" s="9" t="str">
        <f ca="1">IF($G792="","",INDEX(BASE_PRODUTOS!$L$2:$L$1006,$G792))</f>
        <v/>
      </c>
      <c r="J792" s="9" t="str">
        <f ca="1">IF($G792="","",INDEX(BASE_PRODUTOS!$A$2:$A$1006,$G792))</f>
        <v/>
      </c>
      <c r="K792" s="9" t="str">
        <f ca="1">IF($G792="","",INDEX(BASE_PRODUTOS!$C$2:$C$1006,$G792))</f>
        <v/>
      </c>
      <c r="L792" s="9" t="str">
        <f ca="1">IF($G792="","",INDEX(BASE_PRODUTOS!$E$2:$E$1006,$G792))</f>
        <v/>
      </c>
      <c r="M792" s="9" t="str">
        <f ca="1">IF($G792="","",INDEX(BASE_PRODUTOS!$F$2:$F$1006,$G792))</f>
        <v/>
      </c>
      <c r="N792" s="9" t="str">
        <f ca="1">IF($G792="","",INDEX(BASE_PRODUTOS!$G$2:$G$1006,$G792))</f>
        <v/>
      </c>
      <c r="O792" s="9" t="str">
        <f ca="1">IF($G792="","",INDEX(BASE_PRODUTOS!$H$2:$H$1006,$G792))</f>
        <v/>
      </c>
      <c r="P792" s="9" t="str">
        <f ca="1">IF($G792="","",INDEX(BASE_PRODUTOS!$I$2:$I$1006,$G792))</f>
        <v/>
      </c>
      <c r="Q792" s="9" t="str">
        <f ca="1">IF($G792="","",INDEX(BASE_PRODUTOS!$J$2:$J$1006,$G792))</f>
        <v/>
      </c>
      <c r="R792" s="9" t="str">
        <f ca="1">IF($G792="","",INDEX(BASE_PRODUTOS!$M$2:$M$1006,$G792))</f>
        <v/>
      </c>
      <c r="S792" s="9" t="str">
        <f ca="1">IF($G792="","",INDEX(BASE_PRODUTOS!$N$2:$N$1006,$G792))</f>
        <v/>
      </c>
      <c r="T792" s="9" t="str">
        <f ca="1">IF($G792="","",INDEX(BASE_PRODUTOS!$D$2:$D$1006,$G792))</f>
        <v/>
      </c>
    </row>
    <row r="793" spans="7:20" ht="18" customHeight="1" x14ac:dyDescent="0.35">
      <c r="G793" t="str">
        <f ca="1">IFERROR(_xludf.aggregate(15,6,(ROW(BASE_PRODUTOS!$L$2:$L$1006)-ROW(BASE_PRODUTOS!$L$2)+1)/(BASE_PRODUTOS!$L$2:$L$1006&gt;0),ROWS($G$10:G793)),"")</f>
        <v/>
      </c>
      <c r="H793" s="9" t="str">
        <f ca="1">IF($G793="","",INDEX(BASE_PRODUTOS!$B$2:$B$1006,$G793))</f>
        <v/>
      </c>
      <c r="I793" s="9" t="str">
        <f ca="1">IF($G793="","",INDEX(BASE_PRODUTOS!$L$2:$L$1006,$G793))</f>
        <v/>
      </c>
      <c r="J793" s="9" t="str">
        <f ca="1">IF($G793="","",INDEX(BASE_PRODUTOS!$A$2:$A$1006,$G793))</f>
        <v/>
      </c>
      <c r="K793" s="9" t="str">
        <f ca="1">IF($G793="","",INDEX(BASE_PRODUTOS!$C$2:$C$1006,$G793))</f>
        <v/>
      </c>
      <c r="L793" s="9" t="str">
        <f ca="1">IF($G793="","",INDEX(BASE_PRODUTOS!$E$2:$E$1006,$G793))</f>
        <v/>
      </c>
      <c r="M793" s="9" t="str">
        <f ca="1">IF($G793="","",INDEX(BASE_PRODUTOS!$F$2:$F$1006,$G793))</f>
        <v/>
      </c>
      <c r="N793" s="9" t="str">
        <f ca="1">IF($G793="","",INDEX(BASE_PRODUTOS!$G$2:$G$1006,$G793))</f>
        <v/>
      </c>
      <c r="O793" s="9" t="str">
        <f ca="1">IF($G793="","",INDEX(BASE_PRODUTOS!$H$2:$H$1006,$G793))</f>
        <v/>
      </c>
      <c r="P793" s="9" t="str">
        <f ca="1">IF($G793="","",INDEX(BASE_PRODUTOS!$I$2:$I$1006,$G793))</f>
        <v/>
      </c>
      <c r="Q793" s="9" t="str">
        <f ca="1">IF($G793="","",INDEX(BASE_PRODUTOS!$J$2:$J$1006,$G793))</f>
        <v/>
      </c>
      <c r="R793" s="9" t="str">
        <f ca="1">IF($G793="","",INDEX(BASE_PRODUTOS!$M$2:$M$1006,$G793))</f>
        <v/>
      </c>
      <c r="S793" s="9" t="str">
        <f ca="1">IF($G793="","",INDEX(BASE_PRODUTOS!$N$2:$N$1006,$G793))</f>
        <v/>
      </c>
      <c r="T793" s="9" t="str">
        <f ca="1">IF($G793="","",INDEX(BASE_PRODUTOS!$D$2:$D$1006,$G793))</f>
        <v/>
      </c>
    </row>
    <row r="794" spans="7:20" ht="18" customHeight="1" x14ac:dyDescent="0.35">
      <c r="G794" t="str">
        <f ca="1">IFERROR(_xludf.aggregate(15,6,(ROW(BASE_PRODUTOS!$L$2:$L$1006)-ROW(BASE_PRODUTOS!$L$2)+1)/(BASE_PRODUTOS!$L$2:$L$1006&gt;0),ROWS($G$10:G794)),"")</f>
        <v/>
      </c>
      <c r="H794" s="9" t="str">
        <f ca="1">IF($G794="","",INDEX(BASE_PRODUTOS!$B$2:$B$1006,$G794))</f>
        <v/>
      </c>
      <c r="I794" s="9" t="str">
        <f ca="1">IF($G794="","",INDEX(BASE_PRODUTOS!$L$2:$L$1006,$G794))</f>
        <v/>
      </c>
      <c r="J794" s="9" t="str">
        <f ca="1">IF($G794="","",INDEX(BASE_PRODUTOS!$A$2:$A$1006,$G794))</f>
        <v/>
      </c>
      <c r="K794" s="9" t="str">
        <f ca="1">IF($G794="","",INDEX(BASE_PRODUTOS!$C$2:$C$1006,$G794))</f>
        <v/>
      </c>
      <c r="L794" s="9" t="str">
        <f ca="1">IF($G794="","",INDEX(BASE_PRODUTOS!$E$2:$E$1006,$G794))</f>
        <v/>
      </c>
      <c r="M794" s="9" t="str">
        <f ca="1">IF($G794="","",INDEX(BASE_PRODUTOS!$F$2:$F$1006,$G794))</f>
        <v/>
      </c>
      <c r="N794" s="9" t="str">
        <f ca="1">IF($G794="","",INDEX(BASE_PRODUTOS!$G$2:$G$1006,$G794))</f>
        <v/>
      </c>
      <c r="O794" s="9" t="str">
        <f ca="1">IF($G794="","",INDEX(BASE_PRODUTOS!$H$2:$H$1006,$G794))</f>
        <v/>
      </c>
      <c r="P794" s="9" t="str">
        <f ca="1">IF($G794="","",INDEX(BASE_PRODUTOS!$I$2:$I$1006,$G794))</f>
        <v/>
      </c>
      <c r="Q794" s="9" t="str">
        <f ca="1">IF($G794="","",INDEX(BASE_PRODUTOS!$J$2:$J$1006,$G794))</f>
        <v/>
      </c>
      <c r="R794" s="9" t="str">
        <f ca="1">IF($G794="","",INDEX(BASE_PRODUTOS!$M$2:$M$1006,$G794))</f>
        <v/>
      </c>
      <c r="S794" s="9" t="str">
        <f ca="1">IF($G794="","",INDEX(BASE_PRODUTOS!$N$2:$N$1006,$G794))</f>
        <v/>
      </c>
      <c r="T794" s="9" t="str">
        <f ca="1">IF($G794="","",INDEX(BASE_PRODUTOS!$D$2:$D$1006,$G794))</f>
        <v/>
      </c>
    </row>
    <row r="795" spans="7:20" ht="18" customHeight="1" x14ac:dyDescent="0.35">
      <c r="G795" t="str">
        <f ca="1">IFERROR(_xludf.aggregate(15,6,(ROW(BASE_PRODUTOS!$L$2:$L$1006)-ROW(BASE_PRODUTOS!$L$2)+1)/(BASE_PRODUTOS!$L$2:$L$1006&gt;0),ROWS($G$10:G795)),"")</f>
        <v/>
      </c>
      <c r="H795" s="9" t="str">
        <f ca="1">IF($G795="","",INDEX(BASE_PRODUTOS!$B$2:$B$1006,$G795))</f>
        <v/>
      </c>
      <c r="I795" s="9" t="str">
        <f ca="1">IF($G795="","",INDEX(BASE_PRODUTOS!$L$2:$L$1006,$G795))</f>
        <v/>
      </c>
      <c r="J795" s="9" t="str">
        <f ca="1">IF($G795="","",INDEX(BASE_PRODUTOS!$A$2:$A$1006,$G795))</f>
        <v/>
      </c>
      <c r="K795" s="9" t="str">
        <f ca="1">IF($G795="","",INDEX(BASE_PRODUTOS!$C$2:$C$1006,$G795))</f>
        <v/>
      </c>
      <c r="L795" s="9" t="str">
        <f ca="1">IF($G795="","",INDEX(BASE_PRODUTOS!$E$2:$E$1006,$G795))</f>
        <v/>
      </c>
      <c r="M795" s="9" t="str">
        <f ca="1">IF($G795="","",INDEX(BASE_PRODUTOS!$F$2:$F$1006,$G795))</f>
        <v/>
      </c>
      <c r="N795" s="9" t="str">
        <f ca="1">IF($G795="","",INDEX(BASE_PRODUTOS!$G$2:$G$1006,$G795))</f>
        <v/>
      </c>
      <c r="O795" s="9" t="str">
        <f ca="1">IF($G795="","",INDEX(BASE_PRODUTOS!$H$2:$H$1006,$G795))</f>
        <v/>
      </c>
      <c r="P795" s="9" t="str">
        <f ca="1">IF($G795="","",INDEX(BASE_PRODUTOS!$I$2:$I$1006,$G795))</f>
        <v/>
      </c>
      <c r="Q795" s="9" t="str">
        <f ca="1">IF($G795="","",INDEX(BASE_PRODUTOS!$J$2:$J$1006,$G795))</f>
        <v/>
      </c>
      <c r="R795" s="9" t="str">
        <f ca="1">IF($G795="","",INDEX(BASE_PRODUTOS!$M$2:$M$1006,$G795))</f>
        <v/>
      </c>
      <c r="S795" s="9" t="str">
        <f ca="1">IF($G795="","",INDEX(BASE_PRODUTOS!$N$2:$N$1006,$G795))</f>
        <v/>
      </c>
      <c r="T795" s="9" t="str">
        <f ca="1">IF($G795="","",INDEX(BASE_PRODUTOS!$D$2:$D$1006,$G795))</f>
        <v/>
      </c>
    </row>
    <row r="796" spans="7:20" ht="18" customHeight="1" x14ac:dyDescent="0.35">
      <c r="G796" t="str">
        <f ca="1">IFERROR(_xludf.aggregate(15,6,(ROW(BASE_PRODUTOS!$L$2:$L$1006)-ROW(BASE_PRODUTOS!$L$2)+1)/(BASE_PRODUTOS!$L$2:$L$1006&gt;0),ROWS($G$10:G796)),"")</f>
        <v/>
      </c>
      <c r="H796" s="9" t="str">
        <f ca="1">IF($G796="","",INDEX(BASE_PRODUTOS!$B$2:$B$1006,$G796))</f>
        <v/>
      </c>
      <c r="I796" s="9" t="str">
        <f ca="1">IF($G796="","",INDEX(BASE_PRODUTOS!$L$2:$L$1006,$G796))</f>
        <v/>
      </c>
      <c r="J796" s="9" t="str">
        <f ca="1">IF($G796="","",INDEX(BASE_PRODUTOS!$A$2:$A$1006,$G796))</f>
        <v/>
      </c>
      <c r="K796" s="9" t="str">
        <f ca="1">IF($G796="","",INDEX(BASE_PRODUTOS!$C$2:$C$1006,$G796))</f>
        <v/>
      </c>
      <c r="L796" s="9" t="str">
        <f ca="1">IF($G796="","",INDEX(BASE_PRODUTOS!$E$2:$E$1006,$G796))</f>
        <v/>
      </c>
      <c r="M796" s="9" t="str">
        <f ca="1">IF($G796="","",INDEX(BASE_PRODUTOS!$F$2:$F$1006,$G796))</f>
        <v/>
      </c>
      <c r="N796" s="9" t="str">
        <f ca="1">IF($G796="","",INDEX(BASE_PRODUTOS!$G$2:$G$1006,$G796))</f>
        <v/>
      </c>
      <c r="O796" s="9" t="str">
        <f ca="1">IF($G796="","",INDEX(BASE_PRODUTOS!$H$2:$H$1006,$G796))</f>
        <v/>
      </c>
      <c r="P796" s="9" t="str">
        <f ca="1">IF($G796="","",INDEX(BASE_PRODUTOS!$I$2:$I$1006,$G796))</f>
        <v/>
      </c>
      <c r="Q796" s="9" t="str">
        <f ca="1">IF($G796="","",INDEX(BASE_PRODUTOS!$J$2:$J$1006,$G796))</f>
        <v/>
      </c>
      <c r="R796" s="9" t="str">
        <f ca="1">IF($G796="","",INDEX(BASE_PRODUTOS!$M$2:$M$1006,$G796))</f>
        <v/>
      </c>
      <c r="S796" s="9" t="str">
        <f ca="1">IF($G796="","",INDEX(BASE_PRODUTOS!$N$2:$N$1006,$G796))</f>
        <v/>
      </c>
      <c r="T796" s="9" t="str">
        <f ca="1">IF($G796="","",INDEX(BASE_PRODUTOS!$D$2:$D$1006,$G796))</f>
        <v/>
      </c>
    </row>
    <row r="797" spans="7:20" ht="18" customHeight="1" x14ac:dyDescent="0.35">
      <c r="G797" t="str">
        <f ca="1">IFERROR(_xludf.aggregate(15,6,(ROW(BASE_PRODUTOS!$L$2:$L$1006)-ROW(BASE_PRODUTOS!$L$2)+1)/(BASE_PRODUTOS!$L$2:$L$1006&gt;0),ROWS($G$10:G797)),"")</f>
        <v/>
      </c>
      <c r="H797" s="9" t="str">
        <f ca="1">IF($G797="","",INDEX(BASE_PRODUTOS!$B$2:$B$1006,$G797))</f>
        <v/>
      </c>
      <c r="I797" s="9" t="str">
        <f ca="1">IF($G797="","",INDEX(BASE_PRODUTOS!$L$2:$L$1006,$G797))</f>
        <v/>
      </c>
      <c r="J797" s="9" t="str">
        <f ca="1">IF($G797="","",INDEX(BASE_PRODUTOS!$A$2:$A$1006,$G797))</f>
        <v/>
      </c>
      <c r="K797" s="9" t="str">
        <f ca="1">IF($G797="","",INDEX(BASE_PRODUTOS!$C$2:$C$1006,$G797))</f>
        <v/>
      </c>
      <c r="L797" s="9" t="str">
        <f ca="1">IF($G797="","",INDEX(BASE_PRODUTOS!$E$2:$E$1006,$G797))</f>
        <v/>
      </c>
      <c r="M797" s="9" t="str">
        <f ca="1">IF($G797="","",INDEX(BASE_PRODUTOS!$F$2:$F$1006,$G797))</f>
        <v/>
      </c>
      <c r="N797" s="9" t="str">
        <f ca="1">IF($G797="","",INDEX(BASE_PRODUTOS!$G$2:$G$1006,$G797))</f>
        <v/>
      </c>
      <c r="O797" s="9" t="str">
        <f ca="1">IF($G797="","",INDEX(BASE_PRODUTOS!$H$2:$H$1006,$G797))</f>
        <v/>
      </c>
      <c r="P797" s="9" t="str">
        <f ca="1">IF($G797="","",INDEX(BASE_PRODUTOS!$I$2:$I$1006,$G797))</f>
        <v/>
      </c>
      <c r="Q797" s="9" t="str">
        <f ca="1">IF($G797="","",INDEX(BASE_PRODUTOS!$J$2:$J$1006,$G797))</f>
        <v/>
      </c>
      <c r="R797" s="9" t="str">
        <f ca="1">IF($G797="","",INDEX(BASE_PRODUTOS!$M$2:$M$1006,$G797))</f>
        <v/>
      </c>
      <c r="S797" s="9" t="str">
        <f ca="1">IF($G797="","",INDEX(BASE_PRODUTOS!$N$2:$N$1006,$G797))</f>
        <v/>
      </c>
      <c r="T797" s="9" t="str">
        <f ca="1">IF($G797="","",INDEX(BASE_PRODUTOS!$D$2:$D$1006,$G797))</f>
        <v/>
      </c>
    </row>
    <row r="798" spans="7:20" ht="18" customHeight="1" x14ac:dyDescent="0.35">
      <c r="G798" t="str">
        <f ca="1">IFERROR(_xludf.aggregate(15,6,(ROW(BASE_PRODUTOS!$L$2:$L$1006)-ROW(BASE_PRODUTOS!$L$2)+1)/(BASE_PRODUTOS!$L$2:$L$1006&gt;0),ROWS($G$10:G798)),"")</f>
        <v/>
      </c>
      <c r="H798" s="9" t="str">
        <f ca="1">IF($G798="","",INDEX(BASE_PRODUTOS!$B$2:$B$1006,$G798))</f>
        <v/>
      </c>
      <c r="I798" s="9" t="str">
        <f ca="1">IF($G798="","",INDEX(BASE_PRODUTOS!$L$2:$L$1006,$G798))</f>
        <v/>
      </c>
      <c r="J798" s="9" t="str">
        <f ca="1">IF($G798="","",INDEX(BASE_PRODUTOS!$A$2:$A$1006,$G798))</f>
        <v/>
      </c>
      <c r="K798" s="9" t="str">
        <f ca="1">IF($G798="","",INDEX(BASE_PRODUTOS!$C$2:$C$1006,$G798))</f>
        <v/>
      </c>
      <c r="L798" s="9" t="str">
        <f ca="1">IF($G798="","",INDEX(BASE_PRODUTOS!$E$2:$E$1006,$G798))</f>
        <v/>
      </c>
      <c r="M798" s="9" t="str">
        <f ca="1">IF($G798="","",INDEX(BASE_PRODUTOS!$F$2:$F$1006,$G798))</f>
        <v/>
      </c>
      <c r="N798" s="9" t="str">
        <f ca="1">IF($G798="","",INDEX(BASE_PRODUTOS!$G$2:$G$1006,$G798))</f>
        <v/>
      </c>
      <c r="O798" s="9" t="str">
        <f ca="1">IF($G798="","",INDEX(BASE_PRODUTOS!$H$2:$H$1006,$G798))</f>
        <v/>
      </c>
      <c r="P798" s="9" t="str">
        <f ca="1">IF($G798="","",INDEX(BASE_PRODUTOS!$I$2:$I$1006,$G798))</f>
        <v/>
      </c>
      <c r="Q798" s="9" t="str">
        <f ca="1">IF($G798="","",INDEX(BASE_PRODUTOS!$J$2:$J$1006,$G798))</f>
        <v/>
      </c>
      <c r="R798" s="9" t="str">
        <f ca="1">IF($G798="","",INDEX(BASE_PRODUTOS!$M$2:$M$1006,$G798))</f>
        <v/>
      </c>
      <c r="S798" s="9" t="str">
        <f ca="1">IF($G798="","",INDEX(BASE_PRODUTOS!$N$2:$N$1006,$G798))</f>
        <v/>
      </c>
      <c r="T798" s="9" t="str">
        <f ca="1">IF($G798="","",INDEX(BASE_PRODUTOS!$D$2:$D$1006,$G798))</f>
        <v/>
      </c>
    </row>
    <row r="799" spans="7:20" ht="18" customHeight="1" x14ac:dyDescent="0.35">
      <c r="G799" t="str">
        <f ca="1">IFERROR(_xludf.aggregate(15,6,(ROW(BASE_PRODUTOS!$L$2:$L$1006)-ROW(BASE_PRODUTOS!$L$2)+1)/(BASE_PRODUTOS!$L$2:$L$1006&gt;0),ROWS($G$10:G799)),"")</f>
        <v/>
      </c>
      <c r="H799" s="9" t="str">
        <f ca="1">IF($G799="","",INDEX(BASE_PRODUTOS!$B$2:$B$1006,$G799))</f>
        <v/>
      </c>
      <c r="I799" s="9" t="str">
        <f ca="1">IF($G799="","",INDEX(BASE_PRODUTOS!$L$2:$L$1006,$G799))</f>
        <v/>
      </c>
      <c r="J799" s="9" t="str">
        <f ca="1">IF($G799="","",INDEX(BASE_PRODUTOS!$A$2:$A$1006,$G799))</f>
        <v/>
      </c>
      <c r="K799" s="9" t="str">
        <f ca="1">IF($G799="","",INDEX(BASE_PRODUTOS!$C$2:$C$1006,$G799))</f>
        <v/>
      </c>
      <c r="L799" s="9" t="str">
        <f ca="1">IF($G799="","",INDEX(BASE_PRODUTOS!$E$2:$E$1006,$G799))</f>
        <v/>
      </c>
      <c r="M799" s="9" t="str">
        <f ca="1">IF($G799="","",INDEX(BASE_PRODUTOS!$F$2:$F$1006,$G799))</f>
        <v/>
      </c>
      <c r="N799" s="9" t="str">
        <f ca="1">IF($G799="","",INDEX(BASE_PRODUTOS!$G$2:$G$1006,$G799))</f>
        <v/>
      </c>
      <c r="O799" s="9" t="str">
        <f ca="1">IF($G799="","",INDEX(BASE_PRODUTOS!$H$2:$H$1006,$G799))</f>
        <v/>
      </c>
      <c r="P799" s="9" t="str">
        <f ca="1">IF($G799="","",INDEX(BASE_PRODUTOS!$I$2:$I$1006,$G799))</f>
        <v/>
      </c>
      <c r="Q799" s="9" t="str">
        <f ca="1">IF($G799="","",INDEX(BASE_PRODUTOS!$J$2:$J$1006,$G799))</f>
        <v/>
      </c>
      <c r="R799" s="9" t="str">
        <f ca="1">IF($G799="","",INDEX(BASE_PRODUTOS!$M$2:$M$1006,$G799))</f>
        <v/>
      </c>
      <c r="S799" s="9" t="str">
        <f ca="1">IF($G799="","",INDEX(BASE_PRODUTOS!$N$2:$N$1006,$G799))</f>
        <v/>
      </c>
      <c r="T799" s="9" t="str">
        <f ca="1">IF($G799="","",INDEX(BASE_PRODUTOS!$D$2:$D$1006,$G799))</f>
        <v/>
      </c>
    </row>
    <row r="800" spans="7:20" ht="18" customHeight="1" x14ac:dyDescent="0.35">
      <c r="G800" t="str">
        <f ca="1">IFERROR(_xludf.aggregate(15,6,(ROW(BASE_PRODUTOS!$L$2:$L$1006)-ROW(BASE_PRODUTOS!$L$2)+1)/(BASE_PRODUTOS!$L$2:$L$1006&gt;0),ROWS($G$10:G800)),"")</f>
        <v/>
      </c>
      <c r="H800" s="9" t="str">
        <f ca="1">IF($G800="","",INDEX(BASE_PRODUTOS!$B$2:$B$1006,$G800))</f>
        <v/>
      </c>
      <c r="I800" s="9" t="str">
        <f ca="1">IF($G800="","",INDEX(BASE_PRODUTOS!$L$2:$L$1006,$G800))</f>
        <v/>
      </c>
      <c r="J800" s="9" t="str">
        <f ca="1">IF($G800="","",INDEX(BASE_PRODUTOS!$A$2:$A$1006,$G800))</f>
        <v/>
      </c>
      <c r="K800" s="9" t="str">
        <f ca="1">IF($G800="","",INDEX(BASE_PRODUTOS!$C$2:$C$1006,$G800))</f>
        <v/>
      </c>
      <c r="L800" s="9" t="str">
        <f ca="1">IF($G800="","",INDEX(BASE_PRODUTOS!$E$2:$E$1006,$G800))</f>
        <v/>
      </c>
      <c r="M800" s="9" t="str">
        <f ca="1">IF($G800="","",INDEX(BASE_PRODUTOS!$F$2:$F$1006,$G800))</f>
        <v/>
      </c>
      <c r="N800" s="9" t="str">
        <f ca="1">IF($G800="","",INDEX(BASE_PRODUTOS!$G$2:$G$1006,$G800))</f>
        <v/>
      </c>
      <c r="O800" s="9" t="str">
        <f ca="1">IF($G800="","",INDEX(BASE_PRODUTOS!$H$2:$H$1006,$G800))</f>
        <v/>
      </c>
      <c r="P800" s="9" t="str">
        <f ca="1">IF($G800="","",INDEX(BASE_PRODUTOS!$I$2:$I$1006,$G800))</f>
        <v/>
      </c>
      <c r="Q800" s="9" t="str">
        <f ca="1">IF($G800="","",INDEX(BASE_PRODUTOS!$J$2:$J$1006,$G800))</f>
        <v/>
      </c>
      <c r="R800" s="9" t="str">
        <f ca="1">IF($G800="","",INDEX(BASE_PRODUTOS!$M$2:$M$1006,$G800))</f>
        <v/>
      </c>
      <c r="S800" s="9" t="str">
        <f ca="1">IF($G800="","",INDEX(BASE_PRODUTOS!$N$2:$N$1006,$G800))</f>
        <v/>
      </c>
      <c r="T800" s="9" t="str">
        <f ca="1">IF($G800="","",INDEX(BASE_PRODUTOS!$D$2:$D$1006,$G800))</f>
        <v/>
      </c>
    </row>
    <row r="801" spans="7:20" ht="18" customHeight="1" x14ac:dyDescent="0.35">
      <c r="G801" t="str">
        <f ca="1">IFERROR(_xludf.aggregate(15,6,(ROW(BASE_PRODUTOS!$L$2:$L$1006)-ROW(BASE_PRODUTOS!$L$2)+1)/(BASE_PRODUTOS!$L$2:$L$1006&gt;0),ROWS($G$10:G801)),"")</f>
        <v/>
      </c>
      <c r="H801" s="9" t="str">
        <f ca="1">IF($G801="","",INDEX(BASE_PRODUTOS!$B$2:$B$1006,$G801))</f>
        <v/>
      </c>
      <c r="I801" s="9" t="str">
        <f ca="1">IF($G801="","",INDEX(BASE_PRODUTOS!$L$2:$L$1006,$G801))</f>
        <v/>
      </c>
      <c r="J801" s="9" t="str">
        <f ca="1">IF($G801="","",INDEX(BASE_PRODUTOS!$A$2:$A$1006,$G801))</f>
        <v/>
      </c>
      <c r="K801" s="9" t="str">
        <f ca="1">IF($G801="","",INDEX(BASE_PRODUTOS!$C$2:$C$1006,$G801))</f>
        <v/>
      </c>
      <c r="L801" s="9" t="str">
        <f ca="1">IF($G801="","",INDEX(BASE_PRODUTOS!$E$2:$E$1006,$G801))</f>
        <v/>
      </c>
      <c r="M801" s="9" t="str">
        <f ca="1">IF($G801="","",INDEX(BASE_PRODUTOS!$F$2:$F$1006,$G801))</f>
        <v/>
      </c>
      <c r="N801" s="9" t="str">
        <f ca="1">IF($G801="","",INDEX(BASE_PRODUTOS!$G$2:$G$1006,$G801))</f>
        <v/>
      </c>
      <c r="O801" s="9" t="str">
        <f ca="1">IF($G801="","",INDEX(BASE_PRODUTOS!$H$2:$H$1006,$G801))</f>
        <v/>
      </c>
      <c r="P801" s="9" t="str">
        <f ca="1">IF($G801="","",INDEX(BASE_PRODUTOS!$I$2:$I$1006,$G801))</f>
        <v/>
      </c>
      <c r="Q801" s="9" t="str">
        <f ca="1">IF($G801="","",INDEX(BASE_PRODUTOS!$J$2:$J$1006,$G801))</f>
        <v/>
      </c>
      <c r="R801" s="9" t="str">
        <f ca="1">IF($G801="","",INDEX(BASE_PRODUTOS!$M$2:$M$1006,$G801))</f>
        <v/>
      </c>
      <c r="S801" s="9" t="str">
        <f ca="1">IF($G801="","",INDEX(BASE_PRODUTOS!$N$2:$N$1006,$G801))</f>
        <v/>
      </c>
      <c r="T801" s="9" t="str">
        <f ca="1">IF($G801="","",INDEX(BASE_PRODUTOS!$D$2:$D$1006,$G801))</f>
        <v/>
      </c>
    </row>
    <row r="802" spans="7:20" ht="18" customHeight="1" x14ac:dyDescent="0.35">
      <c r="G802" t="str">
        <f ca="1">IFERROR(_xludf.aggregate(15,6,(ROW(BASE_PRODUTOS!$L$2:$L$1006)-ROW(BASE_PRODUTOS!$L$2)+1)/(BASE_PRODUTOS!$L$2:$L$1006&gt;0),ROWS($G$10:G802)),"")</f>
        <v/>
      </c>
      <c r="H802" s="9" t="str">
        <f ca="1">IF($G802="","",INDEX(BASE_PRODUTOS!$B$2:$B$1006,$G802))</f>
        <v/>
      </c>
      <c r="I802" s="9" t="str">
        <f ca="1">IF($G802="","",INDEX(BASE_PRODUTOS!$L$2:$L$1006,$G802))</f>
        <v/>
      </c>
      <c r="J802" s="9" t="str">
        <f ca="1">IF($G802="","",INDEX(BASE_PRODUTOS!$A$2:$A$1006,$G802))</f>
        <v/>
      </c>
      <c r="K802" s="9" t="str">
        <f ca="1">IF($G802="","",INDEX(BASE_PRODUTOS!$C$2:$C$1006,$G802))</f>
        <v/>
      </c>
      <c r="L802" s="9" t="str">
        <f ca="1">IF($G802="","",INDEX(BASE_PRODUTOS!$E$2:$E$1006,$G802))</f>
        <v/>
      </c>
      <c r="M802" s="9" t="str">
        <f ca="1">IF($G802="","",INDEX(BASE_PRODUTOS!$F$2:$F$1006,$G802))</f>
        <v/>
      </c>
      <c r="N802" s="9" t="str">
        <f ca="1">IF($G802="","",INDEX(BASE_PRODUTOS!$G$2:$G$1006,$G802))</f>
        <v/>
      </c>
      <c r="O802" s="9" t="str">
        <f ca="1">IF($G802="","",INDEX(BASE_PRODUTOS!$H$2:$H$1006,$G802))</f>
        <v/>
      </c>
      <c r="P802" s="9" t="str">
        <f ca="1">IF($G802="","",INDEX(BASE_PRODUTOS!$I$2:$I$1006,$G802))</f>
        <v/>
      </c>
      <c r="Q802" s="9" t="str">
        <f ca="1">IF($G802="","",INDEX(BASE_PRODUTOS!$J$2:$J$1006,$G802))</f>
        <v/>
      </c>
      <c r="R802" s="9" t="str">
        <f ca="1">IF($G802="","",INDEX(BASE_PRODUTOS!$M$2:$M$1006,$G802))</f>
        <v/>
      </c>
      <c r="S802" s="9" t="str">
        <f ca="1">IF($G802="","",INDEX(BASE_PRODUTOS!$N$2:$N$1006,$G802))</f>
        <v/>
      </c>
      <c r="T802" s="9" t="str">
        <f ca="1">IF($G802="","",INDEX(BASE_PRODUTOS!$D$2:$D$1006,$G802))</f>
        <v/>
      </c>
    </row>
    <row r="803" spans="7:20" ht="18" customHeight="1" x14ac:dyDescent="0.35">
      <c r="G803" t="str">
        <f ca="1">IFERROR(_xludf.aggregate(15,6,(ROW(BASE_PRODUTOS!$L$2:$L$1006)-ROW(BASE_PRODUTOS!$L$2)+1)/(BASE_PRODUTOS!$L$2:$L$1006&gt;0),ROWS($G$10:G803)),"")</f>
        <v/>
      </c>
      <c r="H803" s="9" t="str">
        <f ca="1">IF($G803="","",INDEX(BASE_PRODUTOS!$B$2:$B$1006,$G803))</f>
        <v/>
      </c>
      <c r="I803" s="9" t="str">
        <f ca="1">IF($G803="","",INDEX(BASE_PRODUTOS!$L$2:$L$1006,$G803))</f>
        <v/>
      </c>
      <c r="J803" s="9" t="str">
        <f ca="1">IF($G803="","",INDEX(BASE_PRODUTOS!$A$2:$A$1006,$G803))</f>
        <v/>
      </c>
      <c r="K803" s="9" t="str">
        <f ca="1">IF($G803="","",INDEX(BASE_PRODUTOS!$C$2:$C$1006,$G803))</f>
        <v/>
      </c>
      <c r="L803" s="9" t="str">
        <f ca="1">IF($G803="","",INDEX(BASE_PRODUTOS!$E$2:$E$1006,$G803))</f>
        <v/>
      </c>
      <c r="M803" s="9" t="str">
        <f ca="1">IF($G803="","",INDEX(BASE_PRODUTOS!$F$2:$F$1006,$G803))</f>
        <v/>
      </c>
      <c r="N803" s="9" t="str">
        <f ca="1">IF($G803="","",INDEX(BASE_PRODUTOS!$G$2:$G$1006,$G803))</f>
        <v/>
      </c>
      <c r="O803" s="9" t="str">
        <f ca="1">IF($G803="","",INDEX(BASE_PRODUTOS!$H$2:$H$1006,$G803))</f>
        <v/>
      </c>
      <c r="P803" s="9" t="str">
        <f ca="1">IF($G803="","",INDEX(BASE_PRODUTOS!$I$2:$I$1006,$G803))</f>
        <v/>
      </c>
      <c r="Q803" s="9" t="str">
        <f ca="1">IF($G803="","",INDEX(BASE_PRODUTOS!$J$2:$J$1006,$G803))</f>
        <v/>
      </c>
      <c r="R803" s="9" t="str">
        <f ca="1">IF($G803="","",INDEX(BASE_PRODUTOS!$M$2:$M$1006,$G803))</f>
        <v/>
      </c>
      <c r="S803" s="9" t="str">
        <f ca="1">IF($G803="","",INDEX(BASE_PRODUTOS!$N$2:$N$1006,$G803))</f>
        <v/>
      </c>
      <c r="T803" s="9" t="str">
        <f ca="1">IF($G803="","",INDEX(BASE_PRODUTOS!$D$2:$D$1006,$G803))</f>
        <v/>
      </c>
    </row>
    <row r="804" spans="7:20" ht="18" customHeight="1" x14ac:dyDescent="0.35">
      <c r="G804" t="str">
        <f ca="1">IFERROR(_xludf.aggregate(15,6,(ROW(BASE_PRODUTOS!$L$2:$L$1006)-ROW(BASE_PRODUTOS!$L$2)+1)/(BASE_PRODUTOS!$L$2:$L$1006&gt;0),ROWS($G$10:G804)),"")</f>
        <v/>
      </c>
      <c r="H804" s="9" t="str">
        <f ca="1">IF($G804="","",INDEX(BASE_PRODUTOS!$B$2:$B$1006,$G804))</f>
        <v/>
      </c>
      <c r="I804" s="9" t="str">
        <f ca="1">IF($G804="","",INDEX(BASE_PRODUTOS!$L$2:$L$1006,$G804))</f>
        <v/>
      </c>
      <c r="J804" s="9" t="str">
        <f ca="1">IF($G804="","",INDEX(BASE_PRODUTOS!$A$2:$A$1006,$G804))</f>
        <v/>
      </c>
      <c r="K804" s="9" t="str">
        <f ca="1">IF($G804="","",INDEX(BASE_PRODUTOS!$C$2:$C$1006,$G804))</f>
        <v/>
      </c>
      <c r="L804" s="9" t="str">
        <f ca="1">IF($G804="","",INDEX(BASE_PRODUTOS!$E$2:$E$1006,$G804))</f>
        <v/>
      </c>
      <c r="M804" s="9" t="str">
        <f ca="1">IF($G804="","",INDEX(BASE_PRODUTOS!$F$2:$F$1006,$G804))</f>
        <v/>
      </c>
      <c r="N804" s="9" t="str">
        <f ca="1">IF($G804="","",INDEX(BASE_PRODUTOS!$G$2:$G$1006,$G804))</f>
        <v/>
      </c>
      <c r="O804" s="9" t="str">
        <f ca="1">IF($G804="","",INDEX(BASE_PRODUTOS!$H$2:$H$1006,$G804))</f>
        <v/>
      </c>
      <c r="P804" s="9" t="str">
        <f ca="1">IF($G804="","",INDEX(BASE_PRODUTOS!$I$2:$I$1006,$G804))</f>
        <v/>
      </c>
      <c r="Q804" s="9" t="str">
        <f ca="1">IF($G804="","",INDEX(BASE_PRODUTOS!$J$2:$J$1006,$G804))</f>
        <v/>
      </c>
      <c r="R804" s="9" t="str">
        <f ca="1">IF($G804="","",INDEX(BASE_PRODUTOS!$M$2:$M$1006,$G804))</f>
        <v/>
      </c>
      <c r="S804" s="9" t="str">
        <f ca="1">IF($G804="","",INDEX(BASE_PRODUTOS!$N$2:$N$1006,$G804))</f>
        <v/>
      </c>
      <c r="T804" s="9" t="str">
        <f ca="1">IF($G804="","",INDEX(BASE_PRODUTOS!$D$2:$D$1006,$G804))</f>
        <v/>
      </c>
    </row>
    <row r="805" spans="7:20" ht="18" customHeight="1" x14ac:dyDescent="0.35">
      <c r="G805" t="str">
        <f ca="1">IFERROR(_xludf.aggregate(15,6,(ROW(BASE_PRODUTOS!$L$2:$L$1006)-ROW(BASE_PRODUTOS!$L$2)+1)/(BASE_PRODUTOS!$L$2:$L$1006&gt;0),ROWS($G$10:G805)),"")</f>
        <v/>
      </c>
      <c r="H805" s="9" t="str">
        <f ca="1">IF($G805="","",INDEX(BASE_PRODUTOS!$B$2:$B$1006,$G805))</f>
        <v/>
      </c>
      <c r="I805" s="9" t="str">
        <f ca="1">IF($G805="","",INDEX(BASE_PRODUTOS!$L$2:$L$1006,$G805))</f>
        <v/>
      </c>
      <c r="J805" s="9" t="str">
        <f ca="1">IF($G805="","",INDEX(BASE_PRODUTOS!$A$2:$A$1006,$G805))</f>
        <v/>
      </c>
      <c r="K805" s="9" t="str">
        <f ca="1">IF($G805="","",INDEX(BASE_PRODUTOS!$C$2:$C$1006,$G805))</f>
        <v/>
      </c>
      <c r="L805" s="9" t="str">
        <f ca="1">IF($G805="","",INDEX(BASE_PRODUTOS!$E$2:$E$1006,$G805))</f>
        <v/>
      </c>
      <c r="M805" s="9" t="str">
        <f ca="1">IF($G805="","",INDEX(BASE_PRODUTOS!$F$2:$F$1006,$G805))</f>
        <v/>
      </c>
      <c r="N805" s="9" t="str">
        <f ca="1">IF($G805="","",INDEX(BASE_PRODUTOS!$G$2:$G$1006,$G805))</f>
        <v/>
      </c>
      <c r="O805" s="9" t="str">
        <f ca="1">IF($G805="","",INDEX(BASE_PRODUTOS!$H$2:$H$1006,$G805))</f>
        <v/>
      </c>
      <c r="P805" s="9" t="str">
        <f ca="1">IF($G805="","",INDEX(BASE_PRODUTOS!$I$2:$I$1006,$G805))</f>
        <v/>
      </c>
      <c r="Q805" s="9" t="str">
        <f ca="1">IF($G805="","",INDEX(BASE_PRODUTOS!$J$2:$J$1006,$G805))</f>
        <v/>
      </c>
      <c r="R805" s="9" t="str">
        <f ca="1">IF($G805="","",INDEX(BASE_PRODUTOS!$M$2:$M$1006,$G805))</f>
        <v/>
      </c>
      <c r="S805" s="9" t="str">
        <f ca="1">IF($G805="","",INDEX(BASE_PRODUTOS!$N$2:$N$1006,$G805))</f>
        <v/>
      </c>
      <c r="T805" s="9" t="str">
        <f ca="1">IF($G805="","",INDEX(BASE_PRODUTOS!$D$2:$D$1006,$G805))</f>
        <v/>
      </c>
    </row>
    <row r="806" spans="7:20" ht="18" customHeight="1" x14ac:dyDescent="0.35">
      <c r="G806" t="str">
        <f ca="1">IFERROR(_xludf.aggregate(15,6,(ROW(BASE_PRODUTOS!$L$2:$L$1006)-ROW(BASE_PRODUTOS!$L$2)+1)/(BASE_PRODUTOS!$L$2:$L$1006&gt;0),ROWS($G$10:G806)),"")</f>
        <v/>
      </c>
      <c r="H806" s="9" t="str">
        <f ca="1">IF($G806="","",INDEX(BASE_PRODUTOS!$B$2:$B$1006,$G806))</f>
        <v/>
      </c>
      <c r="I806" s="9" t="str">
        <f ca="1">IF($G806="","",INDEX(BASE_PRODUTOS!$L$2:$L$1006,$G806))</f>
        <v/>
      </c>
      <c r="J806" s="9" t="str">
        <f ca="1">IF($G806="","",INDEX(BASE_PRODUTOS!$A$2:$A$1006,$G806))</f>
        <v/>
      </c>
      <c r="K806" s="9" t="str">
        <f ca="1">IF($G806="","",INDEX(BASE_PRODUTOS!$C$2:$C$1006,$G806))</f>
        <v/>
      </c>
      <c r="L806" s="9" t="str">
        <f ca="1">IF($G806="","",INDEX(BASE_PRODUTOS!$E$2:$E$1006,$G806))</f>
        <v/>
      </c>
      <c r="M806" s="9" t="str">
        <f ca="1">IF($G806="","",INDEX(BASE_PRODUTOS!$F$2:$F$1006,$G806))</f>
        <v/>
      </c>
      <c r="N806" s="9" t="str">
        <f ca="1">IF($G806="","",INDEX(BASE_PRODUTOS!$G$2:$G$1006,$G806))</f>
        <v/>
      </c>
      <c r="O806" s="9" t="str">
        <f ca="1">IF($G806="","",INDEX(BASE_PRODUTOS!$H$2:$H$1006,$G806))</f>
        <v/>
      </c>
      <c r="P806" s="9" t="str">
        <f ca="1">IF($G806="","",INDEX(BASE_PRODUTOS!$I$2:$I$1006,$G806))</f>
        <v/>
      </c>
      <c r="Q806" s="9" t="str">
        <f ca="1">IF($G806="","",INDEX(BASE_PRODUTOS!$J$2:$J$1006,$G806))</f>
        <v/>
      </c>
      <c r="R806" s="9" t="str">
        <f ca="1">IF($G806="","",INDEX(BASE_PRODUTOS!$M$2:$M$1006,$G806))</f>
        <v/>
      </c>
      <c r="S806" s="9" t="str">
        <f ca="1">IF($G806="","",INDEX(BASE_PRODUTOS!$N$2:$N$1006,$G806))</f>
        <v/>
      </c>
      <c r="T806" s="9" t="str">
        <f ca="1">IF($G806="","",INDEX(BASE_PRODUTOS!$D$2:$D$1006,$G806))</f>
        <v/>
      </c>
    </row>
    <row r="807" spans="7:20" ht="18" customHeight="1" x14ac:dyDescent="0.35">
      <c r="G807" t="str">
        <f ca="1">IFERROR(_xludf.aggregate(15,6,(ROW(BASE_PRODUTOS!$L$2:$L$1006)-ROW(BASE_PRODUTOS!$L$2)+1)/(BASE_PRODUTOS!$L$2:$L$1006&gt;0),ROWS($G$10:G807)),"")</f>
        <v/>
      </c>
      <c r="H807" s="9" t="str">
        <f ca="1">IF($G807="","",INDEX(BASE_PRODUTOS!$B$2:$B$1006,$G807))</f>
        <v/>
      </c>
      <c r="I807" s="9" t="str">
        <f ca="1">IF($G807="","",INDEX(BASE_PRODUTOS!$L$2:$L$1006,$G807))</f>
        <v/>
      </c>
      <c r="J807" s="9" t="str">
        <f ca="1">IF($G807="","",INDEX(BASE_PRODUTOS!$A$2:$A$1006,$G807))</f>
        <v/>
      </c>
      <c r="K807" s="9" t="str">
        <f ca="1">IF($G807="","",INDEX(BASE_PRODUTOS!$C$2:$C$1006,$G807))</f>
        <v/>
      </c>
      <c r="L807" s="9" t="str">
        <f ca="1">IF($G807="","",INDEX(BASE_PRODUTOS!$E$2:$E$1006,$G807))</f>
        <v/>
      </c>
      <c r="M807" s="9" t="str">
        <f ca="1">IF($G807="","",INDEX(BASE_PRODUTOS!$F$2:$F$1006,$G807))</f>
        <v/>
      </c>
      <c r="N807" s="9" t="str">
        <f ca="1">IF($G807="","",INDEX(BASE_PRODUTOS!$G$2:$G$1006,$G807))</f>
        <v/>
      </c>
      <c r="O807" s="9" t="str">
        <f ca="1">IF($G807="","",INDEX(BASE_PRODUTOS!$H$2:$H$1006,$G807))</f>
        <v/>
      </c>
      <c r="P807" s="9" t="str">
        <f ca="1">IF($G807="","",INDEX(BASE_PRODUTOS!$I$2:$I$1006,$G807))</f>
        <v/>
      </c>
      <c r="Q807" s="9" t="str">
        <f ca="1">IF($G807="","",INDEX(BASE_PRODUTOS!$J$2:$J$1006,$G807))</f>
        <v/>
      </c>
      <c r="R807" s="9" t="str">
        <f ca="1">IF($G807="","",INDEX(BASE_PRODUTOS!$M$2:$M$1006,$G807))</f>
        <v/>
      </c>
      <c r="S807" s="9" t="str">
        <f ca="1">IF($G807="","",INDEX(BASE_PRODUTOS!$N$2:$N$1006,$G807))</f>
        <v/>
      </c>
      <c r="T807" s="9" t="str">
        <f ca="1">IF($G807="","",INDEX(BASE_PRODUTOS!$D$2:$D$1006,$G807))</f>
        <v/>
      </c>
    </row>
    <row r="808" spans="7:20" ht="18" customHeight="1" x14ac:dyDescent="0.35">
      <c r="G808" t="str">
        <f ca="1">IFERROR(_xludf.aggregate(15,6,(ROW(BASE_PRODUTOS!$L$2:$L$1006)-ROW(BASE_PRODUTOS!$L$2)+1)/(BASE_PRODUTOS!$L$2:$L$1006&gt;0),ROWS($G$10:G808)),"")</f>
        <v/>
      </c>
      <c r="H808" s="9" t="str">
        <f ca="1">IF($G808="","",INDEX(BASE_PRODUTOS!$B$2:$B$1006,$G808))</f>
        <v/>
      </c>
      <c r="I808" s="9" t="str">
        <f ca="1">IF($G808="","",INDEX(BASE_PRODUTOS!$L$2:$L$1006,$G808))</f>
        <v/>
      </c>
      <c r="J808" s="9" t="str">
        <f ca="1">IF($G808="","",INDEX(BASE_PRODUTOS!$A$2:$A$1006,$G808))</f>
        <v/>
      </c>
      <c r="K808" s="9" t="str">
        <f ca="1">IF($G808="","",INDEX(BASE_PRODUTOS!$C$2:$C$1006,$G808))</f>
        <v/>
      </c>
      <c r="L808" s="9" t="str">
        <f ca="1">IF($G808="","",INDEX(BASE_PRODUTOS!$E$2:$E$1006,$G808))</f>
        <v/>
      </c>
      <c r="M808" s="9" t="str">
        <f ca="1">IF($G808="","",INDEX(BASE_PRODUTOS!$F$2:$F$1006,$G808))</f>
        <v/>
      </c>
      <c r="N808" s="9" t="str">
        <f ca="1">IF($G808="","",INDEX(BASE_PRODUTOS!$G$2:$G$1006,$G808))</f>
        <v/>
      </c>
      <c r="O808" s="9" t="str">
        <f ca="1">IF($G808="","",INDEX(BASE_PRODUTOS!$H$2:$H$1006,$G808))</f>
        <v/>
      </c>
      <c r="P808" s="9" t="str">
        <f ca="1">IF($G808="","",INDEX(BASE_PRODUTOS!$I$2:$I$1006,$G808))</f>
        <v/>
      </c>
      <c r="Q808" s="9" t="str">
        <f ca="1">IF($G808="","",INDEX(BASE_PRODUTOS!$J$2:$J$1006,$G808))</f>
        <v/>
      </c>
      <c r="R808" s="9" t="str">
        <f ca="1">IF($G808="","",INDEX(BASE_PRODUTOS!$M$2:$M$1006,$G808))</f>
        <v/>
      </c>
      <c r="S808" s="9" t="str">
        <f ca="1">IF($G808="","",INDEX(BASE_PRODUTOS!$N$2:$N$1006,$G808))</f>
        <v/>
      </c>
      <c r="T808" s="9" t="str">
        <f ca="1">IF($G808="","",INDEX(BASE_PRODUTOS!$D$2:$D$1006,$G808))</f>
        <v/>
      </c>
    </row>
    <row r="809" spans="7:20" ht="18" customHeight="1" x14ac:dyDescent="0.35">
      <c r="G809" t="str">
        <f ca="1">IFERROR(_xludf.aggregate(15,6,(ROW(BASE_PRODUTOS!$L$2:$L$1006)-ROW(BASE_PRODUTOS!$L$2)+1)/(BASE_PRODUTOS!$L$2:$L$1006&gt;0),ROWS($G$10:G809)),"")</f>
        <v/>
      </c>
      <c r="H809" s="9" t="str">
        <f ca="1">IF($G809="","",INDEX(BASE_PRODUTOS!$B$2:$B$1006,$G809))</f>
        <v/>
      </c>
      <c r="I809" s="9" t="str">
        <f ca="1">IF($G809="","",INDEX(BASE_PRODUTOS!$L$2:$L$1006,$G809))</f>
        <v/>
      </c>
      <c r="J809" s="9" t="str">
        <f ca="1">IF($G809="","",INDEX(BASE_PRODUTOS!$A$2:$A$1006,$G809))</f>
        <v/>
      </c>
      <c r="K809" s="9" t="str">
        <f ca="1">IF($G809="","",INDEX(BASE_PRODUTOS!$C$2:$C$1006,$G809))</f>
        <v/>
      </c>
      <c r="L809" s="9" t="str">
        <f ca="1">IF($G809="","",INDEX(BASE_PRODUTOS!$E$2:$E$1006,$G809))</f>
        <v/>
      </c>
      <c r="M809" s="9" t="str">
        <f ca="1">IF($G809="","",INDEX(BASE_PRODUTOS!$F$2:$F$1006,$G809))</f>
        <v/>
      </c>
      <c r="N809" s="9" t="str">
        <f ca="1">IF($G809="","",INDEX(BASE_PRODUTOS!$G$2:$G$1006,$G809))</f>
        <v/>
      </c>
      <c r="O809" s="9" t="str">
        <f ca="1">IF($G809="","",INDEX(BASE_PRODUTOS!$H$2:$H$1006,$G809))</f>
        <v/>
      </c>
      <c r="P809" s="9" t="str">
        <f ca="1">IF($G809="","",INDEX(BASE_PRODUTOS!$I$2:$I$1006,$G809))</f>
        <v/>
      </c>
      <c r="Q809" s="9" t="str">
        <f ca="1">IF($G809="","",INDEX(BASE_PRODUTOS!$J$2:$J$1006,$G809))</f>
        <v/>
      </c>
      <c r="R809" s="9" t="str">
        <f ca="1">IF($G809="","",INDEX(BASE_PRODUTOS!$M$2:$M$1006,$G809))</f>
        <v/>
      </c>
      <c r="S809" s="9" t="str">
        <f ca="1">IF($G809="","",INDEX(BASE_PRODUTOS!$N$2:$N$1006,$G809))</f>
        <v/>
      </c>
      <c r="T809" s="9" t="str">
        <f ca="1">IF($G809="","",INDEX(BASE_PRODUTOS!$D$2:$D$1006,$G809))</f>
        <v/>
      </c>
    </row>
    <row r="810" spans="7:20" ht="18" customHeight="1" x14ac:dyDescent="0.35">
      <c r="G810" t="str">
        <f ca="1">IFERROR(_xludf.aggregate(15,6,(ROW(BASE_PRODUTOS!$L$2:$L$1006)-ROW(BASE_PRODUTOS!$L$2)+1)/(BASE_PRODUTOS!$L$2:$L$1006&gt;0),ROWS($G$10:G810)),"")</f>
        <v/>
      </c>
      <c r="H810" s="9" t="str">
        <f ca="1">IF($G810="","",INDEX(BASE_PRODUTOS!$B$2:$B$1006,$G810))</f>
        <v/>
      </c>
      <c r="I810" s="9" t="str">
        <f ca="1">IF($G810="","",INDEX(BASE_PRODUTOS!$L$2:$L$1006,$G810))</f>
        <v/>
      </c>
      <c r="J810" s="9" t="str">
        <f ca="1">IF($G810="","",INDEX(BASE_PRODUTOS!$A$2:$A$1006,$G810))</f>
        <v/>
      </c>
      <c r="K810" s="9" t="str">
        <f ca="1">IF($G810="","",INDEX(BASE_PRODUTOS!$C$2:$C$1006,$G810))</f>
        <v/>
      </c>
      <c r="L810" s="9" t="str">
        <f ca="1">IF($G810="","",INDEX(BASE_PRODUTOS!$E$2:$E$1006,$G810))</f>
        <v/>
      </c>
      <c r="M810" s="9" t="str">
        <f ca="1">IF($G810="","",INDEX(BASE_PRODUTOS!$F$2:$F$1006,$G810))</f>
        <v/>
      </c>
      <c r="N810" s="9" t="str">
        <f ca="1">IF($G810="","",INDEX(BASE_PRODUTOS!$G$2:$G$1006,$G810))</f>
        <v/>
      </c>
      <c r="O810" s="9" t="str">
        <f ca="1">IF($G810="","",INDEX(BASE_PRODUTOS!$H$2:$H$1006,$G810))</f>
        <v/>
      </c>
      <c r="P810" s="9" t="str">
        <f ca="1">IF($G810="","",INDEX(BASE_PRODUTOS!$I$2:$I$1006,$G810))</f>
        <v/>
      </c>
      <c r="Q810" s="9" t="str">
        <f ca="1">IF($G810="","",INDEX(BASE_PRODUTOS!$J$2:$J$1006,$G810))</f>
        <v/>
      </c>
      <c r="R810" s="9" t="str">
        <f ca="1">IF($G810="","",INDEX(BASE_PRODUTOS!$M$2:$M$1006,$G810))</f>
        <v/>
      </c>
      <c r="S810" s="9" t="str">
        <f ca="1">IF($G810="","",INDEX(BASE_PRODUTOS!$N$2:$N$1006,$G810))</f>
        <v/>
      </c>
      <c r="T810" s="9" t="str">
        <f ca="1">IF($G810="","",INDEX(BASE_PRODUTOS!$D$2:$D$1006,$G810))</f>
        <v/>
      </c>
    </row>
    <row r="811" spans="7:20" ht="18" customHeight="1" x14ac:dyDescent="0.35">
      <c r="G811" t="str">
        <f ca="1">IFERROR(_xludf.aggregate(15,6,(ROW(BASE_PRODUTOS!$L$2:$L$1006)-ROW(BASE_PRODUTOS!$L$2)+1)/(BASE_PRODUTOS!$L$2:$L$1006&gt;0),ROWS($G$10:G811)),"")</f>
        <v/>
      </c>
      <c r="H811" s="9" t="str">
        <f ca="1">IF($G811="","",INDEX(BASE_PRODUTOS!$B$2:$B$1006,$G811))</f>
        <v/>
      </c>
      <c r="I811" s="9" t="str">
        <f ca="1">IF($G811="","",INDEX(BASE_PRODUTOS!$L$2:$L$1006,$G811))</f>
        <v/>
      </c>
      <c r="J811" s="9" t="str">
        <f ca="1">IF($G811="","",INDEX(BASE_PRODUTOS!$A$2:$A$1006,$G811))</f>
        <v/>
      </c>
      <c r="K811" s="9" t="str">
        <f ca="1">IF($G811="","",INDEX(BASE_PRODUTOS!$C$2:$C$1006,$G811))</f>
        <v/>
      </c>
      <c r="L811" s="9" t="str">
        <f ca="1">IF($G811="","",INDEX(BASE_PRODUTOS!$E$2:$E$1006,$G811))</f>
        <v/>
      </c>
      <c r="M811" s="9" t="str">
        <f ca="1">IF($G811="","",INDEX(BASE_PRODUTOS!$F$2:$F$1006,$G811))</f>
        <v/>
      </c>
      <c r="N811" s="9" t="str">
        <f ca="1">IF($G811="","",INDEX(BASE_PRODUTOS!$G$2:$G$1006,$G811))</f>
        <v/>
      </c>
      <c r="O811" s="9" t="str">
        <f ca="1">IF($G811="","",INDEX(BASE_PRODUTOS!$H$2:$H$1006,$G811))</f>
        <v/>
      </c>
      <c r="P811" s="9" t="str">
        <f ca="1">IF($G811="","",INDEX(BASE_PRODUTOS!$I$2:$I$1006,$G811))</f>
        <v/>
      </c>
      <c r="Q811" s="9" t="str">
        <f ca="1">IF($G811="","",INDEX(BASE_PRODUTOS!$J$2:$J$1006,$G811))</f>
        <v/>
      </c>
      <c r="R811" s="9" t="str">
        <f ca="1">IF($G811="","",INDEX(BASE_PRODUTOS!$M$2:$M$1006,$G811))</f>
        <v/>
      </c>
      <c r="S811" s="9" t="str">
        <f ca="1">IF($G811="","",INDEX(BASE_PRODUTOS!$N$2:$N$1006,$G811))</f>
        <v/>
      </c>
      <c r="T811" s="9" t="str">
        <f ca="1">IF($G811="","",INDEX(BASE_PRODUTOS!$D$2:$D$1006,$G811))</f>
        <v/>
      </c>
    </row>
    <row r="812" spans="7:20" ht="18" customHeight="1" x14ac:dyDescent="0.35">
      <c r="G812" t="str">
        <f ca="1">IFERROR(_xludf.aggregate(15,6,(ROW(BASE_PRODUTOS!$L$2:$L$1006)-ROW(BASE_PRODUTOS!$L$2)+1)/(BASE_PRODUTOS!$L$2:$L$1006&gt;0),ROWS($G$10:G812)),"")</f>
        <v/>
      </c>
      <c r="H812" s="9" t="str">
        <f ca="1">IF($G812="","",INDEX(BASE_PRODUTOS!$B$2:$B$1006,$G812))</f>
        <v/>
      </c>
      <c r="I812" s="9" t="str">
        <f ca="1">IF($G812="","",INDEX(BASE_PRODUTOS!$L$2:$L$1006,$G812))</f>
        <v/>
      </c>
      <c r="J812" s="9" t="str">
        <f ca="1">IF($G812="","",INDEX(BASE_PRODUTOS!$A$2:$A$1006,$G812))</f>
        <v/>
      </c>
      <c r="K812" s="9" t="str">
        <f ca="1">IF($G812="","",INDEX(BASE_PRODUTOS!$C$2:$C$1006,$G812))</f>
        <v/>
      </c>
      <c r="L812" s="9" t="str">
        <f ca="1">IF($G812="","",INDEX(BASE_PRODUTOS!$E$2:$E$1006,$G812))</f>
        <v/>
      </c>
      <c r="M812" s="9" t="str">
        <f ca="1">IF($G812="","",INDEX(BASE_PRODUTOS!$F$2:$F$1006,$G812))</f>
        <v/>
      </c>
      <c r="N812" s="9" t="str">
        <f ca="1">IF($G812="","",INDEX(BASE_PRODUTOS!$G$2:$G$1006,$G812))</f>
        <v/>
      </c>
      <c r="O812" s="9" t="str">
        <f ca="1">IF($G812="","",INDEX(BASE_PRODUTOS!$H$2:$H$1006,$G812))</f>
        <v/>
      </c>
      <c r="P812" s="9" t="str">
        <f ca="1">IF($G812="","",INDEX(BASE_PRODUTOS!$I$2:$I$1006,$G812))</f>
        <v/>
      </c>
      <c r="Q812" s="9" t="str">
        <f ca="1">IF($G812="","",INDEX(BASE_PRODUTOS!$J$2:$J$1006,$G812))</f>
        <v/>
      </c>
      <c r="R812" s="9" t="str">
        <f ca="1">IF($G812="","",INDEX(BASE_PRODUTOS!$M$2:$M$1006,$G812))</f>
        <v/>
      </c>
      <c r="S812" s="9" t="str">
        <f ca="1">IF($G812="","",INDEX(BASE_PRODUTOS!$N$2:$N$1006,$G812))</f>
        <v/>
      </c>
      <c r="T812" s="9" t="str">
        <f ca="1">IF($G812="","",INDEX(BASE_PRODUTOS!$D$2:$D$1006,$G812))</f>
        <v/>
      </c>
    </row>
    <row r="813" spans="7:20" ht="18" customHeight="1" x14ac:dyDescent="0.35">
      <c r="G813" t="str">
        <f ca="1">IFERROR(_xludf.aggregate(15,6,(ROW(BASE_PRODUTOS!$L$2:$L$1006)-ROW(BASE_PRODUTOS!$L$2)+1)/(BASE_PRODUTOS!$L$2:$L$1006&gt;0),ROWS($G$10:G813)),"")</f>
        <v/>
      </c>
      <c r="H813" s="9" t="str">
        <f ca="1">IF($G813="","",INDEX(BASE_PRODUTOS!$B$2:$B$1006,$G813))</f>
        <v/>
      </c>
      <c r="I813" s="9" t="str">
        <f ca="1">IF($G813="","",INDEX(BASE_PRODUTOS!$L$2:$L$1006,$G813))</f>
        <v/>
      </c>
      <c r="J813" s="9" t="str">
        <f ca="1">IF($G813="","",INDEX(BASE_PRODUTOS!$A$2:$A$1006,$G813))</f>
        <v/>
      </c>
      <c r="K813" s="9" t="str">
        <f ca="1">IF($G813="","",INDEX(BASE_PRODUTOS!$C$2:$C$1006,$G813))</f>
        <v/>
      </c>
      <c r="L813" s="9" t="str">
        <f ca="1">IF($G813="","",INDEX(BASE_PRODUTOS!$E$2:$E$1006,$G813))</f>
        <v/>
      </c>
      <c r="M813" s="9" t="str">
        <f ca="1">IF($G813="","",INDEX(BASE_PRODUTOS!$F$2:$F$1006,$G813))</f>
        <v/>
      </c>
      <c r="N813" s="9" t="str">
        <f ca="1">IF($G813="","",INDEX(BASE_PRODUTOS!$G$2:$G$1006,$G813))</f>
        <v/>
      </c>
      <c r="O813" s="9" t="str">
        <f ca="1">IF($G813="","",INDEX(BASE_PRODUTOS!$H$2:$H$1006,$G813))</f>
        <v/>
      </c>
      <c r="P813" s="9" t="str">
        <f ca="1">IF($G813="","",INDEX(BASE_PRODUTOS!$I$2:$I$1006,$G813))</f>
        <v/>
      </c>
      <c r="Q813" s="9" t="str">
        <f ca="1">IF($G813="","",INDEX(BASE_PRODUTOS!$J$2:$J$1006,$G813))</f>
        <v/>
      </c>
      <c r="R813" s="9" t="str">
        <f ca="1">IF($G813="","",INDEX(BASE_PRODUTOS!$M$2:$M$1006,$G813))</f>
        <v/>
      </c>
      <c r="S813" s="9" t="str">
        <f ca="1">IF($G813="","",INDEX(BASE_PRODUTOS!$N$2:$N$1006,$G813))</f>
        <v/>
      </c>
      <c r="T813" s="9" t="str">
        <f ca="1">IF($G813="","",INDEX(BASE_PRODUTOS!$D$2:$D$1006,$G813))</f>
        <v/>
      </c>
    </row>
    <row r="814" spans="7:20" ht="18" customHeight="1" x14ac:dyDescent="0.35">
      <c r="G814" t="str">
        <f ca="1">IFERROR(_xludf.aggregate(15,6,(ROW(BASE_PRODUTOS!$L$2:$L$1006)-ROW(BASE_PRODUTOS!$L$2)+1)/(BASE_PRODUTOS!$L$2:$L$1006&gt;0),ROWS($G$10:G814)),"")</f>
        <v/>
      </c>
      <c r="H814" s="9" t="str">
        <f ca="1">IF($G814="","",INDEX(BASE_PRODUTOS!$B$2:$B$1006,$G814))</f>
        <v/>
      </c>
      <c r="I814" s="9" t="str">
        <f ca="1">IF($G814="","",INDEX(BASE_PRODUTOS!$L$2:$L$1006,$G814))</f>
        <v/>
      </c>
      <c r="J814" s="9" t="str">
        <f ca="1">IF($G814="","",INDEX(BASE_PRODUTOS!$A$2:$A$1006,$G814))</f>
        <v/>
      </c>
      <c r="K814" s="9" t="str">
        <f ca="1">IF($G814="","",INDEX(BASE_PRODUTOS!$C$2:$C$1006,$G814))</f>
        <v/>
      </c>
      <c r="L814" s="9" t="str">
        <f ca="1">IF($G814="","",INDEX(BASE_PRODUTOS!$E$2:$E$1006,$G814))</f>
        <v/>
      </c>
      <c r="M814" s="9" t="str">
        <f ca="1">IF($G814="","",INDEX(BASE_PRODUTOS!$F$2:$F$1006,$G814))</f>
        <v/>
      </c>
      <c r="N814" s="9" t="str">
        <f ca="1">IF($G814="","",INDEX(BASE_PRODUTOS!$G$2:$G$1006,$G814))</f>
        <v/>
      </c>
      <c r="O814" s="9" t="str">
        <f ca="1">IF($G814="","",INDEX(BASE_PRODUTOS!$H$2:$H$1006,$G814))</f>
        <v/>
      </c>
      <c r="P814" s="9" t="str">
        <f ca="1">IF($G814="","",INDEX(BASE_PRODUTOS!$I$2:$I$1006,$G814))</f>
        <v/>
      </c>
      <c r="Q814" s="9" t="str">
        <f ca="1">IF($G814="","",INDEX(BASE_PRODUTOS!$J$2:$J$1006,$G814))</f>
        <v/>
      </c>
      <c r="R814" s="9" t="str">
        <f ca="1">IF($G814="","",INDEX(BASE_PRODUTOS!$M$2:$M$1006,$G814))</f>
        <v/>
      </c>
      <c r="S814" s="9" t="str">
        <f ca="1">IF($G814="","",INDEX(BASE_PRODUTOS!$N$2:$N$1006,$G814))</f>
        <v/>
      </c>
      <c r="T814" s="9" t="str">
        <f ca="1">IF($G814="","",INDEX(BASE_PRODUTOS!$D$2:$D$1006,$G814))</f>
        <v/>
      </c>
    </row>
    <row r="815" spans="7:20" ht="18" customHeight="1" x14ac:dyDescent="0.35">
      <c r="G815" t="str">
        <f ca="1">IFERROR(_xludf.aggregate(15,6,(ROW(BASE_PRODUTOS!$L$2:$L$1006)-ROW(BASE_PRODUTOS!$L$2)+1)/(BASE_PRODUTOS!$L$2:$L$1006&gt;0),ROWS($G$10:G815)),"")</f>
        <v/>
      </c>
      <c r="H815" s="9" t="str">
        <f ca="1">IF($G815="","",INDEX(BASE_PRODUTOS!$B$2:$B$1006,$G815))</f>
        <v/>
      </c>
      <c r="I815" s="9" t="str">
        <f ca="1">IF($G815="","",INDEX(BASE_PRODUTOS!$L$2:$L$1006,$G815))</f>
        <v/>
      </c>
      <c r="J815" s="9" t="str">
        <f ca="1">IF($G815="","",INDEX(BASE_PRODUTOS!$A$2:$A$1006,$G815))</f>
        <v/>
      </c>
      <c r="K815" s="9" t="str">
        <f ca="1">IF($G815="","",INDEX(BASE_PRODUTOS!$C$2:$C$1006,$G815))</f>
        <v/>
      </c>
      <c r="L815" s="9" t="str">
        <f ca="1">IF($G815="","",INDEX(BASE_PRODUTOS!$E$2:$E$1006,$G815))</f>
        <v/>
      </c>
      <c r="M815" s="9" t="str">
        <f ca="1">IF($G815="","",INDEX(BASE_PRODUTOS!$F$2:$F$1006,$G815))</f>
        <v/>
      </c>
      <c r="N815" s="9" t="str">
        <f ca="1">IF($G815="","",INDEX(BASE_PRODUTOS!$G$2:$G$1006,$G815))</f>
        <v/>
      </c>
      <c r="O815" s="9" t="str">
        <f ca="1">IF($G815="","",INDEX(BASE_PRODUTOS!$H$2:$H$1006,$G815))</f>
        <v/>
      </c>
      <c r="P815" s="9" t="str">
        <f ca="1">IF($G815="","",INDEX(BASE_PRODUTOS!$I$2:$I$1006,$G815))</f>
        <v/>
      </c>
      <c r="Q815" s="9" t="str">
        <f ca="1">IF($G815="","",INDEX(BASE_PRODUTOS!$J$2:$J$1006,$G815))</f>
        <v/>
      </c>
      <c r="R815" s="9" t="str">
        <f ca="1">IF($G815="","",INDEX(BASE_PRODUTOS!$M$2:$M$1006,$G815))</f>
        <v/>
      </c>
      <c r="S815" s="9" t="str">
        <f ca="1">IF($G815="","",INDEX(BASE_PRODUTOS!$N$2:$N$1006,$G815))</f>
        <v/>
      </c>
      <c r="T815" s="9" t="str">
        <f ca="1">IF($G815="","",INDEX(BASE_PRODUTOS!$D$2:$D$1006,$G815))</f>
        <v/>
      </c>
    </row>
    <row r="816" spans="7:20" ht="18" customHeight="1" x14ac:dyDescent="0.35">
      <c r="G816" t="str">
        <f ca="1">IFERROR(_xludf.aggregate(15,6,(ROW(BASE_PRODUTOS!$L$2:$L$1006)-ROW(BASE_PRODUTOS!$L$2)+1)/(BASE_PRODUTOS!$L$2:$L$1006&gt;0),ROWS($G$10:G816)),"")</f>
        <v/>
      </c>
      <c r="H816" s="9" t="str">
        <f ca="1">IF($G816="","",INDEX(BASE_PRODUTOS!$B$2:$B$1006,$G816))</f>
        <v/>
      </c>
      <c r="I816" s="9" t="str">
        <f ca="1">IF($G816="","",INDEX(BASE_PRODUTOS!$L$2:$L$1006,$G816))</f>
        <v/>
      </c>
      <c r="J816" s="9" t="str">
        <f ca="1">IF($G816="","",INDEX(BASE_PRODUTOS!$A$2:$A$1006,$G816))</f>
        <v/>
      </c>
      <c r="K816" s="9" t="str">
        <f ca="1">IF($G816="","",INDEX(BASE_PRODUTOS!$C$2:$C$1006,$G816))</f>
        <v/>
      </c>
      <c r="L816" s="9" t="str">
        <f ca="1">IF($G816="","",INDEX(BASE_PRODUTOS!$E$2:$E$1006,$G816))</f>
        <v/>
      </c>
      <c r="M816" s="9" t="str">
        <f ca="1">IF($G816="","",INDEX(BASE_PRODUTOS!$F$2:$F$1006,$G816))</f>
        <v/>
      </c>
      <c r="N816" s="9" t="str">
        <f ca="1">IF($G816="","",INDEX(BASE_PRODUTOS!$G$2:$G$1006,$G816))</f>
        <v/>
      </c>
      <c r="O816" s="9" t="str">
        <f ca="1">IF($G816="","",INDEX(BASE_PRODUTOS!$H$2:$H$1006,$G816))</f>
        <v/>
      </c>
      <c r="P816" s="9" t="str">
        <f ca="1">IF($G816="","",INDEX(BASE_PRODUTOS!$I$2:$I$1006,$G816))</f>
        <v/>
      </c>
      <c r="Q816" s="9" t="str">
        <f ca="1">IF($G816="","",INDEX(BASE_PRODUTOS!$J$2:$J$1006,$G816))</f>
        <v/>
      </c>
      <c r="R816" s="9" t="str">
        <f ca="1">IF($G816="","",INDEX(BASE_PRODUTOS!$M$2:$M$1006,$G816))</f>
        <v/>
      </c>
      <c r="S816" s="9" t="str">
        <f ca="1">IF($G816="","",INDEX(BASE_PRODUTOS!$N$2:$N$1006,$G816))</f>
        <v/>
      </c>
      <c r="T816" s="9" t="str">
        <f ca="1">IF($G816="","",INDEX(BASE_PRODUTOS!$D$2:$D$1006,$G816))</f>
        <v/>
      </c>
    </row>
    <row r="817" spans="7:20" ht="18" customHeight="1" x14ac:dyDescent="0.35">
      <c r="G817" t="str">
        <f ca="1">IFERROR(_xludf.aggregate(15,6,(ROW(BASE_PRODUTOS!$L$2:$L$1006)-ROW(BASE_PRODUTOS!$L$2)+1)/(BASE_PRODUTOS!$L$2:$L$1006&gt;0),ROWS($G$10:G817)),"")</f>
        <v/>
      </c>
      <c r="H817" s="9" t="str">
        <f ca="1">IF($G817="","",INDEX(BASE_PRODUTOS!$B$2:$B$1006,$G817))</f>
        <v/>
      </c>
      <c r="I817" s="9" t="str">
        <f ca="1">IF($G817="","",INDEX(BASE_PRODUTOS!$L$2:$L$1006,$G817))</f>
        <v/>
      </c>
      <c r="J817" s="9" t="str">
        <f ca="1">IF($G817="","",INDEX(BASE_PRODUTOS!$A$2:$A$1006,$G817))</f>
        <v/>
      </c>
      <c r="K817" s="9" t="str">
        <f ca="1">IF($G817="","",INDEX(BASE_PRODUTOS!$C$2:$C$1006,$G817))</f>
        <v/>
      </c>
      <c r="L817" s="9" t="str">
        <f ca="1">IF($G817="","",INDEX(BASE_PRODUTOS!$E$2:$E$1006,$G817))</f>
        <v/>
      </c>
      <c r="M817" s="9" t="str">
        <f ca="1">IF($G817="","",INDEX(BASE_PRODUTOS!$F$2:$F$1006,$G817))</f>
        <v/>
      </c>
      <c r="N817" s="9" t="str">
        <f ca="1">IF($G817="","",INDEX(BASE_PRODUTOS!$G$2:$G$1006,$G817))</f>
        <v/>
      </c>
      <c r="O817" s="9" t="str">
        <f ca="1">IF($G817="","",INDEX(BASE_PRODUTOS!$H$2:$H$1006,$G817))</f>
        <v/>
      </c>
      <c r="P817" s="9" t="str">
        <f ca="1">IF($G817="","",INDEX(BASE_PRODUTOS!$I$2:$I$1006,$G817))</f>
        <v/>
      </c>
      <c r="Q817" s="9" t="str">
        <f ca="1">IF($G817="","",INDEX(BASE_PRODUTOS!$J$2:$J$1006,$G817))</f>
        <v/>
      </c>
      <c r="R817" s="9" t="str">
        <f ca="1">IF($G817="","",INDEX(BASE_PRODUTOS!$M$2:$M$1006,$G817))</f>
        <v/>
      </c>
      <c r="S817" s="9" t="str">
        <f ca="1">IF($G817="","",INDEX(BASE_PRODUTOS!$N$2:$N$1006,$G817))</f>
        <v/>
      </c>
      <c r="T817" s="9" t="str">
        <f ca="1">IF($G817="","",INDEX(BASE_PRODUTOS!$D$2:$D$1006,$G817))</f>
        <v/>
      </c>
    </row>
    <row r="818" spans="7:20" ht="18" customHeight="1" x14ac:dyDescent="0.35">
      <c r="G818" t="str">
        <f ca="1">IFERROR(_xludf.aggregate(15,6,(ROW(BASE_PRODUTOS!$L$2:$L$1006)-ROW(BASE_PRODUTOS!$L$2)+1)/(BASE_PRODUTOS!$L$2:$L$1006&gt;0),ROWS($G$10:G818)),"")</f>
        <v/>
      </c>
      <c r="H818" s="9" t="str">
        <f ca="1">IF($G818="","",INDEX(BASE_PRODUTOS!$B$2:$B$1006,$G818))</f>
        <v/>
      </c>
      <c r="I818" s="9" t="str">
        <f ca="1">IF($G818="","",INDEX(BASE_PRODUTOS!$L$2:$L$1006,$G818))</f>
        <v/>
      </c>
      <c r="J818" s="9" t="str">
        <f ca="1">IF($G818="","",INDEX(BASE_PRODUTOS!$A$2:$A$1006,$G818))</f>
        <v/>
      </c>
      <c r="K818" s="9" t="str">
        <f ca="1">IF($G818="","",INDEX(BASE_PRODUTOS!$C$2:$C$1006,$G818))</f>
        <v/>
      </c>
      <c r="L818" s="9" t="str">
        <f ca="1">IF($G818="","",INDEX(BASE_PRODUTOS!$E$2:$E$1006,$G818))</f>
        <v/>
      </c>
      <c r="M818" s="9" t="str">
        <f ca="1">IF($G818="","",INDEX(BASE_PRODUTOS!$F$2:$F$1006,$G818))</f>
        <v/>
      </c>
      <c r="N818" s="9" t="str">
        <f ca="1">IF($G818="","",INDEX(BASE_PRODUTOS!$G$2:$G$1006,$G818))</f>
        <v/>
      </c>
      <c r="O818" s="9" t="str">
        <f ca="1">IF($G818="","",INDEX(BASE_PRODUTOS!$H$2:$H$1006,$G818))</f>
        <v/>
      </c>
      <c r="P818" s="9" t="str">
        <f ca="1">IF($G818="","",INDEX(BASE_PRODUTOS!$I$2:$I$1006,$G818))</f>
        <v/>
      </c>
      <c r="Q818" s="9" t="str">
        <f ca="1">IF($G818="","",INDEX(BASE_PRODUTOS!$J$2:$J$1006,$G818))</f>
        <v/>
      </c>
      <c r="R818" s="9" t="str">
        <f ca="1">IF($G818="","",INDEX(BASE_PRODUTOS!$M$2:$M$1006,$G818))</f>
        <v/>
      </c>
      <c r="S818" s="9" t="str">
        <f ca="1">IF($G818="","",INDEX(BASE_PRODUTOS!$N$2:$N$1006,$G818))</f>
        <v/>
      </c>
      <c r="T818" s="9" t="str">
        <f ca="1">IF($G818="","",INDEX(BASE_PRODUTOS!$D$2:$D$1006,$G818))</f>
        <v/>
      </c>
    </row>
    <row r="819" spans="7:20" ht="18" customHeight="1" x14ac:dyDescent="0.35">
      <c r="G819" t="str">
        <f ca="1">IFERROR(_xludf.aggregate(15,6,(ROW(BASE_PRODUTOS!$L$2:$L$1006)-ROW(BASE_PRODUTOS!$L$2)+1)/(BASE_PRODUTOS!$L$2:$L$1006&gt;0),ROWS($G$10:G819)),"")</f>
        <v/>
      </c>
      <c r="H819" s="9" t="str">
        <f ca="1">IF($G819="","",INDEX(BASE_PRODUTOS!$B$2:$B$1006,$G819))</f>
        <v/>
      </c>
      <c r="I819" s="9" t="str">
        <f ca="1">IF($G819="","",INDEX(BASE_PRODUTOS!$L$2:$L$1006,$G819))</f>
        <v/>
      </c>
      <c r="J819" s="9" t="str">
        <f ca="1">IF($G819="","",INDEX(BASE_PRODUTOS!$A$2:$A$1006,$G819))</f>
        <v/>
      </c>
      <c r="K819" s="9" t="str">
        <f ca="1">IF($G819="","",INDEX(BASE_PRODUTOS!$C$2:$C$1006,$G819))</f>
        <v/>
      </c>
      <c r="L819" s="9" t="str">
        <f ca="1">IF($G819="","",INDEX(BASE_PRODUTOS!$E$2:$E$1006,$G819))</f>
        <v/>
      </c>
      <c r="M819" s="9" t="str">
        <f ca="1">IF($G819="","",INDEX(BASE_PRODUTOS!$F$2:$F$1006,$G819))</f>
        <v/>
      </c>
      <c r="N819" s="9" t="str">
        <f ca="1">IF($G819="","",INDEX(BASE_PRODUTOS!$G$2:$G$1006,$G819))</f>
        <v/>
      </c>
      <c r="O819" s="9" t="str">
        <f ca="1">IF($G819="","",INDEX(BASE_PRODUTOS!$H$2:$H$1006,$G819))</f>
        <v/>
      </c>
      <c r="P819" s="9" t="str">
        <f ca="1">IF($G819="","",INDEX(BASE_PRODUTOS!$I$2:$I$1006,$G819))</f>
        <v/>
      </c>
      <c r="Q819" s="9" t="str">
        <f ca="1">IF($G819="","",INDEX(BASE_PRODUTOS!$J$2:$J$1006,$G819))</f>
        <v/>
      </c>
      <c r="R819" s="9" t="str">
        <f ca="1">IF($G819="","",INDEX(BASE_PRODUTOS!$M$2:$M$1006,$G819))</f>
        <v/>
      </c>
      <c r="S819" s="9" t="str">
        <f ca="1">IF($G819="","",INDEX(BASE_PRODUTOS!$N$2:$N$1006,$G819))</f>
        <v/>
      </c>
      <c r="T819" s="9" t="str">
        <f ca="1">IF($G819="","",INDEX(BASE_PRODUTOS!$D$2:$D$1006,$G819))</f>
        <v/>
      </c>
    </row>
    <row r="820" spans="7:20" ht="18" customHeight="1" x14ac:dyDescent="0.35">
      <c r="G820" t="str">
        <f ca="1">IFERROR(_xludf.aggregate(15,6,(ROW(BASE_PRODUTOS!$L$2:$L$1006)-ROW(BASE_PRODUTOS!$L$2)+1)/(BASE_PRODUTOS!$L$2:$L$1006&gt;0),ROWS($G$10:G820)),"")</f>
        <v/>
      </c>
      <c r="H820" s="9" t="str">
        <f ca="1">IF($G820="","",INDEX(BASE_PRODUTOS!$B$2:$B$1006,$G820))</f>
        <v/>
      </c>
      <c r="I820" s="9" t="str">
        <f ca="1">IF($G820="","",INDEX(BASE_PRODUTOS!$L$2:$L$1006,$G820))</f>
        <v/>
      </c>
      <c r="J820" s="9" t="str">
        <f ca="1">IF($G820="","",INDEX(BASE_PRODUTOS!$A$2:$A$1006,$G820))</f>
        <v/>
      </c>
      <c r="K820" s="9" t="str">
        <f ca="1">IF($G820="","",INDEX(BASE_PRODUTOS!$C$2:$C$1006,$G820))</f>
        <v/>
      </c>
      <c r="L820" s="9" t="str">
        <f ca="1">IF($G820="","",INDEX(BASE_PRODUTOS!$E$2:$E$1006,$G820))</f>
        <v/>
      </c>
      <c r="M820" s="9" t="str">
        <f ca="1">IF($G820="","",INDEX(BASE_PRODUTOS!$F$2:$F$1006,$G820))</f>
        <v/>
      </c>
      <c r="N820" s="9" t="str">
        <f ca="1">IF($G820="","",INDEX(BASE_PRODUTOS!$G$2:$G$1006,$G820))</f>
        <v/>
      </c>
      <c r="O820" s="9" t="str">
        <f ca="1">IF($G820="","",INDEX(BASE_PRODUTOS!$H$2:$H$1006,$G820))</f>
        <v/>
      </c>
      <c r="P820" s="9" t="str">
        <f ca="1">IF($G820="","",INDEX(BASE_PRODUTOS!$I$2:$I$1006,$G820))</f>
        <v/>
      </c>
      <c r="Q820" s="9" t="str">
        <f ca="1">IF($G820="","",INDEX(BASE_PRODUTOS!$J$2:$J$1006,$G820))</f>
        <v/>
      </c>
      <c r="R820" s="9" t="str">
        <f ca="1">IF($G820="","",INDEX(BASE_PRODUTOS!$M$2:$M$1006,$G820))</f>
        <v/>
      </c>
      <c r="S820" s="9" t="str">
        <f ca="1">IF($G820="","",INDEX(BASE_PRODUTOS!$N$2:$N$1006,$G820))</f>
        <v/>
      </c>
      <c r="T820" s="9" t="str">
        <f ca="1">IF($G820="","",INDEX(BASE_PRODUTOS!$D$2:$D$1006,$G820))</f>
        <v/>
      </c>
    </row>
    <row r="821" spans="7:20" ht="18" customHeight="1" x14ac:dyDescent="0.35">
      <c r="G821" t="str">
        <f ca="1">IFERROR(_xludf.aggregate(15,6,(ROW(BASE_PRODUTOS!$L$2:$L$1006)-ROW(BASE_PRODUTOS!$L$2)+1)/(BASE_PRODUTOS!$L$2:$L$1006&gt;0),ROWS($G$10:G821)),"")</f>
        <v/>
      </c>
      <c r="H821" s="9" t="str">
        <f ca="1">IF($G821="","",INDEX(BASE_PRODUTOS!$B$2:$B$1006,$G821))</f>
        <v/>
      </c>
      <c r="I821" s="9" t="str">
        <f ca="1">IF($G821="","",INDEX(BASE_PRODUTOS!$L$2:$L$1006,$G821))</f>
        <v/>
      </c>
      <c r="J821" s="9" t="str">
        <f ca="1">IF($G821="","",INDEX(BASE_PRODUTOS!$A$2:$A$1006,$G821))</f>
        <v/>
      </c>
      <c r="K821" s="9" t="str">
        <f ca="1">IF($G821="","",INDEX(BASE_PRODUTOS!$C$2:$C$1006,$G821))</f>
        <v/>
      </c>
      <c r="L821" s="9" t="str">
        <f ca="1">IF($G821="","",INDEX(BASE_PRODUTOS!$E$2:$E$1006,$G821))</f>
        <v/>
      </c>
      <c r="M821" s="9" t="str">
        <f ca="1">IF($G821="","",INDEX(BASE_PRODUTOS!$F$2:$F$1006,$G821))</f>
        <v/>
      </c>
      <c r="N821" s="9" t="str">
        <f ca="1">IF($G821="","",INDEX(BASE_PRODUTOS!$G$2:$G$1006,$G821))</f>
        <v/>
      </c>
      <c r="O821" s="9" t="str">
        <f ca="1">IF($G821="","",INDEX(BASE_PRODUTOS!$H$2:$H$1006,$G821))</f>
        <v/>
      </c>
      <c r="P821" s="9" t="str">
        <f ca="1">IF($G821="","",INDEX(BASE_PRODUTOS!$I$2:$I$1006,$G821))</f>
        <v/>
      </c>
      <c r="Q821" s="9" t="str">
        <f ca="1">IF($G821="","",INDEX(BASE_PRODUTOS!$J$2:$J$1006,$G821))</f>
        <v/>
      </c>
      <c r="R821" s="9" t="str">
        <f ca="1">IF($G821="","",INDEX(BASE_PRODUTOS!$M$2:$M$1006,$G821))</f>
        <v/>
      </c>
      <c r="S821" s="9" t="str">
        <f ca="1">IF($G821="","",INDEX(BASE_PRODUTOS!$N$2:$N$1006,$G821))</f>
        <v/>
      </c>
      <c r="T821" s="9" t="str">
        <f ca="1">IF($G821="","",INDEX(BASE_PRODUTOS!$D$2:$D$1006,$G821))</f>
        <v/>
      </c>
    </row>
    <row r="822" spans="7:20" ht="18" customHeight="1" x14ac:dyDescent="0.35">
      <c r="G822" t="str">
        <f ca="1">IFERROR(_xludf.aggregate(15,6,(ROW(BASE_PRODUTOS!$L$2:$L$1006)-ROW(BASE_PRODUTOS!$L$2)+1)/(BASE_PRODUTOS!$L$2:$L$1006&gt;0),ROWS($G$10:G822)),"")</f>
        <v/>
      </c>
      <c r="H822" s="9" t="str">
        <f ca="1">IF($G822="","",INDEX(BASE_PRODUTOS!$B$2:$B$1006,$G822))</f>
        <v/>
      </c>
      <c r="I822" s="9" t="str">
        <f ca="1">IF($G822="","",INDEX(BASE_PRODUTOS!$L$2:$L$1006,$G822))</f>
        <v/>
      </c>
      <c r="J822" s="9" t="str">
        <f ca="1">IF($G822="","",INDEX(BASE_PRODUTOS!$A$2:$A$1006,$G822))</f>
        <v/>
      </c>
      <c r="K822" s="9" t="str">
        <f ca="1">IF($G822="","",INDEX(BASE_PRODUTOS!$C$2:$C$1006,$G822))</f>
        <v/>
      </c>
      <c r="L822" s="9" t="str">
        <f ca="1">IF($G822="","",INDEX(BASE_PRODUTOS!$E$2:$E$1006,$G822))</f>
        <v/>
      </c>
      <c r="M822" s="9" t="str">
        <f ca="1">IF($G822="","",INDEX(BASE_PRODUTOS!$F$2:$F$1006,$G822))</f>
        <v/>
      </c>
      <c r="N822" s="9" t="str">
        <f ca="1">IF($G822="","",INDEX(BASE_PRODUTOS!$G$2:$G$1006,$G822))</f>
        <v/>
      </c>
      <c r="O822" s="9" t="str">
        <f ca="1">IF($G822="","",INDEX(BASE_PRODUTOS!$H$2:$H$1006,$G822))</f>
        <v/>
      </c>
      <c r="P822" s="9" t="str">
        <f ca="1">IF($G822="","",INDEX(BASE_PRODUTOS!$I$2:$I$1006,$G822))</f>
        <v/>
      </c>
      <c r="Q822" s="9" t="str">
        <f ca="1">IF($G822="","",INDEX(BASE_PRODUTOS!$J$2:$J$1006,$G822))</f>
        <v/>
      </c>
      <c r="R822" s="9" t="str">
        <f ca="1">IF($G822="","",INDEX(BASE_PRODUTOS!$M$2:$M$1006,$G822))</f>
        <v/>
      </c>
      <c r="S822" s="9" t="str">
        <f ca="1">IF($G822="","",INDEX(BASE_PRODUTOS!$N$2:$N$1006,$G822))</f>
        <v/>
      </c>
      <c r="T822" s="9" t="str">
        <f ca="1">IF($G822="","",INDEX(BASE_PRODUTOS!$D$2:$D$1006,$G822))</f>
        <v/>
      </c>
    </row>
    <row r="823" spans="7:20" ht="18" customHeight="1" x14ac:dyDescent="0.35">
      <c r="G823" t="str">
        <f ca="1">IFERROR(_xludf.aggregate(15,6,(ROW(BASE_PRODUTOS!$L$2:$L$1006)-ROW(BASE_PRODUTOS!$L$2)+1)/(BASE_PRODUTOS!$L$2:$L$1006&gt;0),ROWS($G$10:G823)),"")</f>
        <v/>
      </c>
      <c r="H823" s="9" t="str">
        <f ca="1">IF($G823="","",INDEX(BASE_PRODUTOS!$B$2:$B$1006,$G823))</f>
        <v/>
      </c>
      <c r="I823" s="9" t="str">
        <f ca="1">IF($G823="","",INDEX(BASE_PRODUTOS!$L$2:$L$1006,$G823))</f>
        <v/>
      </c>
      <c r="J823" s="9" t="str">
        <f ca="1">IF($G823="","",INDEX(BASE_PRODUTOS!$A$2:$A$1006,$G823))</f>
        <v/>
      </c>
      <c r="K823" s="9" t="str">
        <f ca="1">IF($G823="","",INDEX(BASE_PRODUTOS!$C$2:$C$1006,$G823))</f>
        <v/>
      </c>
      <c r="L823" s="9" t="str">
        <f ca="1">IF($G823="","",INDEX(BASE_PRODUTOS!$E$2:$E$1006,$G823))</f>
        <v/>
      </c>
      <c r="M823" s="9" t="str">
        <f ca="1">IF($G823="","",INDEX(BASE_PRODUTOS!$F$2:$F$1006,$G823))</f>
        <v/>
      </c>
      <c r="N823" s="9" t="str">
        <f ca="1">IF($G823="","",INDEX(BASE_PRODUTOS!$G$2:$G$1006,$G823))</f>
        <v/>
      </c>
      <c r="O823" s="9" t="str">
        <f ca="1">IF($G823="","",INDEX(BASE_PRODUTOS!$H$2:$H$1006,$G823))</f>
        <v/>
      </c>
      <c r="P823" s="9" t="str">
        <f ca="1">IF($G823="","",INDEX(BASE_PRODUTOS!$I$2:$I$1006,$G823))</f>
        <v/>
      </c>
      <c r="Q823" s="9" t="str">
        <f ca="1">IF($G823="","",INDEX(BASE_PRODUTOS!$J$2:$J$1006,$G823))</f>
        <v/>
      </c>
      <c r="R823" s="9" t="str">
        <f ca="1">IF($G823="","",INDEX(BASE_PRODUTOS!$M$2:$M$1006,$G823))</f>
        <v/>
      </c>
      <c r="S823" s="9" t="str">
        <f ca="1">IF($G823="","",INDEX(BASE_PRODUTOS!$N$2:$N$1006,$G823))</f>
        <v/>
      </c>
      <c r="T823" s="9" t="str">
        <f ca="1">IF($G823="","",INDEX(BASE_PRODUTOS!$D$2:$D$1006,$G823))</f>
        <v/>
      </c>
    </row>
    <row r="824" spans="7:20" ht="18" customHeight="1" x14ac:dyDescent="0.35">
      <c r="G824" t="str">
        <f ca="1">IFERROR(_xludf.aggregate(15,6,(ROW(BASE_PRODUTOS!$L$2:$L$1006)-ROW(BASE_PRODUTOS!$L$2)+1)/(BASE_PRODUTOS!$L$2:$L$1006&gt;0),ROWS($G$10:G824)),"")</f>
        <v/>
      </c>
      <c r="H824" s="9" t="str">
        <f ca="1">IF($G824="","",INDEX(BASE_PRODUTOS!$B$2:$B$1006,$G824))</f>
        <v/>
      </c>
      <c r="I824" s="9" t="str">
        <f ca="1">IF($G824="","",INDEX(BASE_PRODUTOS!$L$2:$L$1006,$G824))</f>
        <v/>
      </c>
      <c r="J824" s="9" t="str">
        <f ca="1">IF($G824="","",INDEX(BASE_PRODUTOS!$A$2:$A$1006,$G824))</f>
        <v/>
      </c>
      <c r="K824" s="9" t="str">
        <f ca="1">IF($G824="","",INDEX(BASE_PRODUTOS!$C$2:$C$1006,$G824))</f>
        <v/>
      </c>
      <c r="L824" s="9" t="str">
        <f ca="1">IF($G824="","",INDEX(BASE_PRODUTOS!$E$2:$E$1006,$G824))</f>
        <v/>
      </c>
      <c r="M824" s="9" t="str">
        <f ca="1">IF($G824="","",INDEX(BASE_PRODUTOS!$F$2:$F$1006,$G824))</f>
        <v/>
      </c>
      <c r="N824" s="9" t="str">
        <f ca="1">IF($G824="","",INDEX(BASE_PRODUTOS!$G$2:$G$1006,$G824))</f>
        <v/>
      </c>
      <c r="O824" s="9" t="str">
        <f ca="1">IF($G824="","",INDEX(BASE_PRODUTOS!$H$2:$H$1006,$G824))</f>
        <v/>
      </c>
      <c r="P824" s="9" t="str">
        <f ca="1">IF($G824="","",INDEX(BASE_PRODUTOS!$I$2:$I$1006,$G824))</f>
        <v/>
      </c>
      <c r="Q824" s="9" t="str">
        <f ca="1">IF($G824="","",INDEX(BASE_PRODUTOS!$J$2:$J$1006,$G824))</f>
        <v/>
      </c>
      <c r="R824" s="9" t="str">
        <f ca="1">IF($G824="","",INDEX(BASE_PRODUTOS!$M$2:$M$1006,$G824))</f>
        <v/>
      </c>
      <c r="S824" s="9" t="str">
        <f ca="1">IF($G824="","",INDEX(BASE_PRODUTOS!$N$2:$N$1006,$G824))</f>
        <v/>
      </c>
      <c r="T824" s="9" t="str">
        <f ca="1">IF($G824="","",INDEX(BASE_PRODUTOS!$D$2:$D$1006,$G824))</f>
        <v/>
      </c>
    </row>
    <row r="825" spans="7:20" ht="18" customHeight="1" x14ac:dyDescent="0.35">
      <c r="G825" t="str">
        <f ca="1">IFERROR(_xludf.aggregate(15,6,(ROW(BASE_PRODUTOS!$L$2:$L$1006)-ROW(BASE_PRODUTOS!$L$2)+1)/(BASE_PRODUTOS!$L$2:$L$1006&gt;0),ROWS($G$10:G825)),"")</f>
        <v/>
      </c>
      <c r="H825" s="9" t="str">
        <f ca="1">IF($G825="","",INDEX(BASE_PRODUTOS!$B$2:$B$1006,$G825))</f>
        <v/>
      </c>
      <c r="I825" s="9" t="str">
        <f ca="1">IF($G825="","",INDEX(BASE_PRODUTOS!$L$2:$L$1006,$G825))</f>
        <v/>
      </c>
      <c r="J825" s="9" t="str">
        <f ca="1">IF($G825="","",INDEX(BASE_PRODUTOS!$A$2:$A$1006,$G825))</f>
        <v/>
      </c>
      <c r="K825" s="9" t="str">
        <f ca="1">IF($G825="","",INDEX(BASE_PRODUTOS!$C$2:$C$1006,$G825))</f>
        <v/>
      </c>
      <c r="L825" s="9" t="str">
        <f ca="1">IF($G825="","",INDEX(BASE_PRODUTOS!$E$2:$E$1006,$G825))</f>
        <v/>
      </c>
      <c r="M825" s="9" t="str">
        <f ca="1">IF($G825="","",INDEX(BASE_PRODUTOS!$F$2:$F$1006,$G825))</f>
        <v/>
      </c>
      <c r="N825" s="9" t="str">
        <f ca="1">IF($G825="","",INDEX(BASE_PRODUTOS!$G$2:$G$1006,$G825))</f>
        <v/>
      </c>
      <c r="O825" s="9" t="str">
        <f ca="1">IF($G825="","",INDEX(BASE_PRODUTOS!$H$2:$H$1006,$G825))</f>
        <v/>
      </c>
      <c r="P825" s="9" t="str">
        <f ca="1">IF($G825="","",INDEX(BASE_PRODUTOS!$I$2:$I$1006,$G825))</f>
        <v/>
      </c>
      <c r="Q825" s="9" t="str">
        <f ca="1">IF($G825="","",INDEX(BASE_PRODUTOS!$J$2:$J$1006,$G825))</f>
        <v/>
      </c>
      <c r="R825" s="9" t="str">
        <f ca="1">IF($G825="","",INDEX(BASE_PRODUTOS!$M$2:$M$1006,$G825))</f>
        <v/>
      </c>
      <c r="S825" s="9" t="str">
        <f ca="1">IF($G825="","",INDEX(BASE_PRODUTOS!$N$2:$N$1006,$G825))</f>
        <v/>
      </c>
      <c r="T825" s="9" t="str">
        <f ca="1">IF($G825="","",INDEX(BASE_PRODUTOS!$D$2:$D$1006,$G825))</f>
        <v/>
      </c>
    </row>
    <row r="826" spans="7:20" ht="18" customHeight="1" x14ac:dyDescent="0.35">
      <c r="G826" t="str">
        <f ca="1">IFERROR(_xludf.aggregate(15,6,(ROW(BASE_PRODUTOS!$L$2:$L$1006)-ROW(BASE_PRODUTOS!$L$2)+1)/(BASE_PRODUTOS!$L$2:$L$1006&gt;0),ROWS($G$10:G826)),"")</f>
        <v/>
      </c>
      <c r="H826" s="9" t="str">
        <f ca="1">IF($G826="","",INDEX(BASE_PRODUTOS!$B$2:$B$1006,$G826))</f>
        <v/>
      </c>
      <c r="I826" s="9" t="str">
        <f ca="1">IF($G826="","",INDEX(BASE_PRODUTOS!$L$2:$L$1006,$G826))</f>
        <v/>
      </c>
      <c r="J826" s="9" t="str">
        <f ca="1">IF($G826="","",INDEX(BASE_PRODUTOS!$A$2:$A$1006,$G826))</f>
        <v/>
      </c>
      <c r="K826" s="9" t="str">
        <f ca="1">IF($G826="","",INDEX(BASE_PRODUTOS!$C$2:$C$1006,$G826))</f>
        <v/>
      </c>
      <c r="L826" s="9" t="str">
        <f ca="1">IF($G826="","",INDEX(BASE_PRODUTOS!$E$2:$E$1006,$G826))</f>
        <v/>
      </c>
      <c r="M826" s="9" t="str">
        <f ca="1">IF($G826="","",INDEX(BASE_PRODUTOS!$F$2:$F$1006,$G826))</f>
        <v/>
      </c>
      <c r="N826" s="9" t="str">
        <f ca="1">IF($G826="","",INDEX(BASE_PRODUTOS!$G$2:$G$1006,$G826))</f>
        <v/>
      </c>
      <c r="O826" s="9" t="str">
        <f ca="1">IF($G826="","",INDEX(BASE_PRODUTOS!$H$2:$H$1006,$G826))</f>
        <v/>
      </c>
      <c r="P826" s="9" t="str">
        <f ca="1">IF($G826="","",INDEX(BASE_PRODUTOS!$I$2:$I$1006,$G826))</f>
        <v/>
      </c>
      <c r="Q826" s="9" t="str">
        <f ca="1">IF($G826="","",INDEX(BASE_PRODUTOS!$J$2:$J$1006,$G826))</f>
        <v/>
      </c>
      <c r="R826" s="9" t="str">
        <f ca="1">IF($G826="","",INDEX(BASE_PRODUTOS!$M$2:$M$1006,$G826))</f>
        <v/>
      </c>
      <c r="S826" s="9" t="str">
        <f ca="1">IF($G826="","",INDEX(BASE_PRODUTOS!$N$2:$N$1006,$G826))</f>
        <v/>
      </c>
      <c r="T826" s="9" t="str">
        <f ca="1">IF($G826="","",INDEX(BASE_PRODUTOS!$D$2:$D$1006,$G826))</f>
        <v/>
      </c>
    </row>
    <row r="827" spans="7:20" ht="18" customHeight="1" x14ac:dyDescent="0.35">
      <c r="G827" t="str">
        <f ca="1">IFERROR(_xludf.aggregate(15,6,(ROW(BASE_PRODUTOS!$L$2:$L$1006)-ROW(BASE_PRODUTOS!$L$2)+1)/(BASE_PRODUTOS!$L$2:$L$1006&gt;0),ROWS($G$10:G827)),"")</f>
        <v/>
      </c>
      <c r="H827" s="9" t="str">
        <f ca="1">IF($G827="","",INDEX(BASE_PRODUTOS!$B$2:$B$1006,$G827))</f>
        <v/>
      </c>
      <c r="I827" s="9" t="str">
        <f ca="1">IF($G827="","",INDEX(BASE_PRODUTOS!$L$2:$L$1006,$G827))</f>
        <v/>
      </c>
      <c r="J827" s="9" t="str">
        <f ca="1">IF($G827="","",INDEX(BASE_PRODUTOS!$A$2:$A$1006,$G827))</f>
        <v/>
      </c>
      <c r="K827" s="9" t="str">
        <f ca="1">IF($G827="","",INDEX(BASE_PRODUTOS!$C$2:$C$1006,$G827))</f>
        <v/>
      </c>
      <c r="L827" s="9" t="str">
        <f ca="1">IF($G827="","",INDEX(BASE_PRODUTOS!$E$2:$E$1006,$G827))</f>
        <v/>
      </c>
      <c r="M827" s="9" t="str">
        <f ca="1">IF($G827="","",INDEX(BASE_PRODUTOS!$F$2:$F$1006,$G827))</f>
        <v/>
      </c>
      <c r="N827" s="9" t="str">
        <f ca="1">IF($G827="","",INDEX(BASE_PRODUTOS!$G$2:$G$1006,$G827))</f>
        <v/>
      </c>
      <c r="O827" s="9" t="str">
        <f ca="1">IF($G827="","",INDEX(BASE_PRODUTOS!$H$2:$H$1006,$G827))</f>
        <v/>
      </c>
      <c r="P827" s="9" t="str">
        <f ca="1">IF($G827="","",INDEX(BASE_PRODUTOS!$I$2:$I$1006,$G827))</f>
        <v/>
      </c>
      <c r="Q827" s="9" t="str">
        <f ca="1">IF($G827="","",INDEX(BASE_PRODUTOS!$J$2:$J$1006,$G827))</f>
        <v/>
      </c>
      <c r="R827" s="9" t="str">
        <f ca="1">IF($G827="","",INDEX(BASE_PRODUTOS!$M$2:$M$1006,$G827))</f>
        <v/>
      </c>
      <c r="S827" s="9" t="str">
        <f ca="1">IF($G827="","",INDEX(BASE_PRODUTOS!$N$2:$N$1006,$G827))</f>
        <v/>
      </c>
      <c r="T827" s="9" t="str">
        <f ca="1">IF($G827="","",INDEX(BASE_PRODUTOS!$D$2:$D$1006,$G827))</f>
        <v/>
      </c>
    </row>
    <row r="828" spans="7:20" ht="18" customHeight="1" x14ac:dyDescent="0.35">
      <c r="G828" t="str">
        <f ca="1">IFERROR(_xludf.aggregate(15,6,(ROW(BASE_PRODUTOS!$L$2:$L$1006)-ROW(BASE_PRODUTOS!$L$2)+1)/(BASE_PRODUTOS!$L$2:$L$1006&gt;0),ROWS($G$10:G828)),"")</f>
        <v/>
      </c>
      <c r="H828" s="9" t="str">
        <f ca="1">IF($G828="","",INDEX(BASE_PRODUTOS!$B$2:$B$1006,$G828))</f>
        <v/>
      </c>
      <c r="I828" s="9" t="str">
        <f ca="1">IF($G828="","",INDEX(BASE_PRODUTOS!$L$2:$L$1006,$G828))</f>
        <v/>
      </c>
      <c r="J828" s="9" t="str">
        <f ca="1">IF($G828="","",INDEX(BASE_PRODUTOS!$A$2:$A$1006,$G828))</f>
        <v/>
      </c>
      <c r="K828" s="9" t="str">
        <f ca="1">IF($G828="","",INDEX(BASE_PRODUTOS!$C$2:$C$1006,$G828))</f>
        <v/>
      </c>
      <c r="L828" s="9" t="str">
        <f ca="1">IF($G828="","",INDEX(BASE_PRODUTOS!$E$2:$E$1006,$G828))</f>
        <v/>
      </c>
      <c r="M828" s="9" t="str">
        <f ca="1">IF($G828="","",INDEX(BASE_PRODUTOS!$F$2:$F$1006,$G828))</f>
        <v/>
      </c>
      <c r="N828" s="9" t="str">
        <f ca="1">IF($G828="","",INDEX(BASE_PRODUTOS!$G$2:$G$1006,$G828))</f>
        <v/>
      </c>
      <c r="O828" s="9" t="str">
        <f ca="1">IF($G828="","",INDEX(BASE_PRODUTOS!$H$2:$H$1006,$G828))</f>
        <v/>
      </c>
      <c r="P828" s="9" t="str">
        <f ca="1">IF($G828="","",INDEX(BASE_PRODUTOS!$I$2:$I$1006,$G828))</f>
        <v/>
      </c>
      <c r="Q828" s="9" t="str">
        <f ca="1">IF($G828="","",INDEX(BASE_PRODUTOS!$J$2:$J$1006,$G828))</f>
        <v/>
      </c>
      <c r="R828" s="9" t="str">
        <f ca="1">IF($G828="","",INDEX(BASE_PRODUTOS!$M$2:$M$1006,$G828))</f>
        <v/>
      </c>
      <c r="S828" s="9" t="str">
        <f ca="1">IF($G828="","",INDEX(BASE_PRODUTOS!$N$2:$N$1006,$G828))</f>
        <v/>
      </c>
      <c r="T828" s="9" t="str">
        <f ca="1">IF($G828="","",INDEX(BASE_PRODUTOS!$D$2:$D$1006,$G828))</f>
        <v/>
      </c>
    </row>
    <row r="829" spans="7:20" ht="18" customHeight="1" x14ac:dyDescent="0.35">
      <c r="G829" t="str">
        <f ca="1">IFERROR(_xludf.aggregate(15,6,(ROW(BASE_PRODUTOS!$L$2:$L$1006)-ROW(BASE_PRODUTOS!$L$2)+1)/(BASE_PRODUTOS!$L$2:$L$1006&gt;0),ROWS($G$10:G829)),"")</f>
        <v/>
      </c>
      <c r="H829" s="9" t="str">
        <f ca="1">IF($G829="","",INDEX(BASE_PRODUTOS!$B$2:$B$1006,$G829))</f>
        <v/>
      </c>
      <c r="I829" s="9" t="str">
        <f ca="1">IF($G829="","",INDEX(BASE_PRODUTOS!$L$2:$L$1006,$G829))</f>
        <v/>
      </c>
      <c r="J829" s="9" t="str">
        <f ca="1">IF($G829="","",INDEX(BASE_PRODUTOS!$A$2:$A$1006,$G829))</f>
        <v/>
      </c>
      <c r="K829" s="9" t="str">
        <f ca="1">IF($G829="","",INDEX(BASE_PRODUTOS!$C$2:$C$1006,$G829))</f>
        <v/>
      </c>
      <c r="L829" s="9" t="str">
        <f ca="1">IF($G829="","",INDEX(BASE_PRODUTOS!$E$2:$E$1006,$G829))</f>
        <v/>
      </c>
      <c r="M829" s="9" t="str">
        <f ca="1">IF($G829="","",INDEX(BASE_PRODUTOS!$F$2:$F$1006,$G829))</f>
        <v/>
      </c>
      <c r="N829" s="9" t="str">
        <f ca="1">IF($G829="","",INDEX(BASE_PRODUTOS!$G$2:$G$1006,$G829))</f>
        <v/>
      </c>
      <c r="O829" s="9" t="str">
        <f ca="1">IF($G829="","",INDEX(BASE_PRODUTOS!$H$2:$H$1006,$G829))</f>
        <v/>
      </c>
      <c r="P829" s="9" t="str">
        <f ca="1">IF($G829="","",INDEX(BASE_PRODUTOS!$I$2:$I$1006,$G829))</f>
        <v/>
      </c>
      <c r="Q829" s="9" t="str">
        <f ca="1">IF($G829="","",INDEX(BASE_PRODUTOS!$J$2:$J$1006,$G829))</f>
        <v/>
      </c>
      <c r="R829" s="9" t="str">
        <f ca="1">IF($G829="","",INDEX(BASE_PRODUTOS!$M$2:$M$1006,$G829))</f>
        <v/>
      </c>
      <c r="S829" s="9" t="str">
        <f ca="1">IF($G829="","",INDEX(BASE_PRODUTOS!$N$2:$N$1006,$G829))</f>
        <v/>
      </c>
      <c r="T829" s="9" t="str">
        <f ca="1">IF($G829="","",INDEX(BASE_PRODUTOS!$D$2:$D$1006,$G829))</f>
        <v/>
      </c>
    </row>
    <row r="830" spans="7:20" ht="18" customHeight="1" x14ac:dyDescent="0.35">
      <c r="G830" t="str">
        <f ca="1">IFERROR(_xludf.aggregate(15,6,(ROW(BASE_PRODUTOS!$L$2:$L$1006)-ROW(BASE_PRODUTOS!$L$2)+1)/(BASE_PRODUTOS!$L$2:$L$1006&gt;0),ROWS($G$10:G830)),"")</f>
        <v/>
      </c>
      <c r="H830" s="9" t="str">
        <f ca="1">IF($G830="","",INDEX(BASE_PRODUTOS!$B$2:$B$1006,$G830))</f>
        <v/>
      </c>
      <c r="I830" s="9" t="str">
        <f ca="1">IF($G830="","",INDEX(BASE_PRODUTOS!$L$2:$L$1006,$G830))</f>
        <v/>
      </c>
      <c r="J830" s="9" t="str">
        <f ca="1">IF($G830="","",INDEX(BASE_PRODUTOS!$A$2:$A$1006,$G830))</f>
        <v/>
      </c>
      <c r="K830" s="9" t="str">
        <f ca="1">IF($G830="","",INDEX(BASE_PRODUTOS!$C$2:$C$1006,$G830))</f>
        <v/>
      </c>
      <c r="L830" s="9" t="str">
        <f ca="1">IF($G830="","",INDEX(BASE_PRODUTOS!$E$2:$E$1006,$G830))</f>
        <v/>
      </c>
      <c r="M830" s="9" t="str">
        <f ca="1">IF($G830="","",INDEX(BASE_PRODUTOS!$F$2:$F$1006,$G830))</f>
        <v/>
      </c>
      <c r="N830" s="9" t="str">
        <f ca="1">IF($G830="","",INDEX(BASE_PRODUTOS!$G$2:$G$1006,$G830))</f>
        <v/>
      </c>
      <c r="O830" s="9" t="str">
        <f ca="1">IF($G830="","",INDEX(BASE_PRODUTOS!$H$2:$H$1006,$G830))</f>
        <v/>
      </c>
      <c r="P830" s="9" t="str">
        <f ca="1">IF($G830="","",INDEX(BASE_PRODUTOS!$I$2:$I$1006,$G830))</f>
        <v/>
      </c>
      <c r="Q830" s="9" t="str">
        <f ca="1">IF($G830="","",INDEX(BASE_PRODUTOS!$J$2:$J$1006,$G830))</f>
        <v/>
      </c>
      <c r="R830" s="9" t="str">
        <f ca="1">IF($G830="","",INDEX(BASE_PRODUTOS!$M$2:$M$1006,$G830))</f>
        <v/>
      </c>
      <c r="S830" s="9" t="str">
        <f ca="1">IF($G830="","",INDEX(BASE_PRODUTOS!$N$2:$N$1006,$G830))</f>
        <v/>
      </c>
      <c r="T830" s="9" t="str">
        <f ca="1">IF($G830="","",INDEX(BASE_PRODUTOS!$D$2:$D$1006,$G830))</f>
        <v/>
      </c>
    </row>
    <row r="831" spans="7:20" ht="18" customHeight="1" x14ac:dyDescent="0.35">
      <c r="G831" t="str">
        <f ca="1">IFERROR(_xludf.aggregate(15,6,(ROW(BASE_PRODUTOS!$L$2:$L$1006)-ROW(BASE_PRODUTOS!$L$2)+1)/(BASE_PRODUTOS!$L$2:$L$1006&gt;0),ROWS($G$10:G831)),"")</f>
        <v/>
      </c>
      <c r="H831" s="9" t="str">
        <f ca="1">IF($G831="","",INDEX(BASE_PRODUTOS!$B$2:$B$1006,$G831))</f>
        <v/>
      </c>
      <c r="I831" s="9" t="str">
        <f ca="1">IF($G831="","",INDEX(BASE_PRODUTOS!$L$2:$L$1006,$G831))</f>
        <v/>
      </c>
      <c r="J831" s="9" t="str">
        <f ca="1">IF($G831="","",INDEX(BASE_PRODUTOS!$A$2:$A$1006,$G831))</f>
        <v/>
      </c>
      <c r="K831" s="9" t="str">
        <f ca="1">IF($G831="","",INDEX(BASE_PRODUTOS!$C$2:$C$1006,$G831))</f>
        <v/>
      </c>
      <c r="L831" s="9" t="str">
        <f ca="1">IF($G831="","",INDEX(BASE_PRODUTOS!$E$2:$E$1006,$G831))</f>
        <v/>
      </c>
      <c r="M831" s="9" t="str">
        <f ca="1">IF($G831="","",INDEX(BASE_PRODUTOS!$F$2:$F$1006,$G831))</f>
        <v/>
      </c>
      <c r="N831" s="9" t="str">
        <f ca="1">IF($G831="","",INDEX(BASE_PRODUTOS!$G$2:$G$1006,$G831))</f>
        <v/>
      </c>
      <c r="O831" s="9" t="str">
        <f ca="1">IF($G831="","",INDEX(BASE_PRODUTOS!$H$2:$H$1006,$G831))</f>
        <v/>
      </c>
      <c r="P831" s="9" t="str">
        <f ca="1">IF($G831="","",INDEX(BASE_PRODUTOS!$I$2:$I$1006,$G831))</f>
        <v/>
      </c>
      <c r="Q831" s="9" t="str">
        <f ca="1">IF($G831="","",INDEX(BASE_PRODUTOS!$J$2:$J$1006,$G831))</f>
        <v/>
      </c>
      <c r="R831" s="9" t="str">
        <f ca="1">IF($G831="","",INDEX(BASE_PRODUTOS!$M$2:$M$1006,$G831))</f>
        <v/>
      </c>
      <c r="S831" s="9" t="str">
        <f ca="1">IF($G831="","",INDEX(BASE_PRODUTOS!$N$2:$N$1006,$G831))</f>
        <v/>
      </c>
      <c r="T831" s="9" t="str">
        <f ca="1">IF($G831="","",INDEX(BASE_PRODUTOS!$D$2:$D$1006,$G831))</f>
        <v/>
      </c>
    </row>
    <row r="832" spans="7:20" ht="18" customHeight="1" x14ac:dyDescent="0.35">
      <c r="G832" t="str">
        <f ca="1">IFERROR(_xludf.aggregate(15,6,(ROW(BASE_PRODUTOS!$L$2:$L$1006)-ROW(BASE_PRODUTOS!$L$2)+1)/(BASE_PRODUTOS!$L$2:$L$1006&gt;0),ROWS($G$10:G832)),"")</f>
        <v/>
      </c>
      <c r="H832" s="9" t="str">
        <f ca="1">IF($G832="","",INDEX(BASE_PRODUTOS!$B$2:$B$1006,$G832))</f>
        <v/>
      </c>
      <c r="I832" s="9" t="str">
        <f ca="1">IF($G832="","",INDEX(BASE_PRODUTOS!$L$2:$L$1006,$G832))</f>
        <v/>
      </c>
      <c r="J832" s="9" t="str">
        <f ca="1">IF($G832="","",INDEX(BASE_PRODUTOS!$A$2:$A$1006,$G832))</f>
        <v/>
      </c>
      <c r="K832" s="9" t="str">
        <f ca="1">IF($G832="","",INDEX(BASE_PRODUTOS!$C$2:$C$1006,$G832))</f>
        <v/>
      </c>
      <c r="L832" s="9" t="str">
        <f ca="1">IF($G832="","",INDEX(BASE_PRODUTOS!$E$2:$E$1006,$G832))</f>
        <v/>
      </c>
      <c r="M832" s="9" t="str">
        <f ca="1">IF($G832="","",INDEX(BASE_PRODUTOS!$F$2:$F$1006,$G832))</f>
        <v/>
      </c>
      <c r="N832" s="9" t="str">
        <f ca="1">IF($G832="","",INDEX(BASE_PRODUTOS!$G$2:$G$1006,$G832))</f>
        <v/>
      </c>
      <c r="O832" s="9" t="str">
        <f ca="1">IF($G832="","",INDEX(BASE_PRODUTOS!$H$2:$H$1006,$G832))</f>
        <v/>
      </c>
      <c r="P832" s="9" t="str">
        <f ca="1">IF($G832="","",INDEX(BASE_PRODUTOS!$I$2:$I$1006,$G832))</f>
        <v/>
      </c>
      <c r="Q832" s="9" t="str">
        <f ca="1">IF($G832="","",INDEX(BASE_PRODUTOS!$J$2:$J$1006,$G832))</f>
        <v/>
      </c>
      <c r="R832" s="9" t="str">
        <f ca="1">IF($G832="","",INDEX(BASE_PRODUTOS!$M$2:$M$1006,$G832))</f>
        <v/>
      </c>
      <c r="S832" s="9" t="str">
        <f ca="1">IF($G832="","",INDEX(BASE_PRODUTOS!$N$2:$N$1006,$G832))</f>
        <v/>
      </c>
      <c r="T832" s="9" t="str">
        <f ca="1">IF($G832="","",INDEX(BASE_PRODUTOS!$D$2:$D$1006,$G832))</f>
        <v/>
      </c>
    </row>
    <row r="833" spans="7:20" ht="18" customHeight="1" x14ac:dyDescent="0.35">
      <c r="G833" t="str">
        <f ca="1">IFERROR(_xludf.aggregate(15,6,(ROW(BASE_PRODUTOS!$L$2:$L$1006)-ROW(BASE_PRODUTOS!$L$2)+1)/(BASE_PRODUTOS!$L$2:$L$1006&gt;0),ROWS($G$10:G833)),"")</f>
        <v/>
      </c>
      <c r="H833" s="9" t="str">
        <f ca="1">IF($G833="","",INDEX(BASE_PRODUTOS!$B$2:$B$1006,$G833))</f>
        <v/>
      </c>
      <c r="I833" s="9" t="str">
        <f ca="1">IF($G833="","",INDEX(BASE_PRODUTOS!$L$2:$L$1006,$G833))</f>
        <v/>
      </c>
      <c r="J833" s="9" t="str">
        <f ca="1">IF($G833="","",INDEX(BASE_PRODUTOS!$A$2:$A$1006,$G833))</f>
        <v/>
      </c>
      <c r="K833" s="9" t="str">
        <f ca="1">IF($G833="","",INDEX(BASE_PRODUTOS!$C$2:$C$1006,$G833))</f>
        <v/>
      </c>
      <c r="L833" s="9" t="str">
        <f ca="1">IF($G833="","",INDEX(BASE_PRODUTOS!$E$2:$E$1006,$G833))</f>
        <v/>
      </c>
      <c r="M833" s="9" t="str">
        <f ca="1">IF($G833="","",INDEX(BASE_PRODUTOS!$F$2:$F$1006,$G833))</f>
        <v/>
      </c>
      <c r="N833" s="9" t="str">
        <f ca="1">IF($G833="","",INDEX(BASE_PRODUTOS!$G$2:$G$1006,$G833))</f>
        <v/>
      </c>
      <c r="O833" s="9" t="str">
        <f ca="1">IF($G833="","",INDEX(BASE_PRODUTOS!$H$2:$H$1006,$G833))</f>
        <v/>
      </c>
      <c r="P833" s="9" t="str">
        <f ca="1">IF($G833="","",INDEX(BASE_PRODUTOS!$I$2:$I$1006,$G833))</f>
        <v/>
      </c>
      <c r="Q833" s="9" t="str">
        <f ca="1">IF($G833="","",INDEX(BASE_PRODUTOS!$J$2:$J$1006,$G833))</f>
        <v/>
      </c>
      <c r="R833" s="9" t="str">
        <f ca="1">IF($G833="","",INDEX(BASE_PRODUTOS!$M$2:$M$1006,$G833))</f>
        <v/>
      </c>
      <c r="S833" s="9" t="str">
        <f ca="1">IF($G833="","",INDEX(BASE_PRODUTOS!$N$2:$N$1006,$G833))</f>
        <v/>
      </c>
      <c r="T833" s="9" t="str">
        <f ca="1">IF($G833="","",INDEX(BASE_PRODUTOS!$D$2:$D$1006,$G833))</f>
        <v/>
      </c>
    </row>
    <row r="834" spans="7:20" ht="18" customHeight="1" x14ac:dyDescent="0.35">
      <c r="G834" t="str">
        <f ca="1">IFERROR(_xludf.aggregate(15,6,(ROW(BASE_PRODUTOS!$L$2:$L$1006)-ROW(BASE_PRODUTOS!$L$2)+1)/(BASE_PRODUTOS!$L$2:$L$1006&gt;0),ROWS($G$10:G834)),"")</f>
        <v/>
      </c>
      <c r="H834" s="9" t="str">
        <f ca="1">IF($G834="","",INDEX(BASE_PRODUTOS!$B$2:$B$1006,$G834))</f>
        <v/>
      </c>
      <c r="I834" s="9" t="str">
        <f ca="1">IF($G834="","",INDEX(BASE_PRODUTOS!$L$2:$L$1006,$G834))</f>
        <v/>
      </c>
      <c r="J834" s="9" t="str">
        <f ca="1">IF($G834="","",INDEX(BASE_PRODUTOS!$A$2:$A$1006,$G834))</f>
        <v/>
      </c>
      <c r="K834" s="9" t="str">
        <f ca="1">IF($G834="","",INDEX(BASE_PRODUTOS!$C$2:$C$1006,$G834))</f>
        <v/>
      </c>
      <c r="L834" s="9" t="str">
        <f ca="1">IF($G834="","",INDEX(BASE_PRODUTOS!$E$2:$E$1006,$G834))</f>
        <v/>
      </c>
      <c r="M834" s="9" t="str">
        <f ca="1">IF($G834="","",INDEX(BASE_PRODUTOS!$F$2:$F$1006,$G834))</f>
        <v/>
      </c>
      <c r="N834" s="9" t="str">
        <f ca="1">IF($G834="","",INDEX(BASE_PRODUTOS!$G$2:$G$1006,$G834))</f>
        <v/>
      </c>
      <c r="O834" s="9" t="str">
        <f ca="1">IF($G834="","",INDEX(BASE_PRODUTOS!$H$2:$H$1006,$G834))</f>
        <v/>
      </c>
      <c r="P834" s="9" t="str">
        <f ca="1">IF($G834="","",INDEX(BASE_PRODUTOS!$I$2:$I$1006,$G834))</f>
        <v/>
      </c>
      <c r="Q834" s="9" t="str">
        <f ca="1">IF($G834="","",INDEX(BASE_PRODUTOS!$J$2:$J$1006,$G834))</f>
        <v/>
      </c>
      <c r="R834" s="9" t="str">
        <f ca="1">IF($G834="","",INDEX(BASE_PRODUTOS!$M$2:$M$1006,$G834))</f>
        <v/>
      </c>
      <c r="S834" s="9" t="str">
        <f ca="1">IF($G834="","",INDEX(BASE_PRODUTOS!$N$2:$N$1006,$G834))</f>
        <v/>
      </c>
      <c r="T834" s="9" t="str">
        <f ca="1">IF($G834="","",INDEX(BASE_PRODUTOS!$D$2:$D$1006,$G834))</f>
        <v/>
      </c>
    </row>
    <row r="835" spans="7:20" ht="18" customHeight="1" x14ac:dyDescent="0.35">
      <c r="G835" t="str">
        <f ca="1">IFERROR(_xludf.aggregate(15,6,(ROW(BASE_PRODUTOS!$L$2:$L$1006)-ROW(BASE_PRODUTOS!$L$2)+1)/(BASE_PRODUTOS!$L$2:$L$1006&gt;0),ROWS($G$10:G835)),"")</f>
        <v/>
      </c>
      <c r="H835" s="9" t="str">
        <f ca="1">IF($G835="","",INDEX(BASE_PRODUTOS!$B$2:$B$1006,$G835))</f>
        <v/>
      </c>
      <c r="I835" s="9" t="str">
        <f ca="1">IF($G835="","",INDEX(BASE_PRODUTOS!$L$2:$L$1006,$G835))</f>
        <v/>
      </c>
      <c r="J835" s="9" t="str">
        <f ca="1">IF($G835="","",INDEX(BASE_PRODUTOS!$A$2:$A$1006,$G835))</f>
        <v/>
      </c>
      <c r="K835" s="9" t="str">
        <f ca="1">IF($G835="","",INDEX(BASE_PRODUTOS!$C$2:$C$1006,$G835))</f>
        <v/>
      </c>
      <c r="L835" s="9" t="str">
        <f ca="1">IF($G835="","",INDEX(BASE_PRODUTOS!$E$2:$E$1006,$G835))</f>
        <v/>
      </c>
      <c r="M835" s="9" t="str">
        <f ca="1">IF($G835="","",INDEX(BASE_PRODUTOS!$F$2:$F$1006,$G835))</f>
        <v/>
      </c>
      <c r="N835" s="9" t="str">
        <f ca="1">IF($G835="","",INDEX(BASE_PRODUTOS!$G$2:$G$1006,$G835))</f>
        <v/>
      </c>
      <c r="O835" s="9" t="str">
        <f ca="1">IF($G835="","",INDEX(BASE_PRODUTOS!$H$2:$H$1006,$G835))</f>
        <v/>
      </c>
      <c r="P835" s="9" t="str">
        <f ca="1">IF($G835="","",INDEX(BASE_PRODUTOS!$I$2:$I$1006,$G835))</f>
        <v/>
      </c>
      <c r="Q835" s="9" t="str">
        <f ca="1">IF($G835="","",INDEX(BASE_PRODUTOS!$J$2:$J$1006,$G835))</f>
        <v/>
      </c>
      <c r="R835" s="9" t="str">
        <f ca="1">IF($G835="","",INDEX(BASE_PRODUTOS!$M$2:$M$1006,$G835))</f>
        <v/>
      </c>
      <c r="S835" s="9" t="str">
        <f ca="1">IF($G835="","",INDEX(BASE_PRODUTOS!$N$2:$N$1006,$G835))</f>
        <v/>
      </c>
      <c r="T835" s="9" t="str">
        <f ca="1">IF($G835="","",INDEX(BASE_PRODUTOS!$D$2:$D$1006,$G835))</f>
        <v/>
      </c>
    </row>
    <row r="836" spans="7:20" ht="18" customHeight="1" x14ac:dyDescent="0.35">
      <c r="G836" t="str">
        <f ca="1">IFERROR(_xludf.aggregate(15,6,(ROW(BASE_PRODUTOS!$L$2:$L$1006)-ROW(BASE_PRODUTOS!$L$2)+1)/(BASE_PRODUTOS!$L$2:$L$1006&gt;0),ROWS($G$10:G836)),"")</f>
        <v/>
      </c>
      <c r="H836" s="9" t="str">
        <f ca="1">IF($G836="","",INDEX(BASE_PRODUTOS!$B$2:$B$1006,$G836))</f>
        <v/>
      </c>
      <c r="I836" s="9" t="str">
        <f ca="1">IF($G836="","",INDEX(BASE_PRODUTOS!$L$2:$L$1006,$G836))</f>
        <v/>
      </c>
      <c r="J836" s="9" t="str">
        <f ca="1">IF($G836="","",INDEX(BASE_PRODUTOS!$A$2:$A$1006,$G836))</f>
        <v/>
      </c>
      <c r="K836" s="9" t="str">
        <f ca="1">IF($G836="","",INDEX(BASE_PRODUTOS!$C$2:$C$1006,$G836))</f>
        <v/>
      </c>
      <c r="L836" s="9" t="str">
        <f ca="1">IF($G836="","",INDEX(BASE_PRODUTOS!$E$2:$E$1006,$G836))</f>
        <v/>
      </c>
      <c r="M836" s="9" t="str">
        <f ca="1">IF($G836="","",INDEX(BASE_PRODUTOS!$F$2:$F$1006,$G836))</f>
        <v/>
      </c>
      <c r="N836" s="9" t="str">
        <f ca="1">IF($G836="","",INDEX(BASE_PRODUTOS!$G$2:$G$1006,$G836))</f>
        <v/>
      </c>
      <c r="O836" s="9" t="str">
        <f ca="1">IF($G836="","",INDEX(BASE_PRODUTOS!$H$2:$H$1006,$G836))</f>
        <v/>
      </c>
      <c r="P836" s="9" t="str">
        <f ca="1">IF($G836="","",INDEX(BASE_PRODUTOS!$I$2:$I$1006,$G836))</f>
        <v/>
      </c>
      <c r="Q836" s="9" t="str">
        <f ca="1">IF($G836="","",INDEX(BASE_PRODUTOS!$J$2:$J$1006,$G836))</f>
        <v/>
      </c>
      <c r="R836" s="9" t="str">
        <f ca="1">IF($G836="","",INDEX(BASE_PRODUTOS!$M$2:$M$1006,$G836))</f>
        <v/>
      </c>
      <c r="S836" s="9" t="str">
        <f ca="1">IF($G836="","",INDEX(BASE_PRODUTOS!$N$2:$N$1006,$G836))</f>
        <v/>
      </c>
      <c r="T836" s="9" t="str">
        <f ca="1">IF($G836="","",INDEX(BASE_PRODUTOS!$D$2:$D$1006,$G836))</f>
        <v/>
      </c>
    </row>
    <row r="837" spans="7:20" ht="18" customHeight="1" x14ac:dyDescent="0.35">
      <c r="G837" t="str">
        <f ca="1">IFERROR(_xludf.aggregate(15,6,(ROW(BASE_PRODUTOS!$L$2:$L$1006)-ROW(BASE_PRODUTOS!$L$2)+1)/(BASE_PRODUTOS!$L$2:$L$1006&gt;0),ROWS($G$10:G837)),"")</f>
        <v/>
      </c>
      <c r="H837" s="9" t="str">
        <f ca="1">IF($G837="","",INDEX(BASE_PRODUTOS!$B$2:$B$1006,$G837))</f>
        <v/>
      </c>
      <c r="I837" s="9" t="str">
        <f ca="1">IF($G837="","",INDEX(BASE_PRODUTOS!$L$2:$L$1006,$G837))</f>
        <v/>
      </c>
      <c r="J837" s="9" t="str">
        <f ca="1">IF($G837="","",INDEX(BASE_PRODUTOS!$A$2:$A$1006,$G837))</f>
        <v/>
      </c>
      <c r="K837" s="9" t="str">
        <f ca="1">IF($G837="","",INDEX(BASE_PRODUTOS!$C$2:$C$1006,$G837))</f>
        <v/>
      </c>
      <c r="L837" s="9" t="str">
        <f ca="1">IF($G837="","",INDEX(BASE_PRODUTOS!$E$2:$E$1006,$G837))</f>
        <v/>
      </c>
      <c r="M837" s="9" t="str">
        <f ca="1">IF($G837="","",INDEX(BASE_PRODUTOS!$F$2:$F$1006,$G837))</f>
        <v/>
      </c>
      <c r="N837" s="9" t="str">
        <f ca="1">IF($G837="","",INDEX(BASE_PRODUTOS!$G$2:$G$1006,$G837))</f>
        <v/>
      </c>
      <c r="O837" s="9" t="str">
        <f ca="1">IF($G837="","",INDEX(BASE_PRODUTOS!$H$2:$H$1006,$G837))</f>
        <v/>
      </c>
      <c r="P837" s="9" t="str">
        <f ca="1">IF($G837="","",INDEX(BASE_PRODUTOS!$I$2:$I$1006,$G837))</f>
        <v/>
      </c>
      <c r="Q837" s="9" t="str">
        <f ca="1">IF($G837="","",INDEX(BASE_PRODUTOS!$J$2:$J$1006,$G837))</f>
        <v/>
      </c>
      <c r="R837" s="9" t="str">
        <f ca="1">IF($G837="","",INDEX(BASE_PRODUTOS!$M$2:$M$1006,$G837))</f>
        <v/>
      </c>
      <c r="S837" s="9" t="str">
        <f ca="1">IF($G837="","",INDEX(BASE_PRODUTOS!$N$2:$N$1006,$G837))</f>
        <v/>
      </c>
      <c r="T837" s="9" t="str">
        <f ca="1">IF($G837="","",INDEX(BASE_PRODUTOS!$D$2:$D$1006,$G837))</f>
        <v/>
      </c>
    </row>
    <row r="838" spans="7:20" ht="18" customHeight="1" x14ac:dyDescent="0.35">
      <c r="G838" t="str">
        <f ca="1">IFERROR(_xludf.aggregate(15,6,(ROW(BASE_PRODUTOS!$L$2:$L$1006)-ROW(BASE_PRODUTOS!$L$2)+1)/(BASE_PRODUTOS!$L$2:$L$1006&gt;0),ROWS($G$10:G838)),"")</f>
        <v/>
      </c>
      <c r="H838" s="9" t="str">
        <f ca="1">IF($G838="","",INDEX(BASE_PRODUTOS!$B$2:$B$1006,$G838))</f>
        <v/>
      </c>
      <c r="I838" s="9" t="str">
        <f ca="1">IF($G838="","",INDEX(BASE_PRODUTOS!$L$2:$L$1006,$G838))</f>
        <v/>
      </c>
      <c r="J838" s="9" t="str">
        <f ca="1">IF($G838="","",INDEX(BASE_PRODUTOS!$A$2:$A$1006,$G838))</f>
        <v/>
      </c>
      <c r="K838" s="9" t="str">
        <f ca="1">IF($G838="","",INDEX(BASE_PRODUTOS!$C$2:$C$1006,$G838))</f>
        <v/>
      </c>
      <c r="L838" s="9" t="str">
        <f ca="1">IF($G838="","",INDEX(BASE_PRODUTOS!$E$2:$E$1006,$G838))</f>
        <v/>
      </c>
      <c r="M838" s="9" t="str">
        <f ca="1">IF($G838="","",INDEX(BASE_PRODUTOS!$F$2:$F$1006,$G838))</f>
        <v/>
      </c>
      <c r="N838" s="9" t="str">
        <f ca="1">IF($G838="","",INDEX(BASE_PRODUTOS!$G$2:$G$1006,$G838))</f>
        <v/>
      </c>
      <c r="O838" s="9" t="str">
        <f ca="1">IF($G838="","",INDEX(BASE_PRODUTOS!$H$2:$H$1006,$G838))</f>
        <v/>
      </c>
      <c r="P838" s="9" t="str">
        <f ca="1">IF($G838="","",INDEX(BASE_PRODUTOS!$I$2:$I$1006,$G838))</f>
        <v/>
      </c>
      <c r="Q838" s="9" t="str">
        <f ca="1">IF($G838="","",INDEX(BASE_PRODUTOS!$J$2:$J$1006,$G838))</f>
        <v/>
      </c>
      <c r="R838" s="9" t="str">
        <f ca="1">IF($G838="","",INDEX(BASE_PRODUTOS!$M$2:$M$1006,$G838))</f>
        <v/>
      </c>
      <c r="S838" s="9" t="str">
        <f ca="1">IF($G838="","",INDEX(BASE_PRODUTOS!$N$2:$N$1006,$G838))</f>
        <v/>
      </c>
      <c r="T838" s="9" t="str">
        <f ca="1">IF($G838="","",INDEX(BASE_PRODUTOS!$D$2:$D$1006,$G838))</f>
        <v/>
      </c>
    </row>
    <row r="839" spans="7:20" ht="18" customHeight="1" x14ac:dyDescent="0.35">
      <c r="G839" t="str">
        <f ca="1">IFERROR(_xludf.aggregate(15,6,(ROW(BASE_PRODUTOS!$L$2:$L$1006)-ROW(BASE_PRODUTOS!$L$2)+1)/(BASE_PRODUTOS!$L$2:$L$1006&gt;0),ROWS($G$10:G839)),"")</f>
        <v/>
      </c>
      <c r="H839" s="9" t="str">
        <f ca="1">IF($G839="","",INDEX(BASE_PRODUTOS!$B$2:$B$1006,$G839))</f>
        <v/>
      </c>
      <c r="I839" s="9" t="str">
        <f ca="1">IF($G839="","",INDEX(BASE_PRODUTOS!$L$2:$L$1006,$G839))</f>
        <v/>
      </c>
      <c r="J839" s="9" t="str">
        <f ca="1">IF($G839="","",INDEX(BASE_PRODUTOS!$A$2:$A$1006,$G839))</f>
        <v/>
      </c>
      <c r="K839" s="9" t="str">
        <f ca="1">IF($G839="","",INDEX(BASE_PRODUTOS!$C$2:$C$1006,$G839))</f>
        <v/>
      </c>
      <c r="L839" s="9" t="str">
        <f ca="1">IF($G839="","",INDEX(BASE_PRODUTOS!$E$2:$E$1006,$G839))</f>
        <v/>
      </c>
      <c r="M839" s="9" t="str">
        <f ca="1">IF($G839="","",INDEX(BASE_PRODUTOS!$F$2:$F$1006,$G839))</f>
        <v/>
      </c>
      <c r="N839" s="9" t="str">
        <f ca="1">IF($G839="","",INDEX(BASE_PRODUTOS!$G$2:$G$1006,$G839))</f>
        <v/>
      </c>
      <c r="O839" s="9" t="str">
        <f ca="1">IF($G839="","",INDEX(BASE_PRODUTOS!$H$2:$H$1006,$G839))</f>
        <v/>
      </c>
      <c r="P839" s="9" t="str">
        <f ca="1">IF($G839="","",INDEX(BASE_PRODUTOS!$I$2:$I$1006,$G839))</f>
        <v/>
      </c>
      <c r="Q839" s="9" t="str">
        <f ca="1">IF($G839="","",INDEX(BASE_PRODUTOS!$J$2:$J$1006,$G839))</f>
        <v/>
      </c>
      <c r="R839" s="9" t="str">
        <f ca="1">IF($G839="","",INDEX(BASE_PRODUTOS!$M$2:$M$1006,$G839))</f>
        <v/>
      </c>
      <c r="S839" s="9" t="str">
        <f ca="1">IF($G839="","",INDEX(BASE_PRODUTOS!$N$2:$N$1006,$G839))</f>
        <v/>
      </c>
      <c r="T839" s="9" t="str">
        <f ca="1">IF($G839="","",INDEX(BASE_PRODUTOS!$D$2:$D$1006,$G839))</f>
        <v/>
      </c>
    </row>
    <row r="840" spans="7:20" ht="18" customHeight="1" x14ac:dyDescent="0.35">
      <c r="G840" t="str">
        <f ca="1">IFERROR(_xludf.aggregate(15,6,(ROW(BASE_PRODUTOS!$L$2:$L$1006)-ROW(BASE_PRODUTOS!$L$2)+1)/(BASE_PRODUTOS!$L$2:$L$1006&gt;0),ROWS($G$10:G840)),"")</f>
        <v/>
      </c>
      <c r="H840" s="9" t="str">
        <f ca="1">IF($G840="","",INDEX(BASE_PRODUTOS!$B$2:$B$1006,$G840))</f>
        <v/>
      </c>
      <c r="I840" s="9" t="str">
        <f ca="1">IF($G840="","",INDEX(BASE_PRODUTOS!$L$2:$L$1006,$G840))</f>
        <v/>
      </c>
      <c r="J840" s="9" t="str">
        <f ca="1">IF($G840="","",INDEX(BASE_PRODUTOS!$A$2:$A$1006,$G840))</f>
        <v/>
      </c>
      <c r="K840" s="9" t="str">
        <f ca="1">IF($G840="","",INDEX(BASE_PRODUTOS!$C$2:$C$1006,$G840))</f>
        <v/>
      </c>
      <c r="L840" s="9" t="str">
        <f ca="1">IF($G840="","",INDEX(BASE_PRODUTOS!$E$2:$E$1006,$G840))</f>
        <v/>
      </c>
      <c r="M840" s="9" t="str">
        <f ca="1">IF($G840="","",INDEX(BASE_PRODUTOS!$F$2:$F$1006,$G840))</f>
        <v/>
      </c>
      <c r="N840" s="9" t="str">
        <f ca="1">IF($G840="","",INDEX(BASE_PRODUTOS!$G$2:$G$1006,$G840))</f>
        <v/>
      </c>
      <c r="O840" s="9" t="str">
        <f ca="1">IF($G840="","",INDEX(BASE_PRODUTOS!$H$2:$H$1006,$G840))</f>
        <v/>
      </c>
      <c r="P840" s="9" t="str">
        <f ca="1">IF($G840="","",INDEX(BASE_PRODUTOS!$I$2:$I$1006,$G840))</f>
        <v/>
      </c>
      <c r="Q840" s="9" t="str">
        <f ca="1">IF($G840="","",INDEX(BASE_PRODUTOS!$J$2:$J$1006,$G840))</f>
        <v/>
      </c>
      <c r="R840" s="9" t="str">
        <f ca="1">IF($G840="","",INDEX(BASE_PRODUTOS!$M$2:$M$1006,$G840))</f>
        <v/>
      </c>
      <c r="S840" s="9" t="str">
        <f ca="1">IF($G840="","",INDEX(BASE_PRODUTOS!$N$2:$N$1006,$G840))</f>
        <v/>
      </c>
      <c r="T840" s="9" t="str">
        <f ca="1">IF($G840="","",INDEX(BASE_PRODUTOS!$D$2:$D$1006,$G840))</f>
        <v/>
      </c>
    </row>
    <row r="841" spans="7:20" ht="18" customHeight="1" x14ac:dyDescent="0.35">
      <c r="G841" t="str">
        <f ca="1">IFERROR(_xludf.aggregate(15,6,(ROW(BASE_PRODUTOS!$L$2:$L$1006)-ROW(BASE_PRODUTOS!$L$2)+1)/(BASE_PRODUTOS!$L$2:$L$1006&gt;0),ROWS($G$10:G841)),"")</f>
        <v/>
      </c>
      <c r="H841" s="9" t="str">
        <f ca="1">IF($G841="","",INDEX(BASE_PRODUTOS!$B$2:$B$1006,$G841))</f>
        <v/>
      </c>
      <c r="I841" s="9" t="str">
        <f ca="1">IF($G841="","",INDEX(BASE_PRODUTOS!$L$2:$L$1006,$G841))</f>
        <v/>
      </c>
      <c r="J841" s="9" t="str">
        <f ca="1">IF($G841="","",INDEX(BASE_PRODUTOS!$A$2:$A$1006,$G841))</f>
        <v/>
      </c>
      <c r="K841" s="9" t="str">
        <f ca="1">IF($G841="","",INDEX(BASE_PRODUTOS!$C$2:$C$1006,$G841))</f>
        <v/>
      </c>
      <c r="L841" s="9" t="str">
        <f ca="1">IF($G841="","",INDEX(BASE_PRODUTOS!$E$2:$E$1006,$G841))</f>
        <v/>
      </c>
      <c r="M841" s="9" t="str">
        <f ca="1">IF($G841="","",INDEX(BASE_PRODUTOS!$F$2:$F$1006,$G841))</f>
        <v/>
      </c>
      <c r="N841" s="9" t="str">
        <f ca="1">IF($G841="","",INDEX(BASE_PRODUTOS!$G$2:$G$1006,$G841))</f>
        <v/>
      </c>
      <c r="O841" s="9" t="str">
        <f ca="1">IF($G841="","",INDEX(BASE_PRODUTOS!$H$2:$H$1006,$G841))</f>
        <v/>
      </c>
      <c r="P841" s="9" t="str">
        <f ca="1">IF($G841="","",INDEX(BASE_PRODUTOS!$I$2:$I$1006,$G841))</f>
        <v/>
      </c>
      <c r="Q841" s="9" t="str">
        <f ca="1">IF($G841="","",INDEX(BASE_PRODUTOS!$J$2:$J$1006,$G841))</f>
        <v/>
      </c>
      <c r="R841" s="9" t="str">
        <f ca="1">IF($G841="","",INDEX(BASE_PRODUTOS!$M$2:$M$1006,$G841))</f>
        <v/>
      </c>
      <c r="S841" s="9" t="str">
        <f ca="1">IF($G841="","",INDEX(BASE_PRODUTOS!$N$2:$N$1006,$G841))</f>
        <v/>
      </c>
      <c r="T841" s="9" t="str">
        <f ca="1">IF($G841="","",INDEX(BASE_PRODUTOS!$D$2:$D$1006,$G841))</f>
        <v/>
      </c>
    </row>
    <row r="842" spans="7:20" ht="18" customHeight="1" x14ac:dyDescent="0.35">
      <c r="G842" t="str">
        <f ca="1">IFERROR(_xludf.aggregate(15,6,(ROW(BASE_PRODUTOS!$L$2:$L$1006)-ROW(BASE_PRODUTOS!$L$2)+1)/(BASE_PRODUTOS!$L$2:$L$1006&gt;0),ROWS($G$10:G842)),"")</f>
        <v/>
      </c>
      <c r="H842" s="9" t="str">
        <f ca="1">IF($G842="","",INDEX(BASE_PRODUTOS!$B$2:$B$1006,$G842))</f>
        <v/>
      </c>
      <c r="I842" s="9" t="str">
        <f ca="1">IF($G842="","",INDEX(BASE_PRODUTOS!$L$2:$L$1006,$G842))</f>
        <v/>
      </c>
      <c r="J842" s="9" t="str">
        <f ca="1">IF($G842="","",INDEX(BASE_PRODUTOS!$A$2:$A$1006,$G842))</f>
        <v/>
      </c>
      <c r="K842" s="9" t="str">
        <f ca="1">IF($G842="","",INDEX(BASE_PRODUTOS!$C$2:$C$1006,$G842))</f>
        <v/>
      </c>
      <c r="L842" s="9" t="str">
        <f ca="1">IF($G842="","",INDEX(BASE_PRODUTOS!$E$2:$E$1006,$G842))</f>
        <v/>
      </c>
      <c r="M842" s="9" t="str">
        <f ca="1">IF($G842="","",INDEX(BASE_PRODUTOS!$F$2:$F$1006,$G842))</f>
        <v/>
      </c>
      <c r="N842" s="9" t="str">
        <f ca="1">IF($G842="","",INDEX(BASE_PRODUTOS!$G$2:$G$1006,$G842))</f>
        <v/>
      </c>
      <c r="O842" s="9" t="str">
        <f ca="1">IF($G842="","",INDEX(BASE_PRODUTOS!$H$2:$H$1006,$G842))</f>
        <v/>
      </c>
      <c r="P842" s="9" t="str">
        <f ca="1">IF($G842="","",INDEX(BASE_PRODUTOS!$I$2:$I$1006,$G842))</f>
        <v/>
      </c>
      <c r="Q842" s="9" t="str">
        <f ca="1">IF($G842="","",INDEX(BASE_PRODUTOS!$J$2:$J$1006,$G842))</f>
        <v/>
      </c>
      <c r="R842" s="9" t="str">
        <f ca="1">IF($G842="","",INDEX(BASE_PRODUTOS!$M$2:$M$1006,$G842))</f>
        <v/>
      </c>
      <c r="S842" s="9" t="str">
        <f ca="1">IF($G842="","",INDEX(BASE_PRODUTOS!$N$2:$N$1006,$G842))</f>
        <v/>
      </c>
      <c r="T842" s="9" t="str">
        <f ca="1">IF($G842="","",INDEX(BASE_PRODUTOS!$D$2:$D$1006,$G842))</f>
        <v/>
      </c>
    </row>
    <row r="843" spans="7:20" ht="18" customHeight="1" x14ac:dyDescent="0.35">
      <c r="G843" t="str">
        <f ca="1">IFERROR(_xludf.aggregate(15,6,(ROW(BASE_PRODUTOS!$L$2:$L$1006)-ROW(BASE_PRODUTOS!$L$2)+1)/(BASE_PRODUTOS!$L$2:$L$1006&gt;0),ROWS($G$10:G843)),"")</f>
        <v/>
      </c>
      <c r="H843" s="9" t="str">
        <f ca="1">IF($G843="","",INDEX(BASE_PRODUTOS!$B$2:$B$1006,$G843))</f>
        <v/>
      </c>
      <c r="I843" s="9" t="str">
        <f ca="1">IF($G843="","",INDEX(BASE_PRODUTOS!$L$2:$L$1006,$G843))</f>
        <v/>
      </c>
      <c r="J843" s="9" t="str">
        <f ca="1">IF($G843="","",INDEX(BASE_PRODUTOS!$A$2:$A$1006,$G843))</f>
        <v/>
      </c>
      <c r="K843" s="9" t="str">
        <f ca="1">IF($G843="","",INDEX(BASE_PRODUTOS!$C$2:$C$1006,$G843))</f>
        <v/>
      </c>
      <c r="L843" s="9" t="str">
        <f ca="1">IF($G843="","",INDEX(BASE_PRODUTOS!$E$2:$E$1006,$G843))</f>
        <v/>
      </c>
      <c r="M843" s="9" t="str">
        <f ca="1">IF($G843="","",INDEX(BASE_PRODUTOS!$F$2:$F$1006,$G843))</f>
        <v/>
      </c>
      <c r="N843" s="9" t="str">
        <f ca="1">IF($G843="","",INDEX(BASE_PRODUTOS!$G$2:$G$1006,$G843))</f>
        <v/>
      </c>
      <c r="O843" s="9" t="str">
        <f ca="1">IF($G843="","",INDEX(BASE_PRODUTOS!$H$2:$H$1006,$G843))</f>
        <v/>
      </c>
      <c r="P843" s="9" t="str">
        <f ca="1">IF($G843="","",INDEX(BASE_PRODUTOS!$I$2:$I$1006,$G843))</f>
        <v/>
      </c>
      <c r="Q843" s="9" t="str">
        <f ca="1">IF($G843="","",INDEX(BASE_PRODUTOS!$J$2:$J$1006,$G843))</f>
        <v/>
      </c>
      <c r="R843" s="9" t="str">
        <f ca="1">IF($G843="","",INDEX(BASE_PRODUTOS!$M$2:$M$1006,$G843))</f>
        <v/>
      </c>
      <c r="S843" s="9" t="str">
        <f ca="1">IF($G843="","",INDEX(BASE_PRODUTOS!$N$2:$N$1006,$G843))</f>
        <v/>
      </c>
      <c r="T843" s="9" t="str">
        <f ca="1">IF($G843="","",INDEX(BASE_PRODUTOS!$D$2:$D$1006,$G843))</f>
        <v/>
      </c>
    </row>
    <row r="844" spans="7:20" ht="18" customHeight="1" x14ac:dyDescent="0.35">
      <c r="G844" t="str">
        <f ca="1">IFERROR(_xludf.aggregate(15,6,(ROW(BASE_PRODUTOS!$L$2:$L$1006)-ROW(BASE_PRODUTOS!$L$2)+1)/(BASE_PRODUTOS!$L$2:$L$1006&gt;0),ROWS($G$10:G844)),"")</f>
        <v/>
      </c>
      <c r="H844" s="9" t="str">
        <f ca="1">IF($G844="","",INDEX(BASE_PRODUTOS!$B$2:$B$1006,$G844))</f>
        <v/>
      </c>
      <c r="I844" s="9" t="str">
        <f ca="1">IF($G844="","",INDEX(BASE_PRODUTOS!$L$2:$L$1006,$G844))</f>
        <v/>
      </c>
      <c r="J844" s="9" t="str">
        <f ca="1">IF($G844="","",INDEX(BASE_PRODUTOS!$A$2:$A$1006,$G844))</f>
        <v/>
      </c>
      <c r="K844" s="9" t="str">
        <f ca="1">IF($G844="","",INDEX(BASE_PRODUTOS!$C$2:$C$1006,$G844))</f>
        <v/>
      </c>
      <c r="L844" s="9" t="str">
        <f ca="1">IF($G844="","",INDEX(BASE_PRODUTOS!$E$2:$E$1006,$G844))</f>
        <v/>
      </c>
      <c r="M844" s="9" t="str">
        <f ca="1">IF($G844="","",INDEX(BASE_PRODUTOS!$F$2:$F$1006,$G844))</f>
        <v/>
      </c>
      <c r="N844" s="9" t="str">
        <f ca="1">IF($G844="","",INDEX(BASE_PRODUTOS!$G$2:$G$1006,$G844))</f>
        <v/>
      </c>
      <c r="O844" s="9" t="str">
        <f ca="1">IF($G844="","",INDEX(BASE_PRODUTOS!$H$2:$H$1006,$G844))</f>
        <v/>
      </c>
      <c r="P844" s="9" t="str">
        <f ca="1">IF($G844="","",INDEX(BASE_PRODUTOS!$I$2:$I$1006,$G844))</f>
        <v/>
      </c>
      <c r="Q844" s="9" t="str">
        <f ca="1">IF($G844="","",INDEX(BASE_PRODUTOS!$J$2:$J$1006,$G844))</f>
        <v/>
      </c>
      <c r="R844" s="9" t="str">
        <f ca="1">IF($G844="","",INDEX(BASE_PRODUTOS!$M$2:$M$1006,$G844))</f>
        <v/>
      </c>
      <c r="S844" s="9" t="str">
        <f ca="1">IF($G844="","",INDEX(BASE_PRODUTOS!$N$2:$N$1006,$G844))</f>
        <v/>
      </c>
      <c r="T844" s="9" t="str">
        <f ca="1">IF($G844="","",INDEX(BASE_PRODUTOS!$D$2:$D$1006,$G844))</f>
        <v/>
      </c>
    </row>
    <row r="845" spans="7:20" ht="18" customHeight="1" x14ac:dyDescent="0.35">
      <c r="G845" t="str">
        <f ca="1">IFERROR(_xludf.aggregate(15,6,(ROW(BASE_PRODUTOS!$L$2:$L$1006)-ROW(BASE_PRODUTOS!$L$2)+1)/(BASE_PRODUTOS!$L$2:$L$1006&gt;0),ROWS($G$10:G845)),"")</f>
        <v/>
      </c>
      <c r="H845" s="9" t="str">
        <f ca="1">IF($G845="","",INDEX(BASE_PRODUTOS!$B$2:$B$1006,$G845))</f>
        <v/>
      </c>
      <c r="I845" s="9" t="str">
        <f ca="1">IF($G845="","",INDEX(BASE_PRODUTOS!$L$2:$L$1006,$G845))</f>
        <v/>
      </c>
      <c r="J845" s="9" t="str">
        <f ca="1">IF($G845="","",INDEX(BASE_PRODUTOS!$A$2:$A$1006,$G845))</f>
        <v/>
      </c>
      <c r="K845" s="9" t="str">
        <f ca="1">IF($G845="","",INDEX(BASE_PRODUTOS!$C$2:$C$1006,$G845))</f>
        <v/>
      </c>
      <c r="L845" s="9" t="str">
        <f ca="1">IF($G845="","",INDEX(BASE_PRODUTOS!$E$2:$E$1006,$G845))</f>
        <v/>
      </c>
      <c r="M845" s="9" t="str">
        <f ca="1">IF($G845="","",INDEX(BASE_PRODUTOS!$F$2:$F$1006,$G845))</f>
        <v/>
      </c>
      <c r="N845" s="9" t="str">
        <f ca="1">IF($G845="","",INDEX(BASE_PRODUTOS!$G$2:$G$1006,$G845))</f>
        <v/>
      </c>
      <c r="O845" s="9" t="str">
        <f ca="1">IF($G845="","",INDEX(BASE_PRODUTOS!$H$2:$H$1006,$G845))</f>
        <v/>
      </c>
      <c r="P845" s="9" t="str">
        <f ca="1">IF($G845="","",INDEX(BASE_PRODUTOS!$I$2:$I$1006,$G845))</f>
        <v/>
      </c>
      <c r="Q845" s="9" t="str">
        <f ca="1">IF($G845="","",INDEX(BASE_PRODUTOS!$J$2:$J$1006,$G845))</f>
        <v/>
      </c>
      <c r="R845" s="9" t="str">
        <f ca="1">IF($G845="","",INDEX(BASE_PRODUTOS!$M$2:$M$1006,$G845))</f>
        <v/>
      </c>
      <c r="S845" s="9" t="str">
        <f ca="1">IF($G845="","",INDEX(BASE_PRODUTOS!$N$2:$N$1006,$G845))</f>
        <v/>
      </c>
      <c r="T845" s="9" t="str">
        <f ca="1">IF($G845="","",INDEX(BASE_PRODUTOS!$D$2:$D$1006,$G845))</f>
        <v/>
      </c>
    </row>
    <row r="846" spans="7:20" ht="18" customHeight="1" x14ac:dyDescent="0.35">
      <c r="G846" t="str">
        <f ca="1">IFERROR(_xludf.aggregate(15,6,(ROW(BASE_PRODUTOS!$L$2:$L$1006)-ROW(BASE_PRODUTOS!$L$2)+1)/(BASE_PRODUTOS!$L$2:$L$1006&gt;0),ROWS($G$10:G846)),"")</f>
        <v/>
      </c>
      <c r="H846" s="9" t="str">
        <f ca="1">IF($G846="","",INDEX(BASE_PRODUTOS!$B$2:$B$1006,$G846))</f>
        <v/>
      </c>
      <c r="I846" s="9" t="str">
        <f ca="1">IF($G846="","",INDEX(BASE_PRODUTOS!$L$2:$L$1006,$G846))</f>
        <v/>
      </c>
      <c r="J846" s="9" t="str">
        <f ca="1">IF($G846="","",INDEX(BASE_PRODUTOS!$A$2:$A$1006,$G846))</f>
        <v/>
      </c>
      <c r="K846" s="9" t="str">
        <f ca="1">IF($G846="","",INDEX(BASE_PRODUTOS!$C$2:$C$1006,$G846))</f>
        <v/>
      </c>
      <c r="L846" s="9" t="str">
        <f ca="1">IF($G846="","",INDEX(BASE_PRODUTOS!$E$2:$E$1006,$G846))</f>
        <v/>
      </c>
      <c r="M846" s="9" t="str">
        <f ca="1">IF($G846="","",INDEX(BASE_PRODUTOS!$F$2:$F$1006,$G846))</f>
        <v/>
      </c>
      <c r="N846" s="9" t="str">
        <f ca="1">IF($G846="","",INDEX(BASE_PRODUTOS!$G$2:$G$1006,$G846))</f>
        <v/>
      </c>
      <c r="O846" s="9" t="str">
        <f ca="1">IF($G846="","",INDEX(BASE_PRODUTOS!$H$2:$H$1006,$G846))</f>
        <v/>
      </c>
      <c r="P846" s="9" t="str">
        <f ca="1">IF($G846="","",INDEX(BASE_PRODUTOS!$I$2:$I$1006,$G846))</f>
        <v/>
      </c>
      <c r="Q846" s="9" t="str">
        <f ca="1">IF($G846="","",INDEX(BASE_PRODUTOS!$J$2:$J$1006,$G846))</f>
        <v/>
      </c>
      <c r="R846" s="9" t="str">
        <f ca="1">IF($G846="","",INDEX(BASE_PRODUTOS!$M$2:$M$1006,$G846))</f>
        <v/>
      </c>
      <c r="S846" s="9" t="str">
        <f ca="1">IF($G846="","",INDEX(BASE_PRODUTOS!$N$2:$N$1006,$G846))</f>
        <v/>
      </c>
      <c r="T846" s="9" t="str">
        <f ca="1">IF($G846="","",INDEX(BASE_PRODUTOS!$D$2:$D$1006,$G846))</f>
        <v/>
      </c>
    </row>
    <row r="847" spans="7:20" ht="18" customHeight="1" x14ac:dyDescent="0.35">
      <c r="G847" t="str">
        <f ca="1">IFERROR(_xludf.aggregate(15,6,(ROW(BASE_PRODUTOS!$L$2:$L$1006)-ROW(BASE_PRODUTOS!$L$2)+1)/(BASE_PRODUTOS!$L$2:$L$1006&gt;0),ROWS($G$10:G847)),"")</f>
        <v/>
      </c>
      <c r="H847" s="9" t="str">
        <f ca="1">IF($G847="","",INDEX(BASE_PRODUTOS!$B$2:$B$1006,$G847))</f>
        <v/>
      </c>
      <c r="I847" s="9" t="str">
        <f ca="1">IF($G847="","",INDEX(BASE_PRODUTOS!$L$2:$L$1006,$G847))</f>
        <v/>
      </c>
      <c r="J847" s="9" t="str">
        <f ca="1">IF($G847="","",INDEX(BASE_PRODUTOS!$A$2:$A$1006,$G847))</f>
        <v/>
      </c>
      <c r="K847" s="9" t="str">
        <f ca="1">IF($G847="","",INDEX(BASE_PRODUTOS!$C$2:$C$1006,$G847))</f>
        <v/>
      </c>
      <c r="L847" s="9" t="str">
        <f ca="1">IF($G847="","",INDEX(BASE_PRODUTOS!$E$2:$E$1006,$G847))</f>
        <v/>
      </c>
      <c r="M847" s="9" t="str">
        <f ca="1">IF($G847="","",INDEX(BASE_PRODUTOS!$F$2:$F$1006,$G847))</f>
        <v/>
      </c>
      <c r="N847" s="9" t="str">
        <f ca="1">IF($G847="","",INDEX(BASE_PRODUTOS!$G$2:$G$1006,$G847))</f>
        <v/>
      </c>
      <c r="O847" s="9" t="str">
        <f ca="1">IF($G847="","",INDEX(BASE_PRODUTOS!$H$2:$H$1006,$G847))</f>
        <v/>
      </c>
      <c r="P847" s="9" t="str">
        <f ca="1">IF($G847="","",INDEX(BASE_PRODUTOS!$I$2:$I$1006,$G847))</f>
        <v/>
      </c>
      <c r="Q847" s="9" t="str">
        <f ca="1">IF($G847="","",INDEX(BASE_PRODUTOS!$J$2:$J$1006,$G847))</f>
        <v/>
      </c>
      <c r="R847" s="9" t="str">
        <f ca="1">IF($G847="","",INDEX(BASE_PRODUTOS!$M$2:$M$1006,$G847))</f>
        <v/>
      </c>
      <c r="S847" s="9" t="str">
        <f ca="1">IF($G847="","",INDEX(BASE_PRODUTOS!$N$2:$N$1006,$G847))</f>
        <v/>
      </c>
      <c r="T847" s="9" t="str">
        <f ca="1">IF($G847="","",INDEX(BASE_PRODUTOS!$D$2:$D$1006,$G847))</f>
        <v/>
      </c>
    </row>
    <row r="848" spans="7:20" ht="18" customHeight="1" x14ac:dyDescent="0.35">
      <c r="G848" t="str">
        <f ca="1">IFERROR(_xludf.aggregate(15,6,(ROW(BASE_PRODUTOS!$L$2:$L$1006)-ROW(BASE_PRODUTOS!$L$2)+1)/(BASE_PRODUTOS!$L$2:$L$1006&gt;0),ROWS($G$10:G848)),"")</f>
        <v/>
      </c>
      <c r="H848" s="9" t="str">
        <f ca="1">IF($G848="","",INDEX(BASE_PRODUTOS!$B$2:$B$1006,$G848))</f>
        <v/>
      </c>
      <c r="I848" s="9" t="str">
        <f ca="1">IF($G848="","",INDEX(BASE_PRODUTOS!$L$2:$L$1006,$G848))</f>
        <v/>
      </c>
      <c r="J848" s="9" t="str">
        <f ca="1">IF($G848="","",INDEX(BASE_PRODUTOS!$A$2:$A$1006,$G848))</f>
        <v/>
      </c>
      <c r="K848" s="9" t="str">
        <f ca="1">IF($G848="","",INDEX(BASE_PRODUTOS!$C$2:$C$1006,$G848))</f>
        <v/>
      </c>
      <c r="L848" s="9" t="str">
        <f ca="1">IF($G848="","",INDEX(BASE_PRODUTOS!$E$2:$E$1006,$G848))</f>
        <v/>
      </c>
      <c r="M848" s="9" t="str">
        <f ca="1">IF($G848="","",INDEX(BASE_PRODUTOS!$F$2:$F$1006,$G848))</f>
        <v/>
      </c>
      <c r="N848" s="9" t="str">
        <f ca="1">IF($G848="","",INDEX(BASE_PRODUTOS!$G$2:$G$1006,$G848))</f>
        <v/>
      </c>
      <c r="O848" s="9" t="str">
        <f ca="1">IF($G848="","",INDEX(BASE_PRODUTOS!$H$2:$H$1006,$G848))</f>
        <v/>
      </c>
      <c r="P848" s="9" t="str">
        <f ca="1">IF($G848="","",INDEX(BASE_PRODUTOS!$I$2:$I$1006,$G848))</f>
        <v/>
      </c>
      <c r="Q848" s="9" t="str">
        <f ca="1">IF($G848="","",INDEX(BASE_PRODUTOS!$J$2:$J$1006,$G848))</f>
        <v/>
      </c>
      <c r="R848" s="9" t="str">
        <f ca="1">IF($G848="","",INDEX(BASE_PRODUTOS!$M$2:$M$1006,$G848))</f>
        <v/>
      </c>
      <c r="S848" s="9" t="str">
        <f ca="1">IF($G848="","",INDEX(BASE_PRODUTOS!$N$2:$N$1006,$G848))</f>
        <v/>
      </c>
      <c r="T848" s="9" t="str">
        <f ca="1">IF($G848="","",INDEX(BASE_PRODUTOS!$D$2:$D$1006,$G848))</f>
        <v/>
      </c>
    </row>
    <row r="849" spans="7:20" ht="18" customHeight="1" x14ac:dyDescent="0.35">
      <c r="G849" t="str">
        <f ca="1">IFERROR(_xludf.aggregate(15,6,(ROW(BASE_PRODUTOS!$L$2:$L$1006)-ROW(BASE_PRODUTOS!$L$2)+1)/(BASE_PRODUTOS!$L$2:$L$1006&gt;0),ROWS($G$10:G849)),"")</f>
        <v/>
      </c>
      <c r="H849" s="9" t="str">
        <f ca="1">IF($G849="","",INDEX(BASE_PRODUTOS!$B$2:$B$1006,$G849))</f>
        <v/>
      </c>
      <c r="I849" s="9" t="str">
        <f ca="1">IF($G849="","",INDEX(BASE_PRODUTOS!$L$2:$L$1006,$G849))</f>
        <v/>
      </c>
      <c r="J849" s="9" t="str">
        <f ca="1">IF($G849="","",INDEX(BASE_PRODUTOS!$A$2:$A$1006,$G849))</f>
        <v/>
      </c>
      <c r="K849" s="9" t="str">
        <f ca="1">IF($G849="","",INDEX(BASE_PRODUTOS!$C$2:$C$1006,$G849))</f>
        <v/>
      </c>
      <c r="L849" s="9" t="str">
        <f ca="1">IF($G849="","",INDEX(BASE_PRODUTOS!$E$2:$E$1006,$G849))</f>
        <v/>
      </c>
      <c r="M849" s="9" t="str">
        <f ca="1">IF($G849="","",INDEX(BASE_PRODUTOS!$F$2:$F$1006,$G849))</f>
        <v/>
      </c>
      <c r="N849" s="9" t="str">
        <f ca="1">IF($G849="","",INDEX(BASE_PRODUTOS!$G$2:$G$1006,$G849))</f>
        <v/>
      </c>
      <c r="O849" s="9" t="str">
        <f ca="1">IF($G849="","",INDEX(BASE_PRODUTOS!$H$2:$H$1006,$G849))</f>
        <v/>
      </c>
      <c r="P849" s="9" t="str">
        <f ca="1">IF($G849="","",INDEX(BASE_PRODUTOS!$I$2:$I$1006,$G849))</f>
        <v/>
      </c>
      <c r="Q849" s="9" t="str">
        <f ca="1">IF($G849="","",INDEX(BASE_PRODUTOS!$J$2:$J$1006,$G849))</f>
        <v/>
      </c>
      <c r="R849" s="9" t="str">
        <f ca="1">IF($G849="","",INDEX(BASE_PRODUTOS!$M$2:$M$1006,$G849))</f>
        <v/>
      </c>
      <c r="S849" s="9" t="str">
        <f ca="1">IF($G849="","",INDEX(BASE_PRODUTOS!$N$2:$N$1006,$G849))</f>
        <v/>
      </c>
      <c r="T849" s="9" t="str">
        <f ca="1">IF($G849="","",INDEX(BASE_PRODUTOS!$D$2:$D$1006,$G849))</f>
        <v/>
      </c>
    </row>
    <row r="850" spans="7:20" ht="18" customHeight="1" x14ac:dyDescent="0.35">
      <c r="G850" t="str">
        <f ca="1">IFERROR(_xludf.aggregate(15,6,(ROW(BASE_PRODUTOS!$L$2:$L$1006)-ROW(BASE_PRODUTOS!$L$2)+1)/(BASE_PRODUTOS!$L$2:$L$1006&gt;0),ROWS($G$10:G850)),"")</f>
        <v/>
      </c>
      <c r="H850" s="9" t="str">
        <f ca="1">IF($G850="","",INDEX(BASE_PRODUTOS!$B$2:$B$1006,$G850))</f>
        <v/>
      </c>
      <c r="I850" s="9" t="str">
        <f ca="1">IF($G850="","",INDEX(BASE_PRODUTOS!$L$2:$L$1006,$G850))</f>
        <v/>
      </c>
      <c r="J850" s="9" t="str">
        <f ca="1">IF($G850="","",INDEX(BASE_PRODUTOS!$A$2:$A$1006,$G850))</f>
        <v/>
      </c>
      <c r="K850" s="9" t="str">
        <f ca="1">IF($G850="","",INDEX(BASE_PRODUTOS!$C$2:$C$1006,$G850))</f>
        <v/>
      </c>
      <c r="L850" s="9" t="str">
        <f ca="1">IF($G850="","",INDEX(BASE_PRODUTOS!$E$2:$E$1006,$G850))</f>
        <v/>
      </c>
      <c r="M850" s="9" t="str">
        <f ca="1">IF($G850="","",INDEX(BASE_PRODUTOS!$F$2:$F$1006,$G850))</f>
        <v/>
      </c>
      <c r="N850" s="9" t="str">
        <f ca="1">IF($G850="","",INDEX(BASE_PRODUTOS!$G$2:$G$1006,$G850))</f>
        <v/>
      </c>
      <c r="O850" s="9" t="str">
        <f ca="1">IF($G850="","",INDEX(BASE_PRODUTOS!$H$2:$H$1006,$G850))</f>
        <v/>
      </c>
      <c r="P850" s="9" t="str">
        <f ca="1">IF($G850="","",INDEX(BASE_PRODUTOS!$I$2:$I$1006,$G850))</f>
        <v/>
      </c>
      <c r="Q850" s="9" t="str">
        <f ca="1">IF($G850="","",INDEX(BASE_PRODUTOS!$J$2:$J$1006,$G850))</f>
        <v/>
      </c>
      <c r="R850" s="9" t="str">
        <f ca="1">IF($G850="","",INDEX(BASE_PRODUTOS!$M$2:$M$1006,$G850))</f>
        <v/>
      </c>
      <c r="S850" s="9" t="str">
        <f ca="1">IF($G850="","",INDEX(BASE_PRODUTOS!$N$2:$N$1006,$G850))</f>
        <v/>
      </c>
      <c r="T850" s="9" t="str">
        <f ca="1">IF($G850="","",INDEX(BASE_PRODUTOS!$D$2:$D$1006,$G850))</f>
        <v/>
      </c>
    </row>
    <row r="851" spans="7:20" ht="18" customHeight="1" x14ac:dyDescent="0.35">
      <c r="G851" t="str">
        <f ca="1">IFERROR(_xludf.aggregate(15,6,(ROW(BASE_PRODUTOS!$L$2:$L$1006)-ROW(BASE_PRODUTOS!$L$2)+1)/(BASE_PRODUTOS!$L$2:$L$1006&gt;0),ROWS($G$10:G851)),"")</f>
        <v/>
      </c>
      <c r="H851" s="9" t="str">
        <f ca="1">IF($G851="","",INDEX(BASE_PRODUTOS!$B$2:$B$1006,$G851))</f>
        <v/>
      </c>
      <c r="I851" s="9" t="str">
        <f ca="1">IF($G851="","",INDEX(BASE_PRODUTOS!$L$2:$L$1006,$G851))</f>
        <v/>
      </c>
      <c r="J851" s="9" t="str">
        <f ca="1">IF($G851="","",INDEX(BASE_PRODUTOS!$A$2:$A$1006,$G851))</f>
        <v/>
      </c>
      <c r="K851" s="9" t="str">
        <f ca="1">IF($G851="","",INDEX(BASE_PRODUTOS!$C$2:$C$1006,$G851))</f>
        <v/>
      </c>
      <c r="L851" s="9" t="str">
        <f ca="1">IF($G851="","",INDEX(BASE_PRODUTOS!$E$2:$E$1006,$G851))</f>
        <v/>
      </c>
      <c r="M851" s="9" t="str">
        <f ca="1">IF($G851="","",INDEX(BASE_PRODUTOS!$F$2:$F$1006,$G851))</f>
        <v/>
      </c>
      <c r="N851" s="9" t="str">
        <f ca="1">IF($G851="","",INDEX(BASE_PRODUTOS!$G$2:$G$1006,$G851))</f>
        <v/>
      </c>
      <c r="O851" s="9" t="str">
        <f ca="1">IF($G851="","",INDEX(BASE_PRODUTOS!$H$2:$H$1006,$G851))</f>
        <v/>
      </c>
      <c r="P851" s="9" t="str">
        <f ca="1">IF($G851="","",INDEX(BASE_PRODUTOS!$I$2:$I$1006,$G851))</f>
        <v/>
      </c>
      <c r="Q851" s="9" t="str">
        <f ca="1">IF($G851="","",INDEX(BASE_PRODUTOS!$J$2:$J$1006,$G851))</f>
        <v/>
      </c>
      <c r="R851" s="9" t="str">
        <f ca="1">IF($G851="","",INDEX(BASE_PRODUTOS!$M$2:$M$1006,$G851))</f>
        <v/>
      </c>
      <c r="S851" s="9" t="str">
        <f ca="1">IF($G851="","",INDEX(BASE_PRODUTOS!$N$2:$N$1006,$G851))</f>
        <v/>
      </c>
      <c r="T851" s="9" t="str">
        <f ca="1">IF($G851="","",INDEX(BASE_PRODUTOS!$D$2:$D$1006,$G851))</f>
        <v/>
      </c>
    </row>
    <row r="852" spans="7:20" ht="18" customHeight="1" x14ac:dyDescent="0.35">
      <c r="G852" t="str">
        <f ca="1">IFERROR(_xludf.aggregate(15,6,(ROW(BASE_PRODUTOS!$L$2:$L$1006)-ROW(BASE_PRODUTOS!$L$2)+1)/(BASE_PRODUTOS!$L$2:$L$1006&gt;0),ROWS($G$10:G852)),"")</f>
        <v/>
      </c>
      <c r="H852" s="9" t="str">
        <f ca="1">IF($G852="","",INDEX(BASE_PRODUTOS!$B$2:$B$1006,$G852))</f>
        <v/>
      </c>
      <c r="I852" s="9" t="str">
        <f ca="1">IF($G852="","",INDEX(BASE_PRODUTOS!$L$2:$L$1006,$G852))</f>
        <v/>
      </c>
      <c r="J852" s="9" t="str">
        <f ca="1">IF($G852="","",INDEX(BASE_PRODUTOS!$A$2:$A$1006,$G852))</f>
        <v/>
      </c>
      <c r="K852" s="9" t="str">
        <f ca="1">IF($G852="","",INDEX(BASE_PRODUTOS!$C$2:$C$1006,$G852))</f>
        <v/>
      </c>
      <c r="L852" s="9" t="str">
        <f ca="1">IF($G852="","",INDEX(BASE_PRODUTOS!$E$2:$E$1006,$G852))</f>
        <v/>
      </c>
      <c r="M852" s="9" t="str">
        <f ca="1">IF($G852="","",INDEX(BASE_PRODUTOS!$F$2:$F$1006,$G852))</f>
        <v/>
      </c>
      <c r="N852" s="9" t="str">
        <f ca="1">IF($G852="","",INDEX(BASE_PRODUTOS!$G$2:$G$1006,$G852))</f>
        <v/>
      </c>
      <c r="O852" s="9" t="str">
        <f ca="1">IF($G852="","",INDEX(BASE_PRODUTOS!$H$2:$H$1006,$G852))</f>
        <v/>
      </c>
      <c r="P852" s="9" t="str">
        <f ca="1">IF($G852="","",INDEX(BASE_PRODUTOS!$I$2:$I$1006,$G852))</f>
        <v/>
      </c>
      <c r="Q852" s="9" t="str">
        <f ca="1">IF($G852="","",INDEX(BASE_PRODUTOS!$J$2:$J$1006,$G852))</f>
        <v/>
      </c>
      <c r="R852" s="9" t="str">
        <f ca="1">IF($G852="","",INDEX(BASE_PRODUTOS!$M$2:$M$1006,$G852))</f>
        <v/>
      </c>
      <c r="S852" s="9" t="str">
        <f ca="1">IF($G852="","",INDEX(BASE_PRODUTOS!$N$2:$N$1006,$G852))</f>
        <v/>
      </c>
      <c r="T852" s="9" t="str">
        <f ca="1">IF($G852="","",INDEX(BASE_PRODUTOS!$D$2:$D$1006,$G852))</f>
        <v/>
      </c>
    </row>
    <row r="853" spans="7:20" ht="18" customHeight="1" x14ac:dyDescent="0.35">
      <c r="G853" t="str">
        <f ca="1">IFERROR(_xludf.aggregate(15,6,(ROW(BASE_PRODUTOS!$L$2:$L$1006)-ROW(BASE_PRODUTOS!$L$2)+1)/(BASE_PRODUTOS!$L$2:$L$1006&gt;0),ROWS($G$10:G853)),"")</f>
        <v/>
      </c>
      <c r="H853" s="9" t="str">
        <f ca="1">IF($G853="","",INDEX(BASE_PRODUTOS!$B$2:$B$1006,$G853))</f>
        <v/>
      </c>
      <c r="I853" s="9" t="str">
        <f ca="1">IF($G853="","",INDEX(BASE_PRODUTOS!$L$2:$L$1006,$G853))</f>
        <v/>
      </c>
      <c r="J853" s="9" t="str">
        <f ca="1">IF($G853="","",INDEX(BASE_PRODUTOS!$A$2:$A$1006,$G853))</f>
        <v/>
      </c>
      <c r="K853" s="9" t="str">
        <f ca="1">IF($G853="","",INDEX(BASE_PRODUTOS!$C$2:$C$1006,$G853))</f>
        <v/>
      </c>
      <c r="L853" s="9" t="str">
        <f ca="1">IF($G853="","",INDEX(BASE_PRODUTOS!$E$2:$E$1006,$G853))</f>
        <v/>
      </c>
      <c r="M853" s="9" t="str">
        <f ca="1">IF($G853="","",INDEX(BASE_PRODUTOS!$F$2:$F$1006,$G853))</f>
        <v/>
      </c>
      <c r="N853" s="9" t="str">
        <f ca="1">IF($G853="","",INDEX(BASE_PRODUTOS!$G$2:$G$1006,$G853))</f>
        <v/>
      </c>
      <c r="O853" s="9" t="str">
        <f ca="1">IF($G853="","",INDEX(BASE_PRODUTOS!$H$2:$H$1006,$G853))</f>
        <v/>
      </c>
      <c r="P853" s="9" t="str">
        <f ca="1">IF($G853="","",INDEX(BASE_PRODUTOS!$I$2:$I$1006,$G853))</f>
        <v/>
      </c>
      <c r="Q853" s="9" t="str">
        <f ca="1">IF($G853="","",INDEX(BASE_PRODUTOS!$J$2:$J$1006,$G853))</f>
        <v/>
      </c>
      <c r="R853" s="9" t="str">
        <f ca="1">IF($G853="","",INDEX(BASE_PRODUTOS!$M$2:$M$1006,$G853))</f>
        <v/>
      </c>
      <c r="S853" s="9" t="str">
        <f ca="1">IF($G853="","",INDEX(BASE_PRODUTOS!$N$2:$N$1006,$G853))</f>
        <v/>
      </c>
      <c r="T853" s="9" t="str">
        <f ca="1">IF($G853="","",INDEX(BASE_PRODUTOS!$D$2:$D$1006,$G853))</f>
        <v/>
      </c>
    </row>
    <row r="854" spans="7:20" ht="18" customHeight="1" x14ac:dyDescent="0.35">
      <c r="G854" t="str">
        <f ca="1">IFERROR(_xludf.aggregate(15,6,(ROW(BASE_PRODUTOS!$L$2:$L$1006)-ROW(BASE_PRODUTOS!$L$2)+1)/(BASE_PRODUTOS!$L$2:$L$1006&gt;0),ROWS($G$10:G854)),"")</f>
        <v/>
      </c>
      <c r="H854" s="9" t="str">
        <f ca="1">IF($G854="","",INDEX(BASE_PRODUTOS!$B$2:$B$1006,$G854))</f>
        <v/>
      </c>
      <c r="I854" s="9" t="str">
        <f ca="1">IF($G854="","",INDEX(BASE_PRODUTOS!$L$2:$L$1006,$G854))</f>
        <v/>
      </c>
      <c r="J854" s="9" t="str">
        <f ca="1">IF($G854="","",INDEX(BASE_PRODUTOS!$A$2:$A$1006,$G854))</f>
        <v/>
      </c>
      <c r="K854" s="9" t="str">
        <f ca="1">IF($G854="","",INDEX(BASE_PRODUTOS!$C$2:$C$1006,$G854))</f>
        <v/>
      </c>
      <c r="L854" s="9" t="str">
        <f ca="1">IF($G854="","",INDEX(BASE_PRODUTOS!$E$2:$E$1006,$G854))</f>
        <v/>
      </c>
      <c r="M854" s="9" t="str">
        <f ca="1">IF($G854="","",INDEX(BASE_PRODUTOS!$F$2:$F$1006,$G854))</f>
        <v/>
      </c>
      <c r="N854" s="9" t="str">
        <f ca="1">IF($G854="","",INDEX(BASE_PRODUTOS!$G$2:$G$1006,$G854))</f>
        <v/>
      </c>
      <c r="O854" s="9" t="str">
        <f ca="1">IF($G854="","",INDEX(BASE_PRODUTOS!$H$2:$H$1006,$G854))</f>
        <v/>
      </c>
      <c r="P854" s="9" t="str">
        <f ca="1">IF($G854="","",INDEX(BASE_PRODUTOS!$I$2:$I$1006,$G854))</f>
        <v/>
      </c>
      <c r="Q854" s="9" t="str">
        <f ca="1">IF($G854="","",INDEX(BASE_PRODUTOS!$J$2:$J$1006,$G854))</f>
        <v/>
      </c>
      <c r="R854" s="9" t="str">
        <f ca="1">IF($G854="","",INDEX(BASE_PRODUTOS!$M$2:$M$1006,$G854))</f>
        <v/>
      </c>
      <c r="S854" s="9" t="str">
        <f ca="1">IF($G854="","",INDEX(BASE_PRODUTOS!$N$2:$N$1006,$G854))</f>
        <v/>
      </c>
      <c r="T854" s="9" t="str">
        <f ca="1">IF($G854="","",INDEX(BASE_PRODUTOS!$D$2:$D$1006,$G854))</f>
        <v/>
      </c>
    </row>
    <row r="855" spans="7:20" ht="18" customHeight="1" x14ac:dyDescent="0.35">
      <c r="G855" t="str">
        <f ca="1">IFERROR(_xludf.aggregate(15,6,(ROW(BASE_PRODUTOS!$L$2:$L$1006)-ROW(BASE_PRODUTOS!$L$2)+1)/(BASE_PRODUTOS!$L$2:$L$1006&gt;0),ROWS($G$10:G855)),"")</f>
        <v/>
      </c>
      <c r="H855" s="9" t="str">
        <f ca="1">IF($G855="","",INDEX(BASE_PRODUTOS!$B$2:$B$1006,$G855))</f>
        <v/>
      </c>
      <c r="I855" s="9" t="str">
        <f ca="1">IF($G855="","",INDEX(BASE_PRODUTOS!$L$2:$L$1006,$G855))</f>
        <v/>
      </c>
      <c r="J855" s="9" t="str">
        <f ca="1">IF($G855="","",INDEX(BASE_PRODUTOS!$A$2:$A$1006,$G855))</f>
        <v/>
      </c>
      <c r="K855" s="9" t="str">
        <f ca="1">IF($G855="","",INDEX(BASE_PRODUTOS!$C$2:$C$1006,$G855))</f>
        <v/>
      </c>
      <c r="L855" s="9" t="str">
        <f ca="1">IF($G855="","",INDEX(BASE_PRODUTOS!$E$2:$E$1006,$G855))</f>
        <v/>
      </c>
      <c r="M855" s="9" t="str">
        <f ca="1">IF($G855="","",INDEX(BASE_PRODUTOS!$F$2:$F$1006,$G855))</f>
        <v/>
      </c>
      <c r="N855" s="9" t="str">
        <f ca="1">IF($G855="","",INDEX(BASE_PRODUTOS!$G$2:$G$1006,$G855))</f>
        <v/>
      </c>
      <c r="O855" s="9" t="str">
        <f ca="1">IF($G855="","",INDEX(BASE_PRODUTOS!$H$2:$H$1006,$G855))</f>
        <v/>
      </c>
      <c r="P855" s="9" t="str">
        <f ca="1">IF($G855="","",INDEX(BASE_PRODUTOS!$I$2:$I$1006,$G855))</f>
        <v/>
      </c>
      <c r="Q855" s="9" t="str">
        <f ca="1">IF($G855="","",INDEX(BASE_PRODUTOS!$J$2:$J$1006,$G855))</f>
        <v/>
      </c>
      <c r="R855" s="9" t="str">
        <f ca="1">IF($G855="","",INDEX(BASE_PRODUTOS!$M$2:$M$1006,$G855))</f>
        <v/>
      </c>
      <c r="S855" s="9" t="str">
        <f ca="1">IF($G855="","",INDEX(BASE_PRODUTOS!$N$2:$N$1006,$G855))</f>
        <v/>
      </c>
      <c r="T855" s="9" t="str">
        <f ca="1">IF($G855="","",INDEX(BASE_PRODUTOS!$D$2:$D$1006,$G855))</f>
        <v/>
      </c>
    </row>
    <row r="856" spans="7:20" ht="18" customHeight="1" x14ac:dyDescent="0.35">
      <c r="G856" t="str">
        <f ca="1">IFERROR(_xludf.aggregate(15,6,(ROW(BASE_PRODUTOS!$L$2:$L$1006)-ROW(BASE_PRODUTOS!$L$2)+1)/(BASE_PRODUTOS!$L$2:$L$1006&gt;0),ROWS($G$10:G856)),"")</f>
        <v/>
      </c>
      <c r="H856" s="9" t="str">
        <f ca="1">IF($G856="","",INDEX(BASE_PRODUTOS!$B$2:$B$1006,$G856))</f>
        <v/>
      </c>
      <c r="I856" s="9" t="str">
        <f ca="1">IF($G856="","",INDEX(BASE_PRODUTOS!$L$2:$L$1006,$G856))</f>
        <v/>
      </c>
      <c r="J856" s="9" t="str">
        <f ca="1">IF($G856="","",INDEX(BASE_PRODUTOS!$A$2:$A$1006,$G856))</f>
        <v/>
      </c>
      <c r="K856" s="9" t="str">
        <f ca="1">IF($G856="","",INDEX(BASE_PRODUTOS!$C$2:$C$1006,$G856))</f>
        <v/>
      </c>
      <c r="L856" s="9" t="str">
        <f ca="1">IF($G856="","",INDEX(BASE_PRODUTOS!$E$2:$E$1006,$G856))</f>
        <v/>
      </c>
      <c r="M856" s="9" t="str">
        <f ca="1">IF($G856="","",INDEX(BASE_PRODUTOS!$F$2:$F$1006,$G856))</f>
        <v/>
      </c>
      <c r="N856" s="9" t="str">
        <f ca="1">IF($G856="","",INDEX(BASE_PRODUTOS!$G$2:$G$1006,$G856))</f>
        <v/>
      </c>
      <c r="O856" s="9" t="str">
        <f ca="1">IF($G856="","",INDEX(BASE_PRODUTOS!$H$2:$H$1006,$G856))</f>
        <v/>
      </c>
      <c r="P856" s="9" t="str">
        <f ca="1">IF($G856="","",INDEX(BASE_PRODUTOS!$I$2:$I$1006,$G856))</f>
        <v/>
      </c>
      <c r="Q856" s="9" t="str">
        <f ca="1">IF($G856="","",INDEX(BASE_PRODUTOS!$J$2:$J$1006,$G856))</f>
        <v/>
      </c>
      <c r="R856" s="9" t="str">
        <f ca="1">IF($G856="","",INDEX(BASE_PRODUTOS!$M$2:$M$1006,$G856))</f>
        <v/>
      </c>
      <c r="S856" s="9" t="str">
        <f ca="1">IF($G856="","",INDEX(BASE_PRODUTOS!$N$2:$N$1006,$G856))</f>
        <v/>
      </c>
      <c r="T856" s="9" t="str">
        <f ca="1">IF($G856="","",INDEX(BASE_PRODUTOS!$D$2:$D$1006,$G856))</f>
        <v/>
      </c>
    </row>
    <row r="857" spans="7:20" ht="18" customHeight="1" x14ac:dyDescent="0.35">
      <c r="G857" t="str">
        <f ca="1">IFERROR(_xludf.aggregate(15,6,(ROW(BASE_PRODUTOS!$L$2:$L$1006)-ROW(BASE_PRODUTOS!$L$2)+1)/(BASE_PRODUTOS!$L$2:$L$1006&gt;0),ROWS($G$10:G857)),"")</f>
        <v/>
      </c>
      <c r="H857" s="9" t="str">
        <f ca="1">IF($G857="","",INDEX(BASE_PRODUTOS!$B$2:$B$1006,$G857))</f>
        <v/>
      </c>
      <c r="I857" s="9" t="str">
        <f ca="1">IF($G857="","",INDEX(BASE_PRODUTOS!$L$2:$L$1006,$G857))</f>
        <v/>
      </c>
      <c r="J857" s="9" t="str">
        <f ca="1">IF($G857="","",INDEX(BASE_PRODUTOS!$A$2:$A$1006,$G857))</f>
        <v/>
      </c>
      <c r="K857" s="9" t="str">
        <f ca="1">IF($G857="","",INDEX(BASE_PRODUTOS!$C$2:$C$1006,$G857))</f>
        <v/>
      </c>
      <c r="L857" s="9" t="str">
        <f ca="1">IF($G857="","",INDEX(BASE_PRODUTOS!$E$2:$E$1006,$G857))</f>
        <v/>
      </c>
      <c r="M857" s="9" t="str">
        <f ca="1">IF($G857="","",INDEX(BASE_PRODUTOS!$F$2:$F$1006,$G857))</f>
        <v/>
      </c>
      <c r="N857" s="9" t="str">
        <f ca="1">IF($G857="","",INDEX(BASE_PRODUTOS!$G$2:$G$1006,$G857))</f>
        <v/>
      </c>
      <c r="O857" s="9" t="str">
        <f ca="1">IF($G857="","",INDEX(BASE_PRODUTOS!$H$2:$H$1006,$G857))</f>
        <v/>
      </c>
      <c r="P857" s="9" t="str">
        <f ca="1">IF($G857="","",INDEX(BASE_PRODUTOS!$I$2:$I$1006,$G857))</f>
        <v/>
      </c>
      <c r="Q857" s="9" t="str">
        <f ca="1">IF($G857="","",INDEX(BASE_PRODUTOS!$J$2:$J$1006,$G857))</f>
        <v/>
      </c>
      <c r="R857" s="9" t="str">
        <f ca="1">IF($G857="","",INDEX(BASE_PRODUTOS!$M$2:$M$1006,$G857))</f>
        <v/>
      </c>
      <c r="S857" s="9" t="str">
        <f ca="1">IF($G857="","",INDEX(BASE_PRODUTOS!$N$2:$N$1006,$G857))</f>
        <v/>
      </c>
      <c r="T857" s="9" t="str">
        <f ca="1">IF($G857="","",INDEX(BASE_PRODUTOS!$D$2:$D$1006,$G857))</f>
        <v/>
      </c>
    </row>
    <row r="858" spans="7:20" ht="18" customHeight="1" x14ac:dyDescent="0.35">
      <c r="G858" t="str">
        <f ca="1">IFERROR(_xludf.aggregate(15,6,(ROW(BASE_PRODUTOS!$L$2:$L$1006)-ROW(BASE_PRODUTOS!$L$2)+1)/(BASE_PRODUTOS!$L$2:$L$1006&gt;0),ROWS($G$10:G858)),"")</f>
        <v/>
      </c>
      <c r="H858" s="9" t="str">
        <f ca="1">IF($G858="","",INDEX(BASE_PRODUTOS!$B$2:$B$1006,$G858))</f>
        <v/>
      </c>
      <c r="I858" s="9" t="str">
        <f ca="1">IF($G858="","",INDEX(BASE_PRODUTOS!$L$2:$L$1006,$G858))</f>
        <v/>
      </c>
      <c r="J858" s="9" t="str">
        <f ca="1">IF($G858="","",INDEX(BASE_PRODUTOS!$A$2:$A$1006,$G858))</f>
        <v/>
      </c>
      <c r="K858" s="9" t="str">
        <f ca="1">IF($G858="","",INDEX(BASE_PRODUTOS!$C$2:$C$1006,$G858))</f>
        <v/>
      </c>
      <c r="L858" s="9" t="str">
        <f ca="1">IF($G858="","",INDEX(BASE_PRODUTOS!$E$2:$E$1006,$G858))</f>
        <v/>
      </c>
      <c r="M858" s="9" t="str">
        <f ca="1">IF($G858="","",INDEX(BASE_PRODUTOS!$F$2:$F$1006,$G858))</f>
        <v/>
      </c>
      <c r="N858" s="9" t="str">
        <f ca="1">IF($G858="","",INDEX(BASE_PRODUTOS!$G$2:$G$1006,$G858))</f>
        <v/>
      </c>
      <c r="O858" s="9" t="str">
        <f ca="1">IF($G858="","",INDEX(BASE_PRODUTOS!$H$2:$H$1006,$G858))</f>
        <v/>
      </c>
      <c r="P858" s="9" t="str">
        <f ca="1">IF($G858="","",INDEX(BASE_PRODUTOS!$I$2:$I$1006,$G858))</f>
        <v/>
      </c>
      <c r="Q858" s="9" t="str">
        <f ca="1">IF($G858="","",INDEX(BASE_PRODUTOS!$J$2:$J$1006,$G858))</f>
        <v/>
      </c>
      <c r="R858" s="9" t="str">
        <f ca="1">IF($G858="","",INDEX(BASE_PRODUTOS!$M$2:$M$1006,$G858))</f>
        <v/>
      </c>
      <c r="S858" s="9" t="str">
        <f ca="1">IF($G858="","",INDEX(BASE_PRODUTOS!$N$2:$N$1006,$G858))</f>
        <v/>
      </c>
      <c r="T858" s="9" t="str">
        <f ca="1">IF($G858="","",INDEX(BASE_PRODUTOS!$D$2:$D$1006,$G858))</f>
        <v/>
      </c>
    </row>
    <row r="859" spans="7:20" ht="18" customHeight="1" x14ac:dyDescent="0.35">
      <c r="G859" t="str">
        <f ca="1">IFERROR(_xludf.aggregate(15,6,(ROW(BASE_PRODUTOS!$L$2:$L$1006)-ROW(BASE_PRODUTOS!$L$2)+1)/(BASE_PRODUTOS!$L$2:$L$1006&gt;0),ROWS($G$10:G859)),"")</f>
        <v/>
      </c>
      <c r="H859" s="9" t="str">
        <f ca="1">IF($G859="","",INDEX(BASE_PRODUTOS!$B$2:$B$1006,$G859))</f>
        <v/>
      </c>
      <c r="I859" s="9" t="str">
        <f ca="1">IF($G859="","",INDEX(BASE_PRODUTOS!$L$2:$L$1006,$G859))</f>
        <v/>
      </c>
      <c r="J859" s="9" t="str">
        <f ca="1">IF($G859="","",INDEX(BASE_PRODUTOS!$A$2:$A$1006,$G859))</f>
        <v/>
      </c>
      <c r="K859" s="9" t="str">
        <f ca="1">IF($G859="","",INDEX(BASE_PRODUTOS!$C$2:$C$1006,$G859))</f>
        <v/>
      </c>
      <c r="L859" s="9" t="str">
        <f ca="1">IF($G859="","",INDEX(BASE_PRODUTOS!$E$2:$E$1006,$G859))</f>
        <v/>
      </c>
      <c r="M859" s="9" t="str">
        <f ca="1">IF($G859="","",INDEX(BASE_PRODUTOS!$F$2:$F$1006,$G859))</f>
        <v/>
      </c>
      <c r="N859" s="9" t="str">
        <f ca="1">IF($G859="","",INDEX(BASE_PRODUTOS!$G$2:$G$1006,$G859))</f>
        <v/>
      </c>
      <c r="O859" s="9" t="str">
        <f ca="1">IF($G859="","",INDEX(BASE_PRODUTOS!$H$2:$H$1006,$G859))</f>
        <v/>
      </c>
      <c r="P859" s="9" t="str">
        <f ca="1">IF($G859="","",INDEX(BASE_PRODUTOS!$I$2:$I$1006,$G859))</f>
        <v/>
      </c>
      <c r="Q859" s="9" t="str">
        <f ca="1">IF($G859="","",INDEX(BASE_PRODUTOS!$J$2:$J$1006,$G859))</f>
        <v/>
      </c>
      <c r="R859" s="9" t="str">
        <f ca="1">IF($G859="","",INDEX(BASE_PRODUTOS!$M$2:$M$1006,$G859))</f>
        <v/>
      </c>
      <c r="S859" s="9" t="str">
        <f ca="1">IF($G859="","",INDEX(BASE_PRODUTOS!$N$2:$N$1006,$G859))</f>
        <v/>
      </c>
      <c r="T859" s="9" t="str">
        <f ca="1">IF($G859="","",INDEX(BASE_PRODUTOS!$D$2:$D$1006,$G859))</f>
        <v/>
      </c>
    </row>
    <row r="860" spans="7:20" ht="18" customHeight="1" x14ac:dyDescent="0.35">
      <c r="G860" t="str">
        <f ca="1">IFERROR(_xludf.aggregate(15,6,(ROW(BASE_PRODUTOS!$L$2:$L$1006)-ROW(BASE_PRODUTOS!$L$2)+1)/(BASE_PRODUTOS!$L$2:$L$1006&gt;0),ROWS($G$10:G860)),"")</f>
        <v/>
      </c>
      <c r="H860" s="9" t="str">
        <f ca="1">IF($G860="","",INDEX(BASE_PRODUTOS!$B$2:$B$1006,$G860))</f>
        <v/>
      </c>
      <c r="I860" s="9" t="str">
        <f ca="1">IF($G860="","",INDEX(BASE_PRODUTOS!$L$2:$L$1006,$G860))</f>
        <v/>
      </c>
      <c r="J860" s="9" t="str">
        <f ca="1">IF($G860="","",INDEX(BASE_PRODUTOS!$A$2:$A$1006,$G860))</f>
        <v/>
      </c>
      <c r="K860" s="9" t="str">
        <f ca="1">IF($G860="","",INDEX(BASE_PRODUTOS!$C$2:$C$1006,$G860))</f>
        <v/>
      </c>
      <c r="L860" s="9" t="str">
        <f ca="1">IF($G860="","",INDEX(BASE_PRODUTOS!$E$2:$E$1006,$G860))</f>
        <v/>
      </c>
      <c r="M860" s="9" t="str">
        <f ca="1">IF($G860="","",INDEX(BASE_PRODUTOS!$F$2:$F$1006,$G860))</f>
        <v/>
      </c>
      <c r="N860" s="9" t="str">
        <f ca="1">IF($G860="","",INDEX(BASE_PRODUTOS!$G$2:$G$1006,$G860))</f>
        <v/>
      </c>
      <c r="O860" s="9" t="str">
        <f ca="1">IF($G860="","",INDEX(BASE_PRODUTOS!$H$2:$H$1006,$G860))</f>
        <v/>
      </c>
      <c r="P860" s="9" t="str">
        <f ca="1">IF($G860="","",INDEX(BASE_PRODUTOS!$I$2:$I$1006,$G860))</f>
        <v/>
      </c>
      <c r="Q860" s="9" t="str">
        <f ca="1">IF($G860="","",INDEX(BASE_PRODUTOS!$J$2:$J$1006,$G860))</f>
        <v/>
      </c>
      <c r="R860" s="9" t="str">
        <f ca="1">IF($G860="","",INDEX(BASE_PRODUTOS!$M$2:$M$1006,$G860))</f>
        <v/>
      </c>
      <c r="S860" s="9" t="str">
        <f ca="1">IF($G860="","",INDEX(BASE_PRODUTOS!$N$2:$N$1006,$G860))</f>
        <v/>
      </c>
      <c r="T860" s="9" t="str">
        <f ca="1">IF($G860="","",INDEX(BASE_PRODUTOS!$D$2:$D$1006,$G860))</f>
        <v/>
      </c>
    </row>
    <row r="861" spans="7:20" ht="18" customHeight="1" x14ac:dyDescent="0.35">
      <c r="G861" t="str">
        <f ca="1">IFERROR(_xludf.aggregate(15,6,(ROW(BASE_PRODUTOS!$L$2:$L$1006)-ROW(BASE_PRODUTOS!$L$2)+1)/(BASE_PRODUTOS!$L$2:$L$1006&gt;0),ROWS($G$10:G861)),"")</f>
        <v/>
      </c>
      <c r="H861" s="9" t="str">
        <f ca="1">IF($G861="","",INDEX(BASE_PRODUTOS!$B$2:$B$1006,$G861))</f>
        <v/>
      </c>
      <c r="I861" s="9" t="str">
        <f ca="1">IF($G861="","",INDEX(BASE_PRODUTOS!$L$2:$L$1006,$G861))</f>
        <v/>
      </c>
      <c r="J861" s="9" t="str">
        <f ca="1">IF($G861="","",INDEX(BASE_PRODUTOS!$A$2:$A$1006,$G861))</f>
        <v/>
      </c>
      <c r="K861" s="9" t="str">
        <f ca="1">IF($G861="","",INDEX(BASE_PRODUTOS!$C$2:$C$1006,$G861))</f>
        <v/>
      </c>
      <c r="L861" s="9" t="str">
        <f ca="1">IF($G861="","",INDEX(BASE_PRODUTOS!$E$2:$E$1006,$G861))</f>
        <v/>
      </c>
      <c r="M861" s="9" t="str">
        <f ca="1">IF($G861="","",INDEX(BASE_PRODUTOS!$F$2:$F$1006,$G861))</f>
        <v/>
      </c>
      <c r="N861" s="9" t="str">
        <f ca="1">IF($G861="","",INDEX(BASE_PRODUTOS!$G$2:$G$1006,$G861))</f>
        <v/>
      </c>
      <c r="O861" s="9" t="str">
        <f ca="1">IF($G861="","",INDEX(BASE_PRODUTOS!$H$2:$H$1006,$G861))</f>
        <v/>
      </c>
      <c r="P861" s="9" t="str">
        <f ca="1">IF($G861="","",INDEX(BASE_PRODUTOS!$I$2:$I$1006,$G861))</f>
        <v/>
      </c>
      <c r="Q861" s="9" t="str">
        <f ca="1">IF($G861="","",INDEX(BASE_PRODUTOS!$J$2:$J$1006,$G861))</f>
        <v/>
      </c>
      <c r="R861" s="9" t="str">
        <f ca="1">IF($G861="","",INDEX(BASE_PRODUTOS!$M$2:$M$1006,$G861))</f>
        <v/>
      </c>
      <c r="S861" s="9" t="str">
        <f ca="1">IF($G861="","",INDEX(BASE_PRODUTOS!$N$2:$N$1006,$G861))</f>
        <v/>
      </c>
      <c r="T861" s="9" t="str">
        <f ca="1">IF($G861="","",INDEX(BASE_PRODUTOS!$D$2:$D$1006,$G861))</f>
        <v/>
      </c>
    </row>
    <row r="862" spans="7:20" ht="18" customHeight="1" x14ac:dyDescent="0.35">
      <c r="G862" t="str">
        <f ca="1">IFERROR(_xludf.aggregate(15,6,(ROW(BASE_PRODUTOS!$L$2:$L$1006)-ROW(BASE_PRODUTOS!$L$2)+1)/(BASE_PRODUTOS!$L$2:$L$1006&gt;0),ROWS($G$10:G862)),"")</f>
        <v/>
      </c>
      <c r="H862" s="9" t="str">
        <f ca="1">IF($G862="","",INDEX(BASE_PRODUTOS!$B$2:$B$1006,$G862))</f>
        <v/>
      </c>
      <c r="I862" s="9" t="str">
        <f ca="1">IF($G862="","",INDEX(BASE_PRODUTOS!$L$2:$L$1006,$G862))</f>
        <v/>
      </c>
      <c r="J862" s="9" t="str">
        <f ca="1">IF($G862="","",INDEX(BASE_PRODUTOS!$A$2:$A$1006,$G862))</f>
        <v/>
      </c>
      <c r="K862" s="9" t="str">
        <f ca="1">IF($G862="","",INDEX(BASE_PRODUTOS!$C$2:$C$1006,$G862))</f>
        <v/>
      </c>
      <c r="L862" s="9" t="str">
        <f ca="1">IF($G862="","",INDEX(BASE_PRODUTOS!$E$2:$E$1006,$G862))</f>
        <v/>
      </c>
      <c r="M862" s="9" t="str">
        <f ca="1">IF($G862="","",INDEX(BASE_PRODUTOS!$F$2:$F$1006,$G862))</f>
        <v/>
      </c>
      <c r="N862" s="9" t="str">
        <f ca="1">IF($G862="","",INDEX(BASE_PRODUTOS!$G$2:$G$1006,$G862))</f>
        <v/>
      </c>
      <c r="O862" s="9" t="str">
        <f ca="1">IF($G862="","",INDEX(BASE_PRODUTOS!$H$2:$H$1006,$G862))</f>
        <v/>
      </c>
      <c r="P862" s="9" t="str">
        <f ca="1">IF($G862="","",INDEX(BASE_PRODUTOS!$I$2:$I$1006,$G862))</f>
        <v/>
      </c>
      <c r="Q862" s="9" t="str">
        <f ca="1">IF($G862="","",INDEX(BASE_PRODUTOS!$J$2:$J$1006,$G862))</f>
        <v/>
      </c>
      <c r="R862" s="9" t="str">
        <f ca="1">IF($G862="","",INDEX(BASE_PRODUTOS!$M$2:$M$1006,$G862))</f>
        <v/>
      </c>
      <c r="S862" s="9" t="str">
        <f ca="1">IF($G862="","",INDEX(BASE_PRODUTOS!$N$2:$N$1006,$G862))</f>
        <v/>
      </c>
      <c r="T862" s="9" t="str">
        <f ca="1">IF($G862="","",INDEX(BASE_PRODUTOS!$D$2:$D$1006,$G862))</f>
        <v/>
      </c>
    </row>
    <row r="863" spans="7:20" ht="18" customHeight="1" x14ac:dyDescent="0.35">
      <c r="G863" t="str">
        <f ca="1">IFERROR(_xludf.aggregate(15,6,(ROW(BASE_PRODUTOS!$L$2:$L$1006)-ROW(BASE_PRODUTOS!$L$2)+1)/(BASE_PRODUTOS!$L$2:$L$1006&gt;0),ROWS($G$10:G863)),"")</f>
        <v/>
      </c>
      <c r="H863" s="9" t="str">
        <f ca="1">IF($G863="","",INDEX(BASE_PRODUTOS!$B$2:$B$1006,$G863))</f>
        <v/>
      </c>
      <c r="I863" s="9" t="str">
        <f ca="1">IF($G863="","",INDEX(BASE_PRODUTOS!$L$2:$L$1006,$G863))</f>
        <v/>
      </c>
      <c r="J863" s="9" t="str">
        <f ca="1">IF($G863="","",INDEX(BASE_PRODUTOS!$A$2:$A$1006,$G863))</f>
        <v/>
      </c>
      <c r="K863" s="9" t="str">
        <f ca="1">IF($G863="","",INDEX(BASE_PRODUTOS!$C$2:$C$1006,$G863))</f>
        <v/>
      </c>
      <c r="L863" s="9" t="str">
        <f ca="1">IF($G863="","",INDEX(BASE_PRODUTOS!$E$2:$E$1006,$G863))</f>
        <v/>
      </c>
      <c r="M863" s="9" t="str">
        <f ca="1">IF($G863="","",INDEX(BASE_PRODUTOS!$F$2:$F$1006,$G863))</f>
        <v/>
      </c>
      <c r="N863" s="9" t="str">
        <f ca="1">IF($G863="","",INDEX(BASE_PRODUTOS!$G$2:$G$1006,$G863))</f>
        <v/>
      </c>
      <c r="O863" s="9" t="str">
        <f ca="1">IF($G863="","",INDEX(BASE_PRODUTOS!$H$2:$H$1006,$G863))</f>
        <v/>
      </c>
      <c r="P863" s="9" t="str">
        <f ca="1">IF($G863="","",INDEX(BASE_PRODUTOS!$I$2:$I$1006,$G863))</f>
        <v/>
      </c>
      <c r="Q863" s="9" t="str">
        <f ca="1">IF($G863="","",INDEX(BASE_PRODUTOS!$J$2:$J$1006,$G863))</f>
        <v/>
      </c>
      <c r="R863" s="9" t="str">
        <f ca="1">IF($G863="","",INDEX(BASE_PRODUTOS!$M$2:$M$1006,$G863))</f>
        <v/>
      </c>
      <c r="S863" s="9" t="str">
        <f ca="1">IF($G863="","",INDEX(BASE_PRODUTOS!$N$2:$N$1006,$G863))</f>
        <v/>
      </c>
      <c r="T863" s="9" t="str">
        <f ca="1">IF($G863="","",INDEX(BASE_PRODUTOS!$D$2:$D$1006,$G863))</f>
        <v/>
      </c>
    </row>
    <row r="864" spans="7:20" ht="18" customHeight="1" x14ac:dyDescent="0.35">
      <c r="G864" t="str">
        <f ca="1">IFERROR(_xludf.aggregate(15,6,(ROW(BASE_PRODUTOS!$L$2:$L$1006)-ROW(BASE_PRODUTOS!$L$2)+1)/(BASE_PRODUTOS!$L$2:$L$1006&gt;0),ROWS($G$10:G864)),"")</f>
        <v/>
      </c>
      <c r="H864" s="9" t="str">
        <f ca="1">IF($G864="","",INDEX(BASE_PRODUTOS!$B$2:$B$1006,$G864))</f>
        <v/>
      </c>
      <c r="I864" s="9" t="str">
        <f ca="1">IF($G864="","",INDEX(BASE_PRODUTOS!$L$2:$L$1006,$G864))</f>
        <v/>
      </c>
      <c r="J864" s="9" t="str">
        <f ca="1">IF($G864="","",INDEX(BASE_PRODUTOS!$A$2:$A$1006,$G864))</f>
        <v/>
      </c>
      <c r="K864" s="9" t="str">
        <f ca="1">IF($G864="","",INDEX(BASE_PRODUTOS!$C$2:$C$1006,$G864))</f>
        <v/>
      </c>
      <c r="L864" s="9" t="str">
        <f ca="1">IF($G864="","",INDEX(BASE_PRODUTOS!$E$2:$E$1006,$G864))</f>
        <v/>
      </c>
      <c r="M864" s="9" t="str">
        <f ca="1">IF($G864="","",INDEX(BASE_PRODUTOS!$F$2:$F$1006,$G864))</f>
        <v/>
      </c>
      <c r="N864" s="9" t="str">
        <f ca="1">IF($G864="","",INDEX(BASE_PRODUTOS!$G$2:$G$1006,$G864))</f>
        <v/>
      </c>
      <c r="O864" s="9" t="str">
        <f ca="1">IF($G864="","",INDEX(BASE_PRODUTOS!$H$2:$H$1006,$G864))</f>
        <v/>
      </c>
      <c r="P864" s="9" t="str">
        <f ca="1">IF($G864="","",INDEX(BASE_PRODUTOS!$I$2:$I$1006,$G864))</f>
        <v/>
      </c>
      <c r="Q864" s="9" t="str">
        <f ca="1">IF($G864="","",INDEX(BASE_PRODUTOS!$J$2:$J$1006,$G864))</f>
        <v/>
      </c>
      <c r="R864" s="9" t="str">
        <f ca="1">IF($G864="","",INDEX(BASE_PRODUTOS!$M$2:$M$1006,$G864))</f>
        <v/>
      </c>
      <c r="S864" s="9" t="str">
        <f ca="1">IF($G864="","",INDEX(BASE_PRODUTOS!$N$2:$N$1006,$G864))</f>
        <v/>
      </c>
      <c r="T864" s="9" t="str">
        <f ca="1">IF($G864="","",INDEX(BASE_PRODUTOS!$D$2:$D$1006,$G864))</f>
        <v/>
      </c>
    </row>
    <row r="865" spans="7:20" ht="18" customHeight="1" x14ac:dyDescent="0.35">
      <c r="G865" t="str">
        <f ca="1">IFERROR(_xludf.aggregate(15,6,(ROW(BASE_PRODUTOS!$L$2:$L$1006)-ROW(BASE_PRODUTOS!$L$2)+1)/(BASE_PRODUTOS!$L$2:$L$1006&gt;0),ROWS($G$10:G865)),"")</f>
        <v/>
      </c>
      <c r="H865" s="9" t="str">
        <f ca="1">IF($G865="","",INDEX(BASE_PRODUTOS!$B$2:$B$1006,$G865))</f>
        <v/>
      </c>
      <c r="I865" s="9" t="str">
        <f ca="1">IF($G865="","",INDEX(BASE_PRODUTOS!$L$2:$L$1006,$G865))</f>
        <v/>
      </c>
      <c r="J865" s="9" t="str">
        <f ca="1">IF($G865="","",INDEX(BASE_PRODUTOS!$A$2:$A$1006,$G865))</f>
        <v/>
      </c>
      <c r="K865" s="9" t="str">
        <f ca="1">IF($G865="","",INDEX(BASE_PRODUTOS!$C$2:$C$1006,$G865))</f>
        <v/>
      </c>
      <c r="L865" s="9" t="str">
        <f ca="1">IF($G865="","",INDEX(BASE_PRODUTOS!$E$2:$E$1006,$G865))</f>
        <v/>
      </c>
      <c r="M865" s="9" t="str">
        <f ca="1">IF($G865="","",INDEX(BASE_PRODUTOS!$F$2:$F$1006,$G865))</f>
        <v/>
      </c>
      <c r="N865" s="9" t="str">
        <f ca="1">IF($G865="","",INDEX(BASE_PRODUTOS!$G$2:$G$1006,$G865))</f>
        <v/>
      </c>
      <c r="O865" s="9" t="str">
        <f ca="1">IF($G865="","",INDEX(BASE_PRODUTOS!$H$2:$H$1006,$G865))</f>
        <v/>
      </c>
      <c r="P865" s="9" t="str">
        <f ca="1">IF($G865="","",INDEX(BASE_PRODUTOS!$I$2:$I$1006,$G865))</f>
        <v/>
      </c>
      <c r="Q865" s="9" t="str">
        <f ca="1">IF($G865="","",INDEX(BASE_PRODUTOS!$J$2:$J$1006,$G865))</f>
        <v/>
      </c>
      <c r="R865" s="9" t="str">
        <f ca="1">IF($G865="","",INDEX(BASE_PRODUTOS!$M$2:$M$1006,$G865))</f>
        <v/>
      </c>
      <c r="S865" s="9" t="str">
        <f ca="1">IF($G865="","",INDEX(BASE_PRODUTOS!$N$2:$N$1006,$G865))</f>
        <v/>
      </c>
      <c r="T865" s="9" t="str">
        <f ca="1">IF($G865="","",INDEX(BASE_PRODUTOS!$D$2:$D$1006,$G865))</f>
        <v/>
      </c>
    </row>
    <row r="866" spans="7:20" ht="18" customHeight="1" x14ac:dyDescent="0.35">
      <c r="G866" t="str">
        <f ca="1">IFERROR(_xludf.aggregate(15,6,(ROW(BASE_PRODUTOS!$L$2:$L$1006)-ROW(BASE_PRODUTOS!$L$2)+1)/(BASE_PRODUTOS!$L$2:$L$1006&gt;0),ROWS($G$10:G866)),"")</f>
        <v/>
      </c>
      <c r="H866" s="9" t="str">
        <f ca="1">IF($G866="","",INDEX(BASE_PRODUTOS!$B$2:$B$1006,$G866))</f>
        <v/>
      </c>
      <c r="I866" s="9" t="str">
        <f ca="1">IF($G866="","",INDEX(BASE_PRODUTOS!$L$2:$L$1006,$G866))</f>
        <v/>
      </c>
      <c r="J866" s="9" t="str">
        <f ca="1">IF($G866="","",INDEX(BASE_PRODUTOS!$A$2:$A$1006,$G866))</f>
        <v/>
      </c>
      <c r="K866" s="9" t="str">
        <f ca="1">IF($G866="","",INDEX(BASE_PRODUTOS!$C$2:$C$1006,$G866))</f>
        <v/>
      </c>
      <c r="L866" s="9" t="str">
        <f ca="1">IF($G866="","",INDEX(BASE_PRODUTOS!$E$2:$E$1006,$G866))</f>
        <v/>
      </c>
      <c r="M866" s="9" t="str">
        <f ca="1">IF($G866="","",INDEX(BASE_PRODUTOS!$F$2:$F$1006,$G866))</f>
        <v/>
      </c>
      <c r="N866" s="9" t="str">
        <f ca="1">IF($G866="","",INDEX(BASE_PRODUTOS!$G$2:$G$1006,$G866))</f>
        <v/>
      </c>
      <c r="O866" s="9" t="str">
        <f ca="1">IF($G866="","",INDEX(BASE_PRODUTOS!$H$2:$H$1006,$G866))</f>
        <v/>
      </c>
      <c r="P866" s="9" t="str">
        <f ca="1">IF($G866="","",INDEX(BASE_PRODUTOS!$I$2:$I$1006,$G866))</f>
        <v/>
      </c>
      <c r="Q866" s="9" t="str">
        <f ca="1">IF($G866="","",INDEX(BASE_PRODUTOS!$J$2:$J$1006,$G866))</f>
        <v/>
      </c>
      <c r="R866" s="9" t="str">
        <f ca="1">IF($G866="","",INDEX(BASE_PRODUTOS!$M$2:$M$1006,$G866))</f>
        <v/>
      </c>
      <c r="S866" s="9" t="str">
        <f ca="1">IF($G866="","",INDEX(BASE_PRODUTOS!$N$2:$N$1006,$G866))</f>
        <v/>
      </c>
      <c r="T866" s="9" t="str">
        <f ca="1">IF($G866="","",INDEX(BASE_PRODUTOS!$D$2:$D$1006,$G866))</f>
        <v/>
      </c>
    </row>
    <row r="867" spans="7:20" ht="18" customHeight="1" x14ac:dyDescent="0.35">
      <c r="G867" t="str">
        <f ca="1">IFERROR(_xludf.aggregate(15,6,(ROW(BASE_PRODUTOS!$L$2:$L$1006)-ROW(BASE_PRODUTOS!$L$2)+1)/(BASE_PRODUTOS!$L$2:$L$1006&gt;0),ROWS($G$10:G867)),"")</f>
        <v/>
      </c>
      <c r="H867" s="9" t="str">
        <f ca="1">IF($G867="","",INDEX(BASE_PRODUTOS!$B$2:$B$1006,$G867))</f>
        <v/>
      </c>
      <c r="I867" s="9" t="str">
        <f ca="1">IF($G867="","",INDEX(BASE_PRODUTOS!$L$2:$L$1006,$G867))</f>
        <v/>
      </c>
      <c r="J867" s="9" t="str">
        <f ca="1">IF($G867="","",INDEX(BASE_PRODUTOS!$A$2:$A$1006,$G867))</f>
        <v/>
      </c>
      <c r="K867" s="9" t="str">
        <f ca="1">IF($G867="","",INDEX(BASE_PRODUTOS!$C$2:$C$1006,$G867))</f>
        <v/>
      </c>
      <c r="L867" s="9" t="str">
        <f ca="1">IF($G867="","",INDEX(BASE_PRODUTOS!$E$2:$E$1006,$G867))</f>
        <v/>
      </c>
      <c r="M867" s="9" t="str">
        <f ca="1">IF($G867="","",INDEX(BASE_PRODUTOS!$F$2:$F$1006,$G867))</f>
        <v/>
      </c>
      <c r="N867" s="9" t="str">
        <f ca="1">IF($G867="","",INDEX(BASE_PRODUTOS!$G$2:$G$1006,$G867))</f>
        <v/>
      </c>
      <c r="O867" s="9" t="str">
        <f ca="1">IF($G867="","",INDEX(BASE_PRODUTOS!$H$2:$H$1006,$G867))</f>
        <v/>
      </c>
      <c r="P867" s="9" t="str">
        <f ca="1">IF($G867="","",INDEX(BASE_PRODUTOS!$I$2:$I$1006,$G867))</f>
        <v/>
      </c>
      <c r="Q867" s="9" t="str">
        <f ca="1">IF($G867="","",INDEX(BASE_PRODUTOS!$J$2:$J$1006,$G867))</f>
        <v/>
      </c>
      <c r="R867" s="9" t="str">
        <f ca="1">IF($G867="","",INDEX(BASE_PRODUTOS!$M$2:$M$1006,$G867))</f>
        <v/>
      </c>
      <c r="S867" s="9" t="str">
        <f ca="1">IF($G867="","",INDEX(BASE_PRODUTOS!$N$2:$N$1006,$G867))</f>
        <v/>
      </c>
      <c r="T867" s="9" t="str">
        <f ca="1">IF($G867="","",INDEX(BASE_PRODUTOS!$D$2:$D$1006,$G867))</f>
        <v/>
      </c>
    </row>
    <row r="868" spans="7:20" ht="18" customHeight="1" x14ac:dyDescent="0.35">
      <c r="G868" t="str">
        <f ca="1">IFERROR(_xludf.aggregate(15,6,(ROW(BASE_PRODUTOS!$L$2:$L$1006)-ROW(BASE_PRODUTOS!$L$2)+1)/(BASE_PRODUTOS!$L$2:$L$1006&gt;0),ROWS($G$10:G868)),"")</f>
        <v/>
      </c>
      <c r="H868" s="9" t="str">
        <f ca="1">IF($G868="","",INDEX(BASE_PRODUTOS!$B$2:$B$1006,$G868))</f>
        <v/>
      </c>
      <c r="I868" s="9" t="str">
        <f ca="1">IF($G868="","",INDEX(BASE_PRODUTOS!$L$2:$L$1006,$G868))</f>
        <v/>
      </c>
      <c r="J868" s="9" t="str">
        <f ca="1">IF($G868="","",INDEX(BASE_PRODUTOS!$A$2:$A$1006,$G868))</f>
        <v/>
      </c>
      <c r="K868" s="9" t="str">
        <f ca="1">IF($G868="","",INDEX(BASE_PRODUTOS!$C$2:$C$1006,$G868))</f>
        <v/>
      </c>
      <c r="L868" s="9" t="str">
        <f ca="1">IF($G868="","",INDEX(BASE_PRODUTOS!$E$2:$E$1006,$G868))</f>
        <v/>
      </c>
      <c r="M868" s="9" t="str">
        <f ca="1">IF($G868="","",INDEX(BASE_PRODUTOS!$F$2:$F$1006,$G868))</f>
        <v/>
      </c>
      <c r="N868" s="9" t="str">
        <f ca="1">IF($G868="","",INDEX(BASE_PRODUTOS!$G$2:$G$1006,$G868))</f>
        <v/>
      </c>
      <c r="O868" s="9" t="str">
        <f ca="1">IF($G868="","",INDEX(BASE_PRODUTOS!$H$2:$H$1006,$G868))</f>
        <v/>
      </c>
      <c r="P868" s="9" t="str">
        <f ca="1">IF($G868="","",INDEX(BASE_PRODUTOS!$I$2:$I$1006,$G868))</f>
        <v/>
      </c>
      <c r="Q868" s="9" t="str">
        <f ca="1">IF($G868="","",INDEX(BASE_PRODUTOS!$J$2:$J$1006,$G868))</f>
        <v/>
      </c>
      <c r="R868" s="9" t="str">
        <f ca="1">IF($G868="","",INDEX(BASE_PRODUTOS!$M$2:$M$1006,$G868))</f>
        <v/>
      </c>
      <c r="S868" s="9" t="str">
        <f ca="1">IF($G868="","",INDEX(BASE_PRODUTOS!$N$2:$N$1006,$G868))</f>
        <v/>
      </c>
      <c r="T868" s="9" t="str">
        <f ca="1">IF($G868="","",INDEX(BASE_PRODUTOS!$D$2:$D$1006,$G868))</f>
        <v/>
      </c>
    </row>
    <row r="869" spans="7:20" ht="18" customHeight="1" x14ac:dyDescent="0.35">
      <c r="G869" t="str">
        <f ca="1">IFERROR(_xludf.aggregate(15,6,(ROW(BASE_PRODUTOS!$L$2:$L$1006)-ROW(BASE_PRODUTOS!$L$2)+1)/(BASE_PRODUTOS!$L$2:$L$1006&gt;0),ROWS($G$10:G869)),"")</f>
        <v/>
      </c>
      <c r="H869" s="9" t="str">
        <f ca="1">IF($G869="","",INDEX(BASE_PRODUTOS!$B$2:$B$1006,$G869))</f>
        <v/>
      </c>
      <c r="I869" s="9" t="str">
        <f ca="1">IF($G869="","",INDEX(BASE_PRODUTOS!$L$2:$L$1006,$G869))</f>
        <v/>
      </c>
      <c r="J869" s="9" t="str">
        <f ca="1">IF($G869="","",INDEX(BASE_PRODUTOS!$A$2:$A$1006,$G869))</f>
        <v/>
      </c>
      <c r="K869" s="9" t="str">
        <f ca="1">IF($G869="","",INDEX(BASE_PRODUTOS!$C$2:$C$1006,$G869))</f>
        <v/>
      </c>
      <c r="L869" s="9" t="str">
        <f ca="1">IF($G869="","",INDEX(BASE_PRODUTOS!$E$2:$E$1006,$G869))</f>
        <v/>
      </c>
      <c r="M869" s="9" t="str">
        <f ca="1">IF($G869="","",INDEX(BASE_PRODUTOS!$F$2:$F$1006,$G869))</f>
        <v/>
      </c>
      <c r="N869" s="9" t="str">
        <f ca="1">IF($G869="","",INDEX(BASE_PRODUTOS!$G$2:$G$1006,$G869))</f>
        <v/>
      </c>
      <c r="O869" s="9" t="str">
        <f ca="1">IF($G869="","",INDEX(BASE_PRODUTOS!$H$2:$H$1006,$G869))</f>
        <v/>
      </c>
      <c r="P869" s="9" t="str">
        <f ca="1">IF($G869="","",INDEX(BASE_PRODUTOS!$I$2:$I$1006,$G869))</f>
        <v/>
      </c>
      <c r="Q869" s="9" t="str">
        <f ca="1">IF($G869="","",INDEX(BASE_PRODUTOS!$J$2:$J$1006,$G869))</f>
        <v/>
      </c>
      <c r="R869" s="9" t="str">
        <f ca="1">IF($G869="","",INDEX(BASE_PRODUTOS!$M$2:$M$1006,$G869))</f>
        <v/>
      </c>
      <c r="S869" s="9" t="str">
        <f ca="1">IF($G869="","",INDEX(BASE_PRODUTOS!$N$2:$N$1006,$G869))</f>
        <v/>
      </c>
      <c r="T869" s="9" t="str">
        <f ca="1">IF($G869="","",INDEX(BASE_PRODUTOS!$D$2:$D$1006,$G869))</f>
        <v/>
      </c>
    </row>
    <row r="870" spans="7:20" ht="18" customHeight="1" x14ac:dyDescent="0.35">
      <c r="G870" t="str">
        <f ca="1">IFERROR(_xludf.aggregate(15,6,(ROW(BASE_PRODUTOS!$L$2:$L$1006)-ROW(BASE_PRODUTOS!$L$2)+1)/(BASE_PRODUTOS!$L$2:$L$1006&gt;0),ROWS($G$10:G870)),"")</f>
        <v/>
      </c>
      <c r="H870" s="9" t="str">
        <f ca="1">IF($G870="","",INDEX(BASE_PRODUTOS!$B$2:$B$1006,$G870))</f>
        <v/>
      </c>
      <c r="I870" s="9" t="str">
        <f ca="1">IF($G870="","",INDEX(BASE_PRODUTOS!$L$2:$L$1006,$G870))</f>
        <v/>
      </c>
      <c r="J870" s="9" t="str">
        <f ca="1">IF($G870="","",INDEX(BASE_PRODUTOS!$A$2:$A$1006,$G870))</f>
        <v/>
      </c>
      <c r="K870" s="9" t="str">
        <f ca="1">IF($G870="","",INDEX(BASE_PRODUTOS!$C$2:$C$1006,$G870))</f>
        <v/>
      </c>
      <c r="L870" s="9" t="str">
        <f ca="1">IF($G870="","",INDEX(BASE_PRODUTOS!$E$2:$E$1006,$G870))</f>
        <v/>
      </c>
      <c r="M870" s="9" t="str">
        <f ca="1">IF($G870="","",INDEX(BASE_PRODUTOS!$F$2:$F$1006,$G870))</f>
        <v/>
      </c>
      <c r="N870" s="9" t="str">
        <f ca="1">IF($G870="","",INDEX(BASE_PRODUTOS!$G$2:$G$1006,$G870))</f>
        <v/>
      </c>
      <c r="O870" s="9" t="str">
        <f ca="1">IF($G870="","",INDEX(BASE_PRODUTOS!$H$2:$H$1006,$G870))</f>
        <v/>
      </c>
      <c r="P870" s="9" t="str">
        <f ca="1">IF($G870="","",INDEX(BASE_PRODUTOS!$I$2:$I$1006,$G870))</f>
        <v/>
      </c>
      <c r="Q870" s="9" t="str">
        <f ca="1">IF($G870="","",INDEX(BASE_PRODUTOS!$J$2:$J$1006,$G870))</f>
        <v/>
      </c>
      <c r="R870" s="9" t="str">
        <f ca="1">IF($G870="","",INDEX(BASE_PRODUTOS!$M$2:$M$1006,$G870))</f>
        <v/>
      </c>
      <c r="S870" s="9" t="str">
        <f ca="1">IF($G870="","",INDEX(BASE_PRODUTOS!$N$2:$N$1006,$G870))</f>
        <v/>
      </c>
      <c r="T870" s="9" t="str">
        <f ca="1">IF($G870="","",INDEX(BASE_PRODUTOS!$D$2:$D$1006,$G870))</f>
        <v/>
      </c>
    </row>
    <row r="871" spans="7:20" ht="18" customHeight="1" x14ac:dyDescent="0.35">
      <c r="G871" t="str">
        <f ca="1">IFERROR(_xludf.aggregate(15,6,(ROW(BASE_PRODUTOS!$L$2:$L$1006)-ROW(BASE_PRODUTOS!$L$2)+1)/(BASE_PRODUTOS!$L$2:$L$1006&gt;0),ROWS($G$10:G871)),"")</f>
        <v/>
      </c>
      <c r="H871" s="9" t="str">
        <f ca="1">IF($G871="","",INDEX(BASE_PRODUTOS!$B$2:$B$1006,$G871))</f>
        <v/>
      </c>
      <c r="I871" s="9" t="str">
        <f ca="1">IF($G871="","",INDEX(BASE_PRODUTOS!$L$2:$L$1006,$G871))</f>
        <v/>
      </c>
      <c r="J871" s="9" t="str">
        <f ca="1">IF($G871="","",INDEX(BASE_PRODUTOS!$A$2:$A$1006,$G871))</f>
        <v/>
      </c>
      <c r="K871" s="9" t="str">
        <f ca="1">IF($G871="","",INDEX(BASE_PRODUTOS!$C$2:$C$1006,$G871))</f>
        <v/>
      </c>
      <c r="L871" s="9" t="str">
        <f ca="1">IF($G871="","",INDEX(BASE_PRODUTOS!$E$2:$E$1006,$G871))</f>
        <v/>
      </c>
      <c r="M871" s="9" t="str">
        <f ca="1">IF($G871="","",INDEX(BASE_PRODUTOS!$F$2:$F$1006,$G871))</f>
        <v/>
      </c>
      <c r="N871" s="9" t="str">
        <f ca="1">IF($G871="","",INDEX(BASE_PRODUTOS!$G$2:$G$1006,$G871))</f>
        <v/>
      </c>
      <c r="O871" s="9" t="str">
        <f ca="1">IF($G871="","",INDEX(BASE_PRODUTOS!$H$2:$H$1006,$G871))</f>
        <v/>
      </c>
      <c r="P871" s="9" t="str">
        <f ca="1">IF($G871="","",INDEX(BASE_PRODUTOS!$I$2:$I$1006,$G871))</f>
        <v/>
      </c>
      <c r="Q871" s="9" t="str">
        <f ca="1">IF($G871="","",INDEX(BASE_PRODUTOS!$J$2:$J$1006,$G871))</f>
        <v/>
      </c>
      <c r="R871" s="9" t="str">
        <f ca="1">IF($G871="","",INDEX(BASE_PRODUTOS!$M$2:$M$1006,$G871))</f>
        <v/>
      </c>
      <c r="S871" s="9" t="str">
        <f ca="1">IF($G871="","",INDEX(BASE_PRODUTOS!$N$2:$N$1006,$G871))</f>
        <v/>
      </c>
      <c r="T871" s="9" t="str">
        <f ca="1">IF($G871="","",INDEX(BASE_PRODUTOS!$D$2:$D$1006,$G871))</f>
        <v/>
      </c>
    </row>
    <row r="872" spans="7:20" ht="18" customHeight="1" x14ac:dyDescent="0.35">
      <c r="G872" t="str">
        <f ca="1">IFERROR(_xludf.aggregate(15,6,(ROW(BASE_PRODUTOS!$L$2:$L$1006)-ROW(BASE_PRODUTOS!$L$2)+1)/(BASE_PRODUTOS!$L$2:$L$1006&gt;0),ROWS($G$10:G872)),"")</f>
        <v/>
      </c>
      <c r="H872" s="9" t="str">
        <f ca="1">IF($G872="","",INDEX(BASE_PRODUTOS!$B$2:$B$1006,$G872))</f>
        <v/>
      </c>
      <c r="I872" s="9" t="str">
        <f ca="1">IF($G872="","",INDEX(BASE_PRODUTOS!$L$2:$L$1006,$G872))</f>
        <v/>
      </c>
      <c r="J872" s="9" t="str">
        <f ca="1">IF($G872="","",INDEX(BASE_PRODUTOS!$A$2:$A$1006,$G872))</f>
        <v/>
      </c>
      <c r="K872" s="9" t="str">
        <f ca="1">IF($G872="","",INDEX(BASE_PRODUTOS!$C$2:$C$1006,$G872))</f>
        <v/>
      </c>
      <c r="L872" s="9" t="str">
        <f ca="1">IF($G872="","",INDEX(BASE_PRODUTOS!$E$2:$E$1006,$G872))</f>
        <v/>
      </c>
      <c r="M872" s="9" t="str">
        <f ca="1">IF($G872="","",INDEX(BASE_PRODUTOS!$F$2:$F$1006,$G872))</f>
        <v/>
      </c>
      <c r="N872" s="9" t="str">
        <f ca="1">IF($G872="","",INDEX(BASE_PRODUTOS!$G$2:$G$1006,$G872))</f>
        <v/>
      </c>
      <c r="O872" s="9" t="str">
        <f ca="1">IF($G872="","",INDEX(BASE_PRODUTOS!$H$2:$H$1006,$G872))</f>
        <v/>
      </c>
      <c r="P872" s="9" t="str">
        <f ca="1">IF($G872="","",INDEX(BASE_PRODUTOS!$I$2:$I$1006,$G872))</f>
        <v/>
      </c>
      <c r="Q872" s="9" t="str">
        <f ca="1">IF($G872="","",INDEX(BASE_PRODUTOS!$J$2:$J$1006,$G872))</f>
        <v/>
      </c>
      <c r="R872" s="9" t="str">
        <f ca="1">IF($G872="","",INDEX(BASE_PRODUTOS!$M$2:$M$1006,$G872))</f>
        <v/>
      </c>
      <c r="S872" s="9" t="str">
        <f ca="1">IF($G872="","",INDEX(BASE_PRODUTOS!$N$2:$N$1006,$G872))</f>
        <v/>
      </c>
      <c r="T872" s="9" t="str">
        <f ca="1">IF($G872="","",INDEX(BASE_PRODUTOS!$D$2:$D$1006,$G872))</f>
        <v/>
      </c>
    </row>
    <row r="873" spans="7:20" ht="18" customHeight="1" x14ac:dyDescent="0.35">
      <c r="G873" t="str">
        <f ca="1">IFERROR(_xludf.aggregate(15,6,(ROW(BASE_PRODUTOS!$L$2:$L$1006)-ROW(BASE_PRODUTOS!$L$2)+1)/(BASE_PRODUTOS!$L$2:$L$1006&gt;0),ROWS($G$10:G873)),"")</f>
        <v/>
      </c>
      <c r="H873" s="9" t="str">
        <f ca="1">IF($G873="","",INDEX(BASE_PRODUTOS!$B$2:$B$1006,$G873))</f>
        <v/>
      </c>
      <c r="I873" s="9" t="str">
        <f ca="1">IF($G873="","",INDEX(BASE_PRODUTOS!$L$2:$L$1006,$G873))</f>
        <v/>
      </c>
      <c r="J873" s="9" t="str">
        <f ca="1">IF($G873="","",INDEX(BASE_PRODUTOS!$A$2:$A$1006,$G873))</f>
        <v/>
      </c>
      <c r="K873" s="9" t="str">
        <f ca="1">IF($G873="","",INDEX(BASE_PRODUTOS!$C$2:$C$1006,$G873))</f>
        <v/>
      </c>
      <c r="L873" s="9" t="str">
        <f ca="1">IF($G873="","",INDEX(BASE_PRODUTOS!$E$2:$E$1006,$G873))</f>
        <v/>
      </c>
      <c r="M873" s="9" t="str">
        <f ca="1">IF($G873="","",INDEX(BASE_PRODUTOS!$F$2:$F$1006,$G873))</f>
        <v/>
      </c>
      <c r="N873" s="9" t="str">
        <f ca="1">IF($G873="","",INDEX(BASE_PRODUTOS!$G$2:$G$1006,$G873))</f>
        <v/>
      </c>
      <c r="O873" s="9" t="str">
        <f ca="1">IF($G873="","",INDEX(BASE_PRODUTOS!$H$2:$H$1006,$G873))</f>
        <v/>
      </c>
      <c r="P873" s="9" t="str">
        <f ca="1">IF($G873="","",INDEX(BASE_PRODUTOS!$I$2:$I$1006,$G873))</f>
        <v/>
      </c>
      <c r="Q873" s="9" t="str">
        <f ca="1">IF($G873="","",INDEX(BASE_PRODUTOS!$J$2:$J$1006,$G873))</f>
        <v/>
      </c>
      <c r="R873" s="9" t="str">
        <f ca="1">IF($G873="","",INDEX(BASE_PRODUTOS!$M$2:$M$1006,$G873))</f>
        <v/>
      </c>
      <c r="S873" s="9" t="str">
        <f ca="1">IF($G873="","",INDEX(BASE_PRODUTOS!$N$2:$N$1006,$G873))</f>
        <v/>
      </c>
      <c r="T873" s="9" t="str">
        <f ca="1">IF($G873="","",INDEX(BASE_PRODUTOS!$D$2:$D$1006,$G873))</f>
        <v/>
      </c>
    </row>
    <row r="874" spans="7:20" ht="18" customHeight="1" x14ac:dyDescent="0.35">
      <c r="G874" t="str">
        <f ca="1">IFERROR(_xludf.aggregate(15,6,(ROW(BASE_PRODUTOS!$L$2:$L$1006)-ROW(BASE_PRODUTOS!$L$2)+1)/(BASE_PRODUTOS!$L$2:$L$1006&gt;0),ROWS($G$10:G874)),"")</f>
        <v/>
      </c>
      <c r="H874" s="9" t="str">
        <f ca="1">IF($G874="","",INDEX(BASE_PRODUTOS!$B$2:$B$1006,$G874))</f>
        <v/>
      </c>
      <c r="I874" s="9" t="str">
        <f ca="1">IF($G874="","",INDEX(BASE_PRODUTOS!$L$2:$L$1006,$G874))</f>
        <v/>
      </c>
      <c r="J874" s="9" t="str">
        <f ca="1">IF($G874="","",INDEX(BASE_PRODUTOS!$A$2:$A$1006,$G874))</f>
        <v/>
      </c>
      <c r="K874" s="9" t="str">
        <f ca="1">IF($G874="","",INDEX(BASE_PRODUTOS!$C$2:$C$1006,$G874))</f>
        <v/>
      </c>
      <c r="L874" s="9" t="str">
        <f ca="1">IF($G874="","",INDEX(BASE_PRODUTOS!$E$2:$E$1006,$G874))</f>
        <v/>
      </c>
      <c r="M874" s="9" t="str">
        <f ca="1">IF($G874="","",INDEX(BASE_PRODUTOS!$F$2:$F$1006,$G874))</f>
        <v/>
      </c>
      <c r="N874" s="9" t="str">
        <f ca="1">IF($G874="","",INDEX(BASE_PRODUTOS!$G$2:$G$1006,$G874))</f>
        <v/>
      </c>
      <c r="O874" s="9" t="str">
        <f ca="1">IF($G874="","",INDEX(BASE_PRODUTOS!$H$2:$H$1006,$G874))</f>
        <v/>
      </c>
      <c r="P874" s="9" t="str">
        <f ca="1">IF($G874="","",INDEX(BASE_PRODUTOS!$I$2:$I$1006,$G874))</f>
        <v/>
      </c>
      <c r="Q874" s="9" t="str">
        <f ca="1">IF($G874="","",INDEX(BASE_PRODUTOS!$J$2:$J$1006,$G874))</f>
        <v/>
      </c>
      <c r="R874" s="9" t="str">
        <f ca="1">IF($G874="","",INDEX(BASE_PRODUTOS!$M$2:$M$1006,$G874))</f>
        <v/>
      </c>
      <c r="S874" s="9" t="str">
        <f ca="1">IF($G874="","",INDEX(BASE_PRODUTOS!$N$2:$N$1006,$G874))</f>
        <v/>
      </c>
      <c r="T874" s="9" t="str">
        <f ca="1">IF($G874="","",INDEX(BASE_PRODUTOS!$D$2:$D$1006,$G874))</f>
        <v/>
      </c>
    </row>
    <row r="875" spans="7:20" ht="18" customHeight="1" x14ac:dyDescent="0.35">
      <c r="G875" t="str">
        <f ca="1">IFERROR(_xludf.aggregate(15,6,(ROW(BASE_PRODUTOS!$L$2:$L$1006)-ROW(BASE_PRODUTOS!$L$2)+1)/(BASE_PRODUTOS!$L$2:$L$1006&gt;0),ROWS($G$10:G875)),"")</f>
        <v/>
      </c>
      <c r="H875" s="9" t="str">
        <f ca="1">IF($G875="","",INDEX(BASE_PRODUTOS!$B$2:$B$1006,$G875))</f>
        <v/>
      </c>
      <c r="I875" s="9" t="str">
        <f ca="1">IF($G875="","",INDEX(BASE_PRODUTOS!$L$2:$L$1006,$G875))</f>
        <v/>
      </c>
      <c r="J875" s="9" t="str">
        <f ca="1">IF($G875="","",INDEX(BASE_PRODUTOS!$A$2:$A$1006,$G875))</f>
        <v/>
      </c>
      <c r="K875" s="9" t="str">
        <f ca="1">IF($G875="","",INDEX(BASE_PRODUTOS!$C$2:$C$1006,$G875))</f>
        <v/>
      </c>
      <c r="L875" s="9" t="str">
        <f ca="1">IF($G875="","",INDEX(BASE_PRODUTOS!$E$2:$E$1006,$G875))</f>
        <v/>
      </c>
      <c r="M875" s="9" t="str">
        <f ca="1">IF($G875="","",INDEX(BASE_PRODUTOS!$F$2:$F$1006,$G875))</f>
        <v/>
      </c>
      <c r="N875" s="9" t="str">
        <f ca="1">IF($G875="","",INDEX(BASE_PRODUTOS!$G$2:$G$1006,$G875))</f>
        <v/>
      </c>
      <c r="O875" s="9" t="str">
        <f ca="1">IF($G875="","",INDEX(BASE_PRODUTOS!$H$2:$H$1006,$G875))</f>
        <v/>
      </c>
      <c r="P875" s="9" t="str">
        <f ca="1">IF($G875="","",INDEX(BASE_PRODUTOS!$I$2:$I$1006,$G875))</f>
        <v/>
      </c>
      <c r="Q875" s="9" t="str">
        <f ca="1">IF($G875="","",INDEX(BASE_PRODUTOS!$J$2:$J$1006,$G875))</f>
        <v/>
      </c>
      <c r="R875" s="9" t="str">
        <f ca="1">IF($G875="","",INDEX(BASE_PRODUTOS!$M$2:$M$1006,$G875))</f>
        <v/>
      </c>
      <c r="S875" s="9" t="str">
        <f ca="1">IF($G875="","",INDEX(BASE_PRODUTOS!$N$2:$N$1006,$G875))</f>
        <v/>
      </c>
      <c r="T875" s="9" t="str">
        <f ca="1">IF($G875="","",INDEX(BASE_PRODUTOS!$D$2:$D$1006,$G875))</f>
        <v/>
      </c>
    </row>
    <row r="876" spans="7:20" ht="18" customHeight="1" x14ac:dyDescent="0.35">
      <c r="G876" t="str">
        <f ca="1">IFERROR(_xludf.aggregate(15,6,(ROW(BASE_PRODUTOS!$L$2:$L$1006)-ROW(BASE_PRODUTOS!$L$2)+1)/(BASE_PRODUTOS!$L$2:$L$1006&gt;0),ROWS($G$10:G876)),"")</f>
        <v/>
      </c>
      <c r="H876" s="9" t="str">
        <f ca="1">IF($G876="","",INDEX(BASE_PRODUTOS!$B$2:$B$1006,$G876))</f>
        <v/>
      </c>
      <c r="I876" s="9" t="str">
        <f ca="1">IF($G876="","",INDEX(BASE_PRODUTOS!$L$2:$L$1006,$G876))</f>
        <v/>
      </c>
      <c r="J876" s="9" t="str">
        <f ca="1">IF($G876="","",INDEX(BASE_PRODUTOS!$A$2:$A$1006,$G876))</f>
        <v/>
      </c>
      <c r="K876" s="9" t="str">
        <f ca="1">IF($G876="","",INDEX(BASE_PRODUTOS!$C$2:$C$1006,$G876))</f>
        <v/>
      </c>
      <c r="L876" s="9" t="str">
        <f ca="1">IF($G876="","",INDEX(BASE_PRODUTOS!$E$2:$E$1006,$G876))</f>
        <v/>
      </c>
      <c r="M876" s="9" t="str">
        <f ca="1">IF($G876="","",INDEX(BASE_PRODUTOS!$F$2:$F$1006,$G876))</f>
        <v/>
      </c>
      <c r="N876" s="9" t="str">
        <f ca="1">IF($G876="","",INDEX(BASE_PRODUTOS!$G$2:$G$1006,$G876))</f>
        <v/>
      </c>
      <c r="O876" s="9" t="str">
        <f ca="1">IF($G876="","",INDEX(BASE_PRODUTOS!$H$2:$H$1006,$G876))</f>
        <v/>
      </c>
      <c r="P876" s="9" t="str">
        <f ca="1">IF($G876="","",INDEX(BASE_PRODUTOS!$I$2:$I$1006,$G876))</f>
        <v/>
      </c>
      <c r="Q876" s="9" t="str">
        <f ca="1">IF($G876="","",INDEX(BASE_PRODUTOS!$J$2:$J$1006,$G876))</f>
        <v/>
      </c>
      <c r="R876" s="9" t="str">
        <f ca="1">IF($G876="","",INDEX(BASE_PRODUTOS!$M$2:$M$1006,$G876))</f>
        <v/>
      </c>
      <c r="S876" s="9" t="str">
        <f ca="1">IF($G876="","",INDEX(BASE_PRODUTOS!$N$2:$N$1006,$G876))</f>
        <v/>
      </c>
      <c r="T876" s="9" t="str">
        <f ca="1">IF($G876="","",INDEX(BASE_PRODUTOS!$D$2:$D$1006,$G876))</f>
        <v/>
      </c>
    </row>
    <row r="877" spans="7:20" ht="18" customHeight="1" x14ac:dyDescent="0.35">
      <c r="G877" t="str">
        <f ca="1">IFERROR(_xludf.aggregate(15,6,(ROW(BASE_PRODUTOS!$L$2:$L$1006)-ROW(BASE_PRODUTOS!$L$2)+1)/(BASE_PRODUTOS!$L$2:$L$1006&gt;0),ROWS($G$10:G877)),"")</f>
        <v/>
      </c>
      <c r="H877" s="9" t="str">
        <f ca="1">IF($G877="","",INDEX(BASE_PRODUTOS!$B$2:$B$1006,$G877))</f>
        <v/>
      </c>
      <c r="I877" s="9" t="str">
        <f ca="1">IF($G877="","",INDEX(BASE_PRODUTOS!$L$2:$L$1006,$G877))</f>
        <v/>
      </c>
      <c r="J877" s="9" t="str">
        <f ca="1">IF($G877="","",INDEX(BASE_PRODUTOS!$A$2:$A$1006,$G877))</f>
        <v/>
      </c>
      <c r="K877" s="9" t="str">
        <f ca="1">IF($G877="","",INDEX(BASE_PRODUTOS!$C$2:$C$1006,$G877))</f>
        <v/>
      </c>
      <c r="L877" s="9" t="str">
        <f ca="1">IF($G877="","",INDEX(BASE_PRODUTOS!$E$2:$E$1006,$G877))</f>
        <v/>
      </c>
      <c r="M877" s="9" t="str">
        <f ca="1">IF($G877="","",INDEX(BASE_PRODUTOS!$F$2:$F$1006,$G877))</f>
        <v/>
      </c>
      <c r="N877" s="9" t="str">
        <f ca="1">IF($G877="","",INDEX(BASE_PRODUTOS!$G$2:$G$1006,$G877))</f>
        <v/>
      </c>
      <c r="O877" s="9" t="str">
        <f ca="1">IF($G877="","",INDEX(BASE_PRODUTOS!$H$2:$H$1006,$G877))</f>
        <v/>
      </c>
      <c r="P877" s="9" t="str">
        <f ca="1">IF($G877="","",INDEX(BASE_PRODUTOS!$I$2:$I$1006,$G877))</f>
        <v/>
      </c>
      <c r="Q877" s="9" t="str">
        <f ca="1">IF($G877="","",INDEX(BASE_PRODUTOS!$J$2:$J$1006,$G877))</f>
        <v/>
      </c>
      <c r="R877" s="9" t="str">
        <f ca="1">IF($G877="","",INDEX(BASE_PRODUTOS!$M$2:$M$1006,$G877))</f>
        <v/>
      </c>
      <c r="S877" s="9" t="str">
        <f ca="1">IF($G877="","",INDEX(BASE_PRODUTOS!$N$2:$N$1006,$G877))</f>
        <v/>
      </c>
      <c r="T877" s="9" t="str">
        <f ca="1">IF($G877="","",INDEX(BASE_PRODUTOS!$D$2:$D$1006,$G877))</f>
        <v/>
      </c>
    </row>
    <row r="878" spans="7:20" ht="18" customHeight="1" x14ac:dyDescent="0.35">
      <c r="G878" t="str">
        <f ca="1">IFERROR(_xludf.aggregate(15,6,(ROW(BASE_PRODUTOS!$L$2:$L$1006)-ROW(BASE_PRODUTOS!$L$2)+1)/(BASE_PRODUTOS!$L$2:$L$1006&gt;0),ROWS($G$10:G878)),"")</f>
        <v/>
      </c>
      <c r="H878" s="9" t="str">
        <f ca="1">IF($G878="","",INDEX(BASE_PRODUTOS!$B$2:$B$1006,$G878))</f>
        <v/>
      </c>
      <c r="I878" s="9" t="str">
        <f ca="1">IF($G878="","",INDEX(BASE_PRODUTOS!$L$2:$L$1006,$G878))</f>
        <v/>
      </c>
      <c r="J878" s="9" t="str">
        <f ca="1">IF($G878="","",INDEX(BASE_PRODUTOS!$A$2:$A$1006,$G878))</f>
        <v/>
      </c>
      <c r="K878" s="9" t="str">
        <f ca="1">IF($G878="","",INDEX(BASE_PRODUTOS!$C$2:$C$1006,$G878))</f>
        <v/>
      </c>
      <c r="L878" s="9" t="str">
        <f ca="1">IF($G878="","",INDEX(BASE_PRODUTOS!$E$2:$E$1006,$G878))</f>
        <v/>
      </c>
      <c r="M878" s="9" t="str">
        <f ca="1">IF($G878="","",INDEX(BASE_PRODUTOS!$F$2:$F$1006,$G878))</f>
        <v/>
      </c>
      <c r="N878" s="9" t="str">
        <f ca="1">IF($G878="","",INDEX(BASE_PRODUTOS!$G$2:$G$1006,$G878))</f>
        <v/>
      </c>
      <c r="O878" s="9" t="str">
        <f ca="1">IF($G878="","",INDEX(BASE_PRODUTOS!$H$2:$H$1006,$G878))</f>
        <v/>
      </c>
      <c r="P878" s="9" t="str">
        <f ca="1">IF($G878="","",INDEX(BASE_PRODUTOS!$I$2:$I$1006,$G878))</f>
        <v/>
      </c>
      <c r="Q878" s="9" t="str">
        <f ca="1">IF($G878="","",INDEX(BASE_PRODUTOS!$J$2:$J$1006,$G878))</f>
        <v/>
      </c>
      <c r="R878" s="9" t="str">
        <f ca="1">IF($G878="","",INDEX(BASE_PRODUTOS!$M$2:$M$1006,$G878))</f>
        <v/>
      </c>
      <c r="S878" s="9" t="str">
        <f ca="1">IF($G878="","",INDEX(BASE_PRODUTOS!$N$2:$N$1006,$G878))</f>
        <v/>
      </c>
      <c r="T878" s="9" t="str">
        <f ca="1">IF($G878="","",INDEX(BASE_PRODUTOS!$D$2:$D$1006,$G878))</f>
        <v/>
      </c>
    </row>
    <row r="879" spans="7:20" ht="18" customHeight="1" x14ac:dyDescent="0.35">
      <c r="G879" t="str">
        <f ca="1">IFERROR(_xludf.aggregate(15,6,(ROW(BASE_PRODUTOS!$L$2:$L$1006)-ROW(BASE_PRODUTOS!$L$2)+1)/(BASE_PRODUTOS!$L$2:$L$1006&gt;0),ROWS($G$10:G879)),"")</f>
        <v/>
      </c>
      <c r="H879" s="9" t="str">
        <f ca="1">IF($G879="","",INDEX(BASE_PRODUTOS!$B$2:$B$1006,$G879))</f>
        <v/>
      </c>
      <c r="I879" s="9" t="str">
        <f ca="1">IF($G879="","",INDEX(BASE_PRODUTOS!$L$2:$L$1006,$G879))</f>
        <v/>
      </c>
      <c r="J879" s="9" t="str">
        <f ca="1">IF($G879="","",INDEX(BASE_PRODUTOS!$A$2:$A$1006,$G879))</f>
        <v/>
      </c>
      <c r="K879" s="9" t="str">
        <f ca="1">IF($G879="","",INDEX(BASE_PRODUTOS!$C$2:$C$1006,$G879))</f>
        <v/>
      </c>
      <c r="L879" s="9" t="str">
        <f ca="1">IF($G879="","",INDEX(BASE_PRODUTOS!$E$2:$E$1006,$G879))</f>
        <v/>
      </c>
      <c r="M879" s="9" t="str">
        <f ca="1">IF($G879="","",INDEX(BASE_PRODUTOS!$F$2:$F$1006,$G879))</f>
        <v/>
      </c>
      <c r="N879" s="9" t="str">
        <f ca="1">IF($G879="","",INDEX(BASE_PRODUTOS!$G$2:$G$1006,$G879))</f>
        <v/>
      </c>
      <c r="O879" s="9" t="str">
        <f ca="1">IF($G879="","",INDEX(BASE_PRODUTOS!$H$2:$H$1006,$G879))</f>
        <v/>
      </c>
      <c r="P879" s="9" t="str">
        <f ca="1">IF($G879="","",INDEX(BASE_PRODUTOS!$I$2:$I$1006,$G879))</f>
        <v/>
      </c>
      <c r="Q879" s="9" t="str">
        <f ca="1">IF($G879="","",INDEX(BASE_PRODUTOS!$J$2:$J$1006,$G879))</f>
        <v/>
      </c>
      <c r="R879" s="9" t="str">
        <f ca="1">IF($G879="","",INDEX(BASE_PRODUTOS!$M$2:$M$1006,$G879))</f>
        <v/>
      </c>
      <c r="S879" s="9" t="str">
        <f ca="1">IF($G879="","",INDEX(BASE_PRODUTOS!$N$2:$N$1006,$G879))</f>
        <v/>
      </c>
      <c r="T879" s="9" t="str">
        <f ca="1">IF($G879="","",INDEX(BASE_PRODUTOS!$D$2:$D$1006,$G879))</f>
        <v/>
      </c>
    </row>
    <row r="880" spans="7:20" ht="18" customHeight="1" x14ac:dyDescent="0.35">
      <c r="G880" t="str">
        <f ca="1">IFERROR(_xludf.aggregate(15,6,(ROW(BASE_PRODUTOS!$L$2:$L$1006)-ROW(BASE_PRODUTOS!$L$2)+1)/(BASE_PRODUTOS!$L$2:$L$1006&gt;0),ROWS($G$10:G880)),"")</f>
        <v/>
      </c>
      <c r="H880" s="9" t="str">
        <f ca="1">IF($G880="","",INDEX(BASE_PRODUTOS!$B$2:$B$1006,$G880))</f>
        <v/>
      </c>
      <c r="I880" s="9" t="str">
        <f ca="1">IF($G880="","",INDEX(BASE_PRODUTOS!$L$2:$L$1006,$G880))</f>
        <v/>
      </c>
      <c r="J880" s="9" t="str">
        <f ca="1">IF($G880="","",INDEX(BASE_PRODUTOS!$A$2:$A$1006,$G880))</f>
        <v/>
      </c>
      <c r="K880" s="9" t="str">
        <f ca="1">IF($G880="","",INDEX(BASE_PRODUTOS!$C$2:$C$1006,$G880))</f>
        <v/>
      </c>
      <c r="L880" s="9" t="str">
        <f ca="1">IF($G880="","",INDEX(BASE_PRODUTOS!$E$2:$E$1006,$G880))</f>
        <v/>
      </c>
      <c r="M880" s="9" t="str">
        <f ca="1">IF($G880="","",INDEX(BASE_PRODUTOS!$F$2:$F$1006,$G880))</f>
        <v/>
      </c>
      <c r="N880" s="9" t="str">
        <f ca="1">IF($G880="","",INDEX(BASE_PRODUTOS!$G$2:$G$1006,$G880))</f>
        <v/>
      </c>
      <c r="O880" s="9" t="str">
        <f ca="1">IF($G880="","",INDEX(BASE_PRODUTOS!$H$2:$H$1006,$G880))</f>
        <v/>
      </c>
      <c r="P880" s="9" t="str">
        <f ca="1">IF($G880="","",INDEX(BASE_PRODUTOS!$I$2:$I$1006,$G880))</f>
        <v/>
      </c>
      <c r="Q880" s="9" t="str">
        <f ca="1">IF($G880="","",INDEX(BASE_PRODUTOS!$J$2:$J$1006,$G880))</f>
        <v/>
      </c>
      <c r="R880" s="9" t="str">
        <f ca="1">IF($G880="","",INDEX(BASE_PRODUTOS!$M$2:$M$1006,$G880))</f>
        <v/>
      </c>
      <c r="S880" s="9" t="str">
        <f ca="1">IF($G880="","",INDEX(BASE_PRODUTOS!$N$2:$N$1006,$G880))</f>
        <v/>
      </c>
      <c r="T880" s="9" t="str">
        <f ca="1">IF($G880="","",INDEX(BASE_PRODUTOS!$D$2:$D$1006,$G880))</f>
        <v/>
      </c>
    </row>
    <row r="881" spans="7:20" ht="18" customHeight="1" x14ac:dyDescent="0.35">
      <c r="G881" t="str">
        <f ca="1">IFERROR(_xludf.aggregate(15,6,(ROW(BASE_PRODUTOS!$L$2:$L$1006)-ROW(BASE_PRODUTOS!$L$2)+1)/(BASE_PRODUTOS!$L$2:$L$1006&gt;0),ROWS($G$10:G881)),"")</f>
        <v/>
      </c>
      <c r="H881" s="9" t="str">
        <f ca="1">IF($G881="","",INDEX(BASE_PRODUTOS!$B$2:$B$1006,$G881))</f>
        <v/>
      </c>
      <c r="I881" s="9" t="str">
        <f ca="1">IF($G881="","",INDEX(BASE_PRODUTOS!$L$2:$L$1006,$G881))</f>
        <v/>
      </c>
      <c r="J881" s="9" t="str">
        <f ca="1">IF($G881="","",INDEX(BASE_PRODUTOS!$A$2:$A$1006,$G881))</f>
        <v/>
      </c>
      <c r="K881" s="9" t="str">
        <f ca="1">IF($G881="","",INDEX(BASE_PRODUTOS!$C$2:$C$1006,$G881))</f>
        <v/>
      </c>
      <c r="L881" s="9" t="str">
        <f ca="1">IF($G881="","",INDEX(BASE_PRODUTOS!$E$2:$E$1006,$G881))</f>
        <v/>
      </c>
      <c r="M881" s="9" t="str">
        <f ca="1">IF($G881="","",INDEX(BASE_PRODUTOS!$F$2:$F$1006,$G881))</f>
        <v/>
      </c>
      <c r="N881" s="9" t="str">
        <f ca="1">IF($G881="","",INDEX(BASE_PRODUTOS!$G$2:$G$1006,$G881))</f>
        <v/>
      </c>
      <c r="O881" s="9" t="str">
        <f ca="1">IF($G881="","",INDEX(BASE_PRODUTOS!$H$2:$H$1006,$G881))</f>
        <v/>
      </c>
      <c r="P881" s="9" t="str">
        <f ca="1">IF($G881="","",INDEX(BASE_PRODUTOS!$I$2:$I$1006,$G881))</f>
        <v/>
      </c>
      <c r="Q881" s="9" t="str">
        <f ca="1">IF($G881="","",INDEX(BASE_PRODUTOS!$J$2:$J$1006,$G881))</f>
        <v/>
      </c>
      <c r="R881" s="9" t="str">
        <f ca="1">IF($G881="","",INDEX(BASE_PRODUTOS!$M$2:$M$1006,$G881))</f>
        <v/>
      </c>
      <c r="S881" s="9" t="str">
        <f ca="1">IF($G881="","",INDEX(BASE_PRODUTOS!$N$2:$N$1006,$G881))</f>
        <v/>
      </c>
      <c r="T881" s="9" t="str">
        <f ca="1">IF($G881="","",INDEX(BASE_PRODUTOS!$D$2:$D$1006,$G881))</f>
        <v/>
      </c>
    </row>
    <row r="882" spans="7:20" ht="18" customHeight="1" x14ac:dyDescent="0.35">
      <c r="G882" t="str">
        <f ca="1">IFERROR(_xludf.aggregate(15,6,(ROW(BASE_PRODUTOS!$L$2:$L$1006)-ROW(BASE_PRODUTOS!$L$2)+1)/(BASE_PRODUTOS!$L$2:$L$1006&gt;0),ROWS($G$10:G882)),"")</f>
        <v/>
      </c>
      <c r="H882" s="9" t="str">
        <f ca="1">IF($G882="","",INDEX(BASE_PRODUTOS!$B$2:$B$1006,$G882))</f>
        <v/>
      </c>
      <c r="I882" s="9" t="str">
        <f ca="1">IF($G882="","",INDEX(BASE_PRODUTOS!$L$2:$L$1006,$G882))</f>
        <v/>
      </c>
      <c r="J882" s="9" t="str">
        <f ca="1">IF($G882="","",INDEX(BASE_PRODUTOS!$A$2:$A$1006,$G882))</f>
        <v/>
      </c>
      <c r="K882" s="9" t="str">
        <f ca="1">IF($G882="","",INDEX(BASE_PRODUTOS!$C$2:$C$1006,$G882))</f>
        <v/>
      </c>
      <c r="L882" s="9" t="str">
        <f ca="1">IF($G882="","",INDEX(BASE_PRODUTOS!$E$2:$E$1006,$G882))</f>
        <v/>
      </c>
      <c r="M882" s="9" t="str">
        <f ca="1">IF($G882="","",INDEX(BASE_PRODUTOS!$F$2:$F$1006,$G882))</f>
        <v/>
      </c>
      <c r="N882" s="9" t="str">
        <f ca="1">IF($G882="","",INDEX(BASE_PRODUTOS!$G$2:$G$1006,$G882))</f>
        <v/>
      </c>
      <c r="O882" s="9" t="str">
        <f ca="1">IF($G882="","",INDEX(BASE_PRODUTOS!$H$2:$H$1006,$G882))</f>
        <v/>
      </c>
      <c r="P882" s="9" t="str">
        <f ca="1">IF($G882="","",INDEX(BASE_PRODUTOS!$I$2:$I$1006,$G882))</f>
        <v/>
      </c>
      <c r="Q882" s="9" t="str">
        <f ca="1">IF($G882="","",INDEX(BASE_PRODUTOS!$J$2:$J$1006,$G882))</f>
        <v/>
      </c>
      <c r="R882" s="9" t="str">
        <f ca="1">IF($G882="","",INDEX(BASE_PRODUTOS!$M$2:$M$1006,$G882))</f>
        <v/>
      </c>
      <c r="S882" s="9" t="str">
        <f ca="1">IF($G882="","",INDEX(BASE_PRODUTOS!$N$2:$N$1006,$G882))</f>
        <v/>
      </c>
      <c r="T882" s="9" t="str">
        <f ca="1">IF($G882="","",INDEX(BASE_PRODUTOS!$D$2:$D$1006,$G882))</f>
        <v/>
      </c>
    </row>
    <row r="883" spans="7:20" ht="18" customHeight="1" x14ac:dyDescent="0.35">
      <c r="G883" t="str">
        <f ca="1">IFERROR(_xludf.aggregate(15,6,(ROW(BASE_PRODUTOS!$L$2:$L$1006)-ROW(BASE_PRODUTOS!$L$2)+1)/(BASE_PRODUTOS!$L$2:$L$1006&gt;0),ROWS($G$10:G883)),"")</f>
        <v/>
      </c>
      <c r="H883" s="9" t="str">
        <f ca="1">IF($G883="","",INDEX(BASE_PRODUTOS!$B$2:$B$1006,$G883))</f>
        <v/>
      </c>
      <c r="I883" s="9" t="str">
        <f ca="1">IF($G883="","",INDEX(BASE_PRODUTOS!$L$2:$L$1006,$G883))</f>
        <v/>
      </c>
      <c r="J883" s="9" t="str">
        <f ca="1">IF($G883="","",INDEX(BASE_PRODUTOS!$A$2:$A$1006,$G883))</f>
        <v/>
      </c>
      <c r="K883" s="9" t="str">
        <f ca="1">IF($G883="","",INDEX(BASE_PRODUTOS!$C$2:$C$1006,$G883))</f>
        <v/>
      </c>
      <c r="L883" s="9" t="str">
        <f ca="1">IF($G883="","",INDEX(BASE_PRODUTOS!$E$2:$E$1006,$G883))</f>
        <v/>
      </c>
      <c r="M883" s="9" t="str">
        <f ca="1">IF($G883="","",INDEX(BASE_PRODUTOS!$F$2:$F$1006,$G883))</f>
        <v/>
      </c>
      <c r="N883" s="9" t="str">
        <f ca="1">IF($G883="","",INDEX(BASE_PRODUTOS!$G$2:$G$1006,$G883))</f>
        <v/>
      </c>
      <c r="O883" s="9" t="str">
        <f ca="1">IF($G883="","",INDEX(BASE_PRODUTOS!$H$2:$H$1006,$G883))</f>
        <v/>
      </c>
      <c r="P883" s="9" t="str">
        <f ca="1">IF($G883="","",INDEX(BASE_PRODUTOS!$I$2:$I$1006,$G883))</f>
        <v/>
      </c>
      <c r="Q883" s="9" t="str">
        <f ca="1">IF($G883="","",INDEX(BASE_PRODUTOS!$J$2:$J$1006,$G883))</f>
        <v/>
      </c>
      <c r="R883" s="9" t="str">
        <f ca="1">IF($G883="","",INDEX(BASE_PRODUTOS!$M$2:$M$1006,$G883))</f>
        <v/>
      </c>
      <c r="S883" s="9" t="str">
        <f ca="1">IF($G883="","",INDEX(BASE_PRODUTOS!$N$2:$N$1006,$G883))</f>
        <v/>
      </c>
      <c r="T883" s="9" t="str">
        <f ca="1">IF($G883="","",INDEX(BASE_PRODUTOS!$D$2:$D$1006,$G883))</f>
        <v/>
      </c>
    </row>
    <row r="884" spans="7:20" ht="18" customHeight="1" x14ac:dyDescent="0.35">
      <c r="G884" t="str">
        <f ca="1">IFERROR(_xludf.aggregate(15,6,(ROW(BASE_PRODUTOS!$L$2:$L$1006)-ROW(BASE_PRODUTOS!$L$2)+1)/(BASE_PRODUTOS!$L$2:$L$1006&gt;0),ROWS($G$10:G884)),"")</f>
        <v/>
      </c>
      <c r="H884" s="9" t="str">
        <f ca="1">IF($G884="","",INDEX(BASE_PRODUTOS!$B$2:$B$1006,$G884))</f>
        <v/>
      </c>
      <c r="I884" s="9" t="str">
        <f ca="1">IF($G884="","",INDEX(BASE_PRODUTOS!$L$2:$L$1006,$G884))</f>
        <v/>
      </c>
      <c r="J884" s="9" t="str">
        <f ca="1">IF($G884="","",INDEX(BASE_PRODUTOS!$A$2:$A$1006,$G884))</f>
        <v/>
      </c>
      <c r="K884" s="9" t="str">
        <f ca="1">IF($G884="","",INDEX(BASE_PRODUTOS!$C$2:$C$1006,$G884))</f>
        <v/>
      </c>
      <c r="L884" s="9" t="str">
        <f ca="1">IF($G884="","",INDEX(BASE_PRODUTOS!$E$2:$E$1006,$G884))</f>
        <v/>
      </c>
      <c r="M884" s="9" t="str">
        <f ca="1">IF($G884="","",INDEX(BASE_PRODUTOS!$F$2:$F$1006,$G884))</f>
        <v/>
      </c>
      <c r="N884" s="9" t="str">
        <f ca="1">IF($G884="","",INDEX(BASE_PRODUTOS!$G$2:$G$1006,$G884))</f>
        <v/>
      </c>
      <c r="O884" s="9" t="str">
        <f ca="1">IF($G884="","",INDEX(BASE_PRODUTOS!$H$2:$H$1006,$G884))</f>
        <v/>
      </c>
      <c r="P884" s="9" t="str">
        <f ca="1">IF($G884="","",INDEX(BASE_PRODUTOS!$I$2:$I$1006,$G884))</f>
        <v/>
      </c>
      <c r="Q884" s="9" t="str">
        <f ca="1">IF($G884="","",INDEX(BASE_PRODUTOS!$J$2:$J$1006,$G884))</f>
        <v/>
      </c>
      <c r="R884" s="9" t="str">
        <f ca="1">IF($G884="","",INDEX(BASE_PRODUTOS!$M$2:$M$1006,$G884))</f>
        <v/>
      </c>
      <c r="S884" s="9" t="str">
        <f ca="1">IF($G884="","",INDEX(BASE_PRODUTOS!$N$2:$N$1006,$G884))</f>
        <v/>
      </c>
      <c r="T884" s="9" t="str">
        <f ca="1">IF($G884="","",INDEX(BASE_PRODUTOS!$D$2:$D$1006,$G884))</f>
        <v/>
      </c>
    </row>
    <row r="885" spans="7:20" ht="18" customHeight="1" x14ac:dyDescent="0.35">
      <c r="G885" t="str">
        <f ca="1">IFERROR(_xludf.aggregate(15,6,(ROW(BASE_PRODUTOS!$L$2:$L$1006)-ROW(BASE_PRODUTOS!$L$2)+1)/(BASE_PRODUTOS!$L$2:$L$1006&gt;0),ROWS($G$10:G885)),"")</f>
        <v/>
      </c>
      <c r="H885" s="9" t="str">
        <f ca="1">IF($G885="","",INDEX(BASE_PRODUTOS!$B$2:$B$1006,$G885))</f>
        <v/>
      </c>
      <c r="I885" s="9" t="str">
        <f ca="1">IF($G885="","",INDEX(BASE_PRODUTOS!$L$2:$L$1006,$G885))</f>
        <v/>
      </c>
      <c r="J885" s="9" t="str">
        <f ca="1">IF($G885="","",INDEX(BASE_PRODUTOS!$A$2:$A$1006,$G885))</f>
        <v/>
      </c>
      <c r="K885" s="9" t="str">
        <f ca="1">IF($G885="","",INDEX(BASE_PRODUTOS!$C$2:$C$1006,$G885))</f>
        <v/>
      </c>
      <c r="L885" s="9" t="str">
        <f ca="1">IF($G885="","",INDEX(BASE_PRODUTOS!$E$2:$E$1006,$G885))</f>
        <v/>
      </c>
      <c r="M885" s="9" t="str">
        <f ca="1">IF($G885="","",INDEX(BASE_PRODUTOS!$F$2:$F$1006,$G885))</f>
        <v/>
      </c>
      <c r="N885" s="9" t="str">
        <f ca="1">IF($G885="","",INDEX(BASE_PRODUTOS!$G$2:$G$1006,$G885))</f>
        <v/>
      </c>
      <c r="O885" s="9" t="str">
        <f ca="1">IF($G885="","",INDEX(BASE_PRODUTOS!$H$2:$H$1006,$G885))</f>
        <v/>
      </c>
      <c r="P885" s="9" t="str">
        <f ca="1">IF($G885="","",INDEX(BASE_PRODUTOS!$I$2:$I$1006,$G885))</f>
        <v/>
      </c>
      <c r="Q885" s="9" t="str">
        <f ca="1">IF($G885="","",INDEX(BASE_PRODUTOS!$J$2:$J$1006,$G885))</f>
        <v/>
      </c>
      <c r="R885" s="9" t="str">
        <f ca="1">IF($G885="","",INDEX(BASE_PRODUTOS!$M$2:$M$1006,$G885))</f>
        <v/>
      </c>
      <c r="S885" s="9" t="str">
        <f ca="1">IF($G885="","",INDEX(BASE_PRODUTOS!$N$2:$N$1006,$G885))</f>
        <v/>
      </c>
      <c r="T885" s="9" t="str">
        <f ca="1">IF($G885="","",INDEX(BASE_PRODUTOS!$D$2:$D$1006,$G885))</f>
        <v/>
      </c>
    </row>
    <row r="886" spans="7:20" ht="18" customHeight="1" x14ac:dyDescent="0.35">
      <c r="G886" t="str">
        <f ca="1">IFERROR(_xludf.aggregate(15,6,(ROW(BASE_PRODUTOS!$L$2:$L$1006)-ROW(BASE_PRODUTOS!$L$2)+1)/(BASE_PRODUTOS!$L$2:$L$1006&gt;0),ROWS($G$10:G886)),"")</f>
        <v/>
      </c>
      <c r="H886" s="9" t="str">
        <f ca="1">IF($G886="","",INDEX(BASE_PRODUTOS!$B$2:$B$1006,$G886))</f>
        <v/>
      </c>
      <c r="I886" s="9" t="str">
        <f ca="1">IF($G886="","",INDEX(BASE_PRODUTOS!$L$2:$L$1006,$G886))</f>
        <v/>
      </c>
      <c r="J886" s="9" t="str">
        <f ca="1">IF($G886="","",INDEX(BASE_PRODUTOS!$A$2:$A$1006,$G886))</f>
        <v/>
      </c>
      <c r="K886" s="9" t="str">
        <f ca="1">IF($G886="","",INDEX(BASE_PRODUTOS!$C$2:$C$1006,$G886))</f>
        <v/>
      </c>
      <c r="L886" s="9" t="str">
        <f ca="1">IF($G886="","",INDEX(BASE_PRODUTOS!$E$2:$E$1006,$G886))</f>
        <v/>
      </c>
      <c r="M886" s="9" t="str">
        <f ca="1">IF($G886="","",INDEX(BASE_PRODUTOS!$F$2:$F$1006,$G886))</f>
        <v/>
      </c>
      <c r="N886" s="9" t="str">
        <f ca="1">IF($G886="","",INDEX(BASE_PRODUTOS!$G$2:$G$1006,$G886))</f>
        <v/>
      </c>
      <c r="O886" s="9" t="str">
        <f ca="1">IF($G886="","",INDEX(BASE_PRODUTOS!$H$2:$H$1006,$G886))</f>
        <v/>
      </c>
      <c r="P886" s="9" t="str">
        <f ca="1">IF($G886="","",INDEX(BASE_PRODUTOS!$I$2:$I$1006,$G886))</f>
        <v/>
      </c>
      <c r="Q886" s="9" t="str">
        <f ca="1">IF($G886="","",INDEX(BASE_PRODUTOS!$J$2:$J$1006,$G886))</f>
        <v/>
      </c>
      <c r="R886" s="9" t="str">
        <f ca="1">IF($G886="","",INDEX(BASE_PRODUTOS!$M$2:$M$1006,$G886))</f>
        <v/>
      </c>
      <c r="S886" s="9" t="str">
        <f ca="1">IF($G886="","",INDEX(BASE_PRODUTOS!$N$2:$N$1006,$G886))</f>
        <v/>
      </c>
      <c r="T886" s="9" t="str">
        <f ca="1">IF($G886="","",INDEX(BASE_PRODUTOS!$D$2:$D$1006,$G886))</f>
        <v/>
      </c>
    </row>
    <row r="887" spans="7:20" ht="18" customHeight="1" x14ac:dyDescent="0.35">
      <c r="G887" t="str">
        <f ca="1">IFERROR(_xludf.aggregate(15,6,(ROW(BASE_PRODUTOS!$L$2:$L$1006)-ROW(BASE_PRODUTOS!$L$2)+1)/(BASE_PRODUTOS!$L$2:$L$1006&gt;0),ROWS($G$10:G887)),"")</f>
        <v/>
      </c>
      <c r="H887" s="9" t="str">
        <f ca="1">IF($G887="","",INDEX(BASE_PRODUTOS!$B$2:$B$1006,$G887))</f>
        <v/>
      </c>
      <c r="I887" s="9" t="str">
        <f ca="1">IF($G887="","",INDEX(BASE_PRODUTOS!$L$2:$L$1006,$G887))</f>
        <v/>
      </c>
      <c r="J887" s="9" t="str">
        <f ca="1">IF($G887="","",INDEX(BASE_PRODUTOS!$A$2:$A$1006,$G887))</f>
        <v/>
      </c>
      <c r="K887" s="9" t="str">
        <f ca="1">IF($G887="","",INDEX(BASE_PRODUTOS!$C$2:$C$1006,$G887))</f>
        <v/>
      </c>
      <c r="L887" s="9" t="str">
        <f ca="1">IF($G887="","",INDEX(BASE_PRODUTOS!$E$2:$E$1006,$G887))</f>
        <v/>
      </c>
      <c r="M887" s="9" t="str">
        <f ca="1">IF($G887="","",INDEX(BASE_PRODUTOS!$F$2:$F$1006,$G887))</f>
        <v/>
      </c>
      <c r="N887" s="9" t="str">
        <f ca="1">IF($G887="","",INDEX(BASE_PRODUTOS!$G$2:$G$1006,$G887))</f>
        <v/>
      </c>
      <c r="O887" s="9" t="str">
        <f ca="1">IF($G887="","",INDEX(BASE_PRODUTOS!$H$2:$H$1006,$G887))</f>
        <v/>
      </c>
      <c r="P887" s="9" t="str">
        <f ca="1">IF($G887="","",INDEX(BASE_PRODUTOS!$I$2:$I$1006,$G887))</f>
        <v/>
      </c>
      <c r="Q887" s="9" t="str">
        <f ca="1">IF($G887="","",INDEX(BASE_PRODUTOS!$J$2:$J$1006,$G887))</f>
        <v/>
      </c>
      <c r="R887" s="9" t="str">
        <f ca="1">IF($G887="","",INDEX(BASE_PRODUTOS!$M$2:$M$1006,$G887))</f>
        <v/>
      </c>
      <c r="S887" s="9" t="str">
        <f ca="1">IF($G887="","",INDEX(BASE_PRODUTOS!$N$2:$N$1006,$G887))</f>
        <v/>
      </c>
      <c r="T887" s="9" t="str">
        <f ca="1">IF($G887="","",INDEX(BASE_PRODUTOS!$D$2:$D$1006,$G887))</f>
        <v/>
      </c>
    </row>
    <row r="888" spans="7:20" ht="18" customHeight="1" x14ac:dyDescent="0.35">
      <c r="G888" t="str">
        <f ca="1">IFERROR(_xludf.aggregate(15,6,(ROW(BASE_PRODUTOS!$L$2:$L$1006)-ROW(BASE_PRODUTOS!$L$2)+1)/(BASE_PRODUTOS!$L$2:$L$1006&gt;0),ROWS($G$10:G888)),"")</f>
        <v/>
      </c>
      <c r="H888" s="9" t="str">
        <f ca="1">IF($G888="","",INDEX(BASE_PRODUTOS!$B$2:$B$1006,$G888))</f>
        <v/>
      </c>
      <c r="I888" s="9" t="str">
        <f ca="1">IF($G888="","",INDEX(BASE_PRODUTOS!$L$2:$L$1006,$G888))</f>
        <v/>
      </c>
      <c r="J888" s="9" t="str">
        <f ca="1">IF($G888="","",INDEX(BASE_PRODUTOS!$A$2:$A$1006,$G888))</f>
        <v/>
      </c>
      <c r="K888" s="9" t="str">
        <f ca="1">IF($G888="","",INDEX(BASE_PRODUTOS!$C$2:$C$1006,$G888))</f>
        <v/>
      </c>
      <c r="L888" s="9" t="str">
        <f ca="1">IF($G888="","",INDEX(BASE_PRODUTOS!$E$2:$E$1006,$G888))</f>
        <v/>
      </c>
      <c r="M888" s="9" t="str">
        <f ca="1">IF($G888="","",INDEX(BASE_PRODUTOS!$F$2:$F$1006,$G888))</f>
        <v/>
      </c>
      <c r="N888" s="9" t="str">
        <f ca="1">IF($G888="","",INDEX(BASE_PRODUTOS!$G$2:$G$1006,$G888))</f>
        <v/>
      </c>
      <c r="O888" s="9" t="str">
        <f ca="1">IF($G888="","",INDEX(BASE_PRODUTOS!$H$2:$H$1006,$G888))</f>
        <v/>
      </c>
      <c r="P888" s="9" t="str">
        <f ca="1">IF($G888="","",INDEX(BASE_PRODUTOS!$I$2:$I$1006,$G888))</f>
        <v/>
      </c>
      <c r="Q888" s="9" t="str">
        <f ca="1">IF($G888="","",INDEX(BASE_PRODUTOS!$J$2:$J$1006,$G888))</f>
        <v/>
      </c>
      <c r="R888" s="9" t="str">
        <f ca="1">IF($G888="","",INDEX(BASE_PRODUTOS!$M$2:$M$1006,$G888))</f>
        <v/>
      </c>
      <c r="S888" s="9" t="str">
        <f ca="1">IF($G888="","",INDEX(BASE_PRODUTOS!$N$2:$N$1006,$G888))</f>
        <v/>
      </c>
      <c r="T888" s="9" t="str">
        <f ca="1">IF($G888="","",INDEX(BASE_PRODUTOS!$D$2:$D$1006,$G888))</f>
        <v/>
      </c>
    </row>
    <row r="889" spans="7:20" ht="18" customHeight="1" x14ac:dyDescent="0.35">
      <c r="G889" t="str">
        <f ca="1">IFERROR(_xludf.aggregate(15,6,(ROW(BASE_PRODUTOS!$L$2:$L$1006)-ROW(BASE_PRODUTOS!$L$2)+1)/(BASE_PRODUTOS!$L$2:$L$1006&gt;0),ROWS($G$10:G889)),"")</f>
        <v/>
      </c>
      <c r="H889" s="9" t="str">
        <f ca="1">IF($G889="","",INDEX(BASE_PRODUTOS!$B$2:$B$1006,$G889))</f>
        <v/>
      </c>
      <c r="I889" s="9" t="str">
        <f ca="1">IF($G889="","",INDEX(BASE_PRODUTOS!$L$2:$L$1006,$G889))</f>
        <v/>
      </c>
      <c r="J889" s="9" t="str">
        <f ca="1">IF($G889="","",INDEX(BASE_PRODUTOS!$A$2:$A$1006,$G889))</f>
        <v/>
      </c>
      <c r="K889" s="9" t="str">
        <f ca="1">IF($G889="","",INDEX(BASE_PRODUTOS!$C$2:$C$1006,$G889))</f>
        <v/>
      </c>
      <c r="L889" s="9" t="str">
        <f ca="1">IF($G889="","",INDEX(BASE_PRODUTOS!$E$2:$E$1006,$G889))</f>
        <v/>
      </c>
      <c r="M889" s="9" t="str">
        <f ca="1">IF($G889="","",INDEX(BASE_PRODUTOS!$F$2:$F$1006,$G889))</f>
        <v/>
      </c>
      <c r="N889" s="9" t="str">
        <f ca="1">IF($G889="","",INDEX(BASE_PRODUTOS!$G$2:$G$1006,$G889))</f>
        <v/>
      </c>
      <c r="O889" s="9" t="str">
        <f ca="1">IF($G889="","",INDEX(BASE_PRODUTOS!$H$2:$H$1006,$G889))</f>
        <v/>
      </c>
      <c r="P889" s="9" t="str">
        <f ca="1">IF($G889="","",INDEX(BASE_PRODUTOS!$I$2:$I$1006,$G889))</f>
        <v/>
      </c>
      <c r="Q889" s="9" t="str">
        <f ca="1">IF($G889="","",INDEX(BASE_PRODUTOS!$J$2:$J$1006,$G889))</f>
        <v/>
      </c>
      <c r="R889" s="9" t="str">
        <f ca="1">IF($G889="","",INDEX(BASE_PRODUTOS!$M$2:$M$1006,$G889))</f>
        <v/>
      </c>
      <c r="S889" s="9" t="str">
        <f ca="1">IF($G889="","",INDEX(BASE_PRODUTOS!$N$2:$N$1006,$G889))</f>
        <v/>
      </c>
      <c r="T889" s="9" t="str">
        <f ca="1">IF($G889="","",INDEX(BASE_PRODUTOS!$D$2:$D$1006,$G889))</f>
        <v/>
      </c>
    </row>
    <row r="890" spans="7:20" ht="18" customHeight="1" x14ac:dyDescent="0.35">
      <c r="G890" t="str">
        <f ca="1">IFERROR(_xludf.aggregate(15,6,(ROW(BASE_PRODUTOS!$L$2:$L$1006)-ROW(BASE_PRODUTOS!$L$2)+1)/(BASE_PRODUTOS!$L$2:$L$1006&gt;0),ROWS($G$10:G890)),"")</f>
        <v/>
      </c>
      <c r="H890" s="9" t="str">
        <f ca="1">IF($G890="","",INDEX(BASE_PRODUTOS!$B$2:$B$1006,$G890))</f>
        <v/>
      </c>
      <c r="I890" s="9" t="str">
        <f ca="1">IF($G890="","",INDEX(BASE_PRODUTOS!$L$2:$L$1006,$G890))</f>
        <v/>
      </c>
      <c r="J890" s="9" t="str">
        <f ca="1">IF($G890="","",INDEX(BASE_PRODUTOS!$A$2:$A$1006,$G890))</f>
        <v/>
      </c>
      <c r="K890" s="9" t="str">
        <f ca="1">IF($G890="","",INDEX(BASE_PRODUTOS!$C$2:$C$1006,$G890))</f>
        <v/>
      </c>
      <c r="L890" s="9" t="str">
        <f ca="1">IF($G890="","",INDEX(BASE_PRODUTOS!$E$2:$E$1006,$G890))</f>
        <v/>
      </c>
      <c r="M890" s="9" t="str">
        <f ca="1">IF($G890="","",INDEX(BASE_PRODUTOS!$F$2:$F$1006,$G890))</f>
        <v/>
      </c>
      <c r="N890" s="9" t="str">
        <f ca="1">IF($G890="","",INDEX(BASE_PRODUTOS!$G$2:$G$1006,$G890))</f>
        <v/>
      </c>
      <c r="O890" s="9" t="str">
        <f ca="1">IF($G890="","",INDEX(BASE_PRODUTOS!$H$2:$H$1006,$G890))</f>
        <v/>
      </c>
      <c r="P890" s="9" t="str">
        <f ca="1">IF($G890="","",INDEX(BASE_PRODUTOS!$I$2:$I$1006,$G890))</f>
        <v/>
      </c>
      <c r="Q890" s="9" t="str">
        <f ca="1">IF($G890="","",INDEX(BASE_PRODUTOS!$J$2:$J$1006,$G890))</f>
        <v/>
      </c>
      <c r="R890" s="9" t="str">
        <f ca="1">IF($G890="","",INDEX(BASE_PRODUTOS!$M$2:$M$1006,$G890))</f>
        <v/>
      </c>
      <c r="S890" s="9" t="str">
        <f ca="1">IF($G890="","",INDEX(BASE_PRODUTOS!$N$2:$N$1006,$G890))</f>
        <v/>
      </c>
      <c r="T890" s="9" t="str">
        <f ca="1">IF($G890="","",INDEX(BASE_PRODUTOS!$D$2:$D$1006,$G890))</f>
        <v/>
      </c>
    </row>
    <row r="891" spans="7:20" ht="18" customHeight="1" x14ac:dyDescent="0.35">
      <c r="G891" t="str">
        <f ca="1">IFERROR(_xludf.aggregate(15,6,(ROW(BASE_PRODUTOS!$L$2:$L$1006)-ROW(BASE_PRODUTOS!$L$2)+1)/(BASE_PRODUTOS!$L$2:$L$1006&gt;0),ROWS($G$10:G891)),"")</f>
        <v/>
      </c>
      <c r="H891" s="9" t="str">
        <f ca="1">IF($G891="","",INDEX(BASE_PRODUTOS!$B$2:$B$1006,$G891))</f>
        <v/>
      </c>
      <c r="I891" s="9" t="str">
        <f ca="1">IF($G891="","",INDEX(BASE_PRODUTOS!$L$2:$L$1006,$G891))</f>
        <v/>
      </c>
      <c r="J891" s="9" t="str">
        <f ca="1">IF($G891="","",INDEX(BASE_PRODUTOS!$A$2:$A$1006,$G891))</f>
        <v/>
      </c>
      <c r="K891" s="9" t="str">
        <f ca="1">IF($G891="","",INDEX(BASE_PRODUTOS!$C$2:$C$1006,$G891))</f>
        <v/>
      </c>
      <c r="L891" s="9" t="str">
        <f ca="1">IF($G891="","",INDEX(BASE_PRODUTOS!$E$2:$E$1006,$G891))</f>
        <v/>
      </c>
      <c r="M891" s="9" t="str">
        <f ca="1">IF($G891="","",INDEX(BASE_PRODUTOS!$F$2:$F$1006,$G891))</f>
        <v/>
      </c>
      <c r="N891" s="9" t="str">
        <f ca="1">IF($G891="","",INDEX(BASE_PRODUTOS!$G$2:$G$1006,$G891))</f>
        <v/>
      </c>
      <c r="O891" s="9" t="str">
        <f ca="1">IF($G891="","",INDEX(BASE_PRODUTOS!$H$2:$H$1006,$G891))</f>
        <v/>
      </c>
      <c r="P891" s="9" t="str">
        <f ca="1">IF($G891="","",INDEX(BASE_PRODUTOS!$I$2:$I$1006,$G891))</f>
        <v/>
      </c>
      <c r="Q891" s="9" t="str">
        <f ca="1">IF($G891="","",INDEX(BASE_PRODUTOS!$J$2:$J$1006,$G891))</f>
        <v/>
      </c>
      <c r="R891" s="9" t="str">
        <f ca="1">IF($G891="","",INDEX(BASE_PRODUTOS!$M$2:$M$1006,$G891))</f>
        <v/>
      </c>
      <c r="S891" s="9" t="str">
        <f ca="1">IF($G891="","",INDEX(BASE_PRODUTOS!$N$2:$N$1006,$G891))</f>
        <v/>
      </c>
      <c r="T891" s="9" t="str">
        <f ca="1">IF($G891="","",INDEX(BASE_PRODUTOS!$D$2:$D$1006,$G891))</f>
        <v/>
      </c>
    </row>
    <row r="892" spans="7:20" ht="18" customHeight="1" x14ac:dyDescent="0.35">
      <c r="G892" t="str">
        <f ca="1">IFERROR(_xludf.aggregate(15,6,(ROW(BASE_PRODUTOS!$L$2:$L$1006)-ROW(BASE_PRODUTOS!$L$2)+1)/(BASE_PRODUTOS!$L$2:$L$1006&gt;0),ROWS($G$10:G892)),"")</f>
        <v/>
      </c>
      <c r="H892" s="9" t="str">
        <f ca="1">IF($G892="","",INDEX(BASE_PRODUTOS!$B$2:$B$1006,$G892))</f>
        <v/>
      </c>
      <c r="I892" s="9" t="str">
        <f ca="1">IF($G892="","",INDEX(BASE_PRODUTOS!$L$2:$L$1006,$G892))</f>
        <v/>
      </c>
      <c r="J892" s="9" t="str">
        <f ca="1">IF($G892="","",INDEX(BASE_PRODUTOS!$A$2:$A$1006,$G892))</f>
        <v/>
      </c>
      <c r="K892" s="9" t="str">
        <f ca="1">IF($G892="","",INDEX(BASE_PRODUTOS!$C$2:$C$1006,$G892))</f>
        <v/>
      </c>
      <c r="L892" s="9" t="str">
        <f ca="1">IF($G892="","",INDEX(BASE_PRODUTOS!$E$2:$E$1006,$G892))</f>
        <v/>
      </c>
      <c r="M892" s="9" t="str">
        <f ca="1">IF($G892="","",INDEX(BASE_PRODUTOS!$F$2:$F$1006,$G892))</f>
        <v/>
      </c>
      <c r="N892" s="9" t="str">
        <f ca="1">IF($G892="","",INDEX(BASE_PRODUTOS!$G$2:$G$1006,$G892))</f>
        <v/>
      </c>
      <c r="O892" s="9" t="str">
        <f ca="1">IF($G892="","",INDEX(BASE_PRODUTOS!$H$2:$H$1006,$G892))</f>
        <v/>
      </c>
      <c r="P892" s="9" t="str">
        <f ca="1">IF($G892="","",INDEX(BASE_PRODUTOS!$I$2:$I$1006,$G892))</f>
        <v/>
      </c>
      <c r="Q892" s="9" t="str">
        <f ca="1">IF($G892="","",INDEX(BASE_PRODUTOS!$J$2:$J$1006,$G892))</f>
        <v/>
      </c>
      <c r="R892" s="9" t="str">
        <f ca="1">IF($G892="","",INDEX(BASE_PRODUTOS!$M$2:$M$1006,$G892))</f>
        <v/>
      </c>
      <c r="S892" s="9" t="str">
        <f ca="1">IF($G892="","",INDEX(BASE_PRODUTOS!$N$2:$N$1006,$G892))</f>
        <v/>
      </c>
      <c r="T892" s="9" t="str">
        <f ca="1">IF($G892="","",INDEX(BASE_PRODUTOS!$D$2:$D$1006,$G892))</f>
        <v/>
      </c>
    </row>
    <row r="893" spans="7:20" ht="18" customHeight="1" x14ac:dyDescent="0.35">
      <c r="G893" t="str">
        <f ca="1">IFERROR(_xludf.aggregate(15,6,(ROW(BASE_PRODUTOS!$L$2:$L$1006)-ROW(BASE_PRODUTOS!$L$2)+1)/(BASE_PRODUTOS!$L$2:$L$1006&gt;0),ROWS($G$10:G893)),"")</f>
        <v/>
      </c>
      <c r="H893" s="9" t="str">
        <f ca="1">IF($G893="","",INDEX(BASE_PRODUTOS!$B$2:$B$1006,$G893))</f>
        <v/>
      </c>
      <c r="I893" s="9" t="str">
        <f ca="1">IF($G893="","",INDEX(BASE_PRODUTOS!$L$2:$L$1006,$G893))</f>
        <v/>
      </c>
      <c r="J893" s="9" t="str">
        <f ca="1">IF($G893="","",INDEX(BASE_PRODUTOS!$A$2:$A$1006,$G893))</f>
        <v/>
      </c>
      <c r="K893" s="9" t="str">
        <f ca="1">IF($G893="","",INDEX(BASE_PRODUTOS!$C$2:$C$1006,$G893))</f>
        <v/>
      </c>
      <c r="L893" s="9" t="str">
        <f ca="1">IF($G893="","",INDEX(BASE_PRODUTOS!$E$2:$E$1006,$G893))</f>
        <v/>
      </c>
      <c r="M893" s="9" t="str">
        <f ca="1">IF($G893="","",INDEX(BASE_PRODUTOS!$F$2:$F$1006,$G893))</f>
        <v/>
      </c>
      <c r="N893" s="9" t="str">
        <f ca="1">IF($G893="","",INDEX(BASE_PRODUTOS!$G$2:$G$1006,$G893))</f>
        <v/>
      </c>
      <c r="O893" s="9" t="str">
        <f ca="1">IF($G893="","",INDEX(BASE_PRODUTOS!$H$2:$H$1006,$G893))</f>
        <v/>
      </c>
      <c r="P893" s="9" t="str">
        <f ca="1">IF($G893="","",INDEX(BASE_PRODUTOS!$I$2:$I$1006,$G893))</f>
        <v/>
      </c>
      <c r="Q893" s="9" t="str">
        <f ca="1">IF($G893="","",INDEX(BASE_PRODUTOS!$J$2:$J$1006,$G893))</f>
        <v/>
      </c>
      <c r="R893" s="9" t="str">
        <f ca="1">IF($G893="","",INDEX(BASE_PRODUTOS!$M$2:$M$1006,$G893))</f>
        <v/>
      </c>
      <c r="S893" s="9" t="str">
        <f ca="1">IF($G893="","",INDEX(BASE_PRODUTOS!$N$2:$N$1006,$G893))</f>
        <v/>
      </c>
      <c r="T893" s="9" t="str">
        <f ca="1">IF($G893="","",INDEX(BASE_PRODUTOS!$D$2:$D$1006,$G893))</f>
        <v/>
      </c>
    </row>
    <row r="894" spans="7:20" ht="18" customHeight="1" x14ac:dyDescent="0.35">
      <c r="G894" t="str">
        <f ca="1">IFERROR(_xludf.aggregate(15,6,(ROW(BASE_PRODUTOS!$L$2:$L$1006)-ROW(BASE_PRODUTOS!$L$2)+1)/(BASE_PRODUTOS!$L$2:$L$1006&gt;0),ROWS($G$10:G894)),"")</f>
        <v/>
      </c>
      <c r="H894" s="9" t="str">
        <f ca="1">IF($G894="","",INDEX(BASE_PRODUTOS!$B$2:$B$1006,$G894))</f>
        <v/>
      </c>
      <c r="I894" s="9" t="str">
        <f ca="1">IF($G894="","",INDEX(BASE_PRODUTOS!$L$2:$L$1006,$G894))</f>
        <v/>
      </c>
      <c r="J894" s="9" t="str">
        <f ca="1">IF($G894="","",INDEX(BASE_PRODUTOS!$A$2:$A$1006,$G894))</f>
        <v/>
      </c>
      <c r="K894" s="9" t="str">
        <f ca="1">IF($G894="","",INDEX(BASE_PRODUTOS!$C$2:$C$1006,$G894))</f>
        <v/>
      </c>
      <c r="L894" s="9" t="str">
        <f ca="1">IF($G894="","",INDEX(BASE_PRODUTOS!$E$2:$E$1006,$G894))</f>
        <v/>
      </c>
      <c r="M894" s="9" t="str">
        <f ca="1">IF($G894="","",INDEX(BASE_PRODUTOS!$F$2:$F$1006,$G894))</f>
        <v/>
      </c>
      <c r="N894" s="9" t="str">
        <f ca="1">IF($G894="","",INDEX(BASE_PRODUTOS!$G$2:$G$1006,$G894))</f>
        <v/>
      </c>
      <c r="O894" s="9" t="str">
        <f ca="1">IF($G894="","",INDEX(BASE_PRODUTOS!$H$2:$H$1006,$G894))</f>
        <v/>
      </c>
      <c r="P894" s="9" t="str">
        <f ca="1">IF($G894="","",INDEX(BASE_PRODUTOS!$I$2:$I$1006,$G894))</f>
        <v/>
      </c>
      <c r="Q894" s="9" t="str">
        <f ca="1">IF($G894="","",INDEX(BASE_PRODUTOS!$J$2:$J$1006,$G894))</f>
        <v/>
      </c>
      <c r="R894" s="9" t="str">
        <f ca="1">IF($G894="","",INDEX(BASE_PRODUTOS!$M$2:$M$1006,$G894))</f>
        <v/>
      </c>
      <c r="S894" s="9" t="str">
        <f ca="1">IF($G894="","",INDEX(BASE_PRODUTOS!$N$2:$N$1006,$G894))</f>
        <v/>
      </c>
      <c r="T894" s="9" t="str">
        <f ca="1">IF($G894="","",INDEX(BASE_PRODUTOS!$D$2:$D$1006,$G894))</f>
        <v/>
      </c>
    </row>
    <row r="895" spans="7:20" ht="18" customHeight="1" x14ac:dyDescent="0.35">
      <c r="G895" t="str">
        <f ca="1">IFERROR(_xludf.aggregate(15,6,(ROW(BASE_PRODUTOS!$L$2:$L$1006)-ROW(BASE_PRODUTOS!$L$2)+1)/(BASE_PRODUTOS!$L$2:$L$1006&gt;0),ROWS($G$10:G895)),"")</f>
        <v/>
      </c>
      <c r="H895" s="9" t="str">
        <f ca="1">IF($G895="","",INDEX(BASE_PRODUTOS!$B$2:$B$1006,$G895))</f>
        <v/>
      </c>
      <c r="I895" s="9" t="str">
        <f ca="1">IF($G895="","",INDEX(BASE_PRODUTOS!$L$2:$L$1006,$G895))</f>
        <v/>
      </c>
      <c r="J895" s="9" t="str">
        <f ca="1">IF($G895="","",INDEX(BASE_PRODUTOS!$A$2:$A$1006,$G895))</f>
        <v/>
      </c>
      <c r="K895" s="9" t="str">
        <f ca="1">IF($G895="","",INDEX(BASE_PRODUTOS!$C$2:$C$1006,$G895))</f>
        <v/>
      </c>
      <c r="L895" s="9" t="str">
        <f ca="1">IF($G895="","",INDEX(BASE_PRODUTOS!$E$2:$E$1006,$G895))</f>
        <v/>
      </c>
      <c r="M895" s="9" t="str">
        <f ca="1">IF($G895="","",INDEX(BASE_PRODUTOS!$F$2:$F$1006,$G895))</f>
        <v/>
      </c>
      <c r="N895" s="9" t="str">
        <f ca="1">IF($G895="","",INDEX(BASE_PRODUTOS!$G$2:$G$1006,$G895))</f>
        <v/>
      </c>
      <c r="O895" s="9" t="str">
        <f ca="1">IF($G895="","",INDEX(BASE_PRODUTOS!$H$2:$H$1006,$G895))</f>
        <v/>
      </c>
      <c r="P895" s="9" t="str">
        <f ca="1">IF($G895="","",INDEX(BASE_PRODUTOS!$I$2:$I$1006,$G895))</f>
        <v/>
      </c>
      <c r="Q895" s="9" t="str">
        <f ca="1">IF($G895="","",INDEX(BASE_PRODUTOS!$J$2:$J$1006,$G895))</f>
        <v/>
      </c>
      <c r="R895" s="9" t="str">
        <f ca="1">IF($G895="","",INDEX(BASE_PRODUTOS!$M$2:$M$1006,$G895))</f>
        <v/>
      </c>
      <c r="S895" s="9" t="str">
        <f ca="1">IF($G895="","",INDEX(BASE_PRODUTOS!$N$2:$N$1006,$G895))</f>
        <v/>
      </c>
      <c r="T895" s="9" t="str">
        <f ca="1">IF($G895="","",INDEX(BASE_PRODUTOS!$D$2:$D$1006,$G895))</f>
        <v/>
      </c>
    </row>
    <row r="896" spans="7:20" ht="18" customHeight="1" x14ac:dyDescent="0.35">
      <c r="G896" t="str">
        <f ca="1">IFERROR(_xludf.aggregate(15,6,(ROW(BASE_PRODUTOS!$L$2:$L$1006)-ROW(BASE_PRODUTOS!$L$2)+1)/(BASE_PRODUTOS!$L$2:$L$1006&gt;0),ROWS($G$10:G896)),"")</f>
        <v/>
      </c>
      <c r="H896" s="9" t="str">
        <f ca="1">IF($G896="","",INDEX(BASE_PRODUTOS!$B$2:$B$1006,$G896))</f>
        <v/>
      </c>
      <c r="I896" s="9" t="str">
        <f ca="1">IF($G896="","",INDEX(BASE_PRODUTOS!$L$2:$L$1006,$G896))</f>
        <v/>
      </c>
      <c r="J896" s="9" t="str">
        <f ca="1">IF($G896="","",INDEX(BASE_PRODUTOS!$A$2:$A$1006,$G896))</f>
        <v/>
      </c>
      <c r="K896" s="9" t="str">
        <f ca="1">IF($G896="","",INDEX(BASE_PRODUTOS!$C$2:$C$1006,$G896))</f>
        <v/>
      </c>
      <c r="L896" s="9" t="str">
        <f ca="1">IF($G896="","",INDEX(BASE_PRODUTOS!$E$2:$E$1006,$G896))</f>
        <v/>
      </c>
      <c r="M896" s="9" t="str">
        <f ca="1">IF($G896="","",INDEX(BASE_PRODUTOS!$F$2:$F$1006,$G896))</f>
        <v/>
      </c>
      <c r="N896" s="9" t="str">
        <f ca="1">IF($G896="","",INDEX(BASE_PRODUTOS!$G$2:$G$1006,$G896))</f>
        <v/>
      </c>
      <c r="O896" s="9" t="str">
        <f ca="1">IF($G896="","",INDEX(BASE_PRODUTOS!$H$2:$H$1006,$G896))</f>
        <v/>
      </c>
      <c r="P896" s="9" t="str">
        <f ca="1">IF($G896="","",INDEX(BASE_PRODUTOS!$I$2:$I$1006,$G896))</f>
        <v/>
      </c>
      <c r="Q896" s="9" t="str">
        <f ca="1">IF($G896="","",INDEX(BASE_PRODUTOS!$J$2:$J$1006,$G896))</f>
        <v/>
      </c>
      <c r="R896" s="9" t="str">
        <f ca="1">IF($G896="","",INDEX(BASE_PRODUTOS!$M$2:$M$1006,$G896))</f>
        <v/>
      </c>
      <c r="S896" s="9" t="str">
        <f ca="1">IF($G896="","",INDEX(BASE_PRODUTOS!$N$2:$N$1006,$G896))</f>
        <v/>
      </c>
      <c r="T896" s="9" t="str">
        <f ca="1">IF($G896="","",INDEX(BASE_PRODUTOS!$D$2:$D$1006,$G896))</f>
        <v/>
      </c>
    </row>
    <row r="897" spans="7:20" ht="18" customHeight="1" x14ac:dyDescent="0.35">
      <c r="G897" t="str">
        <f ca="1">IFERROR(_xludf.aggregate(15,6,(ROW(BASE_PRODUTOS!$L$2:$L$1006)-ROW(BASE_PRODUTOS!$L$2)+1)/(BASE_PRODUTOS!$L$2:$L$1006&gt;0),ROWS($G$10:G897)),"")</f>
        <v/>
      </c>
      <c r="H897" s="9" t="str">
        <f ca="1">IF($G897="","",INDEX(BASE_PRODUTOS!$B$2:$B$1006,$G897))</f>
        <v/>
      </c>
      <c r="I897" s="9" t="str">
        <f ca="1">IF($G897="","",INDEX(BASE_PRODUTOS!$L$2:$L$1006,$G897))</f>
        <v/>
      </c>
      <c r="J897" s="9" t="str">
        <f ca="1">IF($G897="","",INDEX(BASE_PRODUTOS!$A$2:$A$1006,$G897))</f>
        <v/>
      </c>
      <c r="K897" s="9" t="str">
        <f ca="1">IF($G897="","",INDEX(BASE_PRODUTOS!$C$2:$C$1006,$G897))</f>
        <v/>
      </c>
      <c r="L897" s="9" t="str">
        <f ca="1">IF($G897="","",INDEX(BASE_PRODUTOS!$E$2:$E$1006,$G897))</f>
        <v/>
      </c>
      <c r="M897" s="9" t="str">
        <f ca="1">IF($G897="","",INDEX(BASE_PRODUTOS!$F$2:$F$1006,$G897))</f>
        <v/>
      </c>
      <c r="N897" s="9" t="str">
        <f ca="1">IF($G897="","",INDEX(BASE_PRODUTOS!$G$2:$G$1006,$G897))</f>
        <v/>
      </c>
      <c r="O897" s="9" t="str">
        <f ca="1">IF($G897="","",INDEX(BASE_PRODUTOS!$H$2:$H$1006,$G897))</f>
        <v/>
      </c>
      <c r="P897" s="9" t="str">
        <f ca="1">IF($G897="","",INDEX(BASE_PRODUTOS!$I$2:$I$1006,$G897))</f>
        <v/>
      </c>
      <c r="Q897" s="9" t="str">
        <f ca="1">IF($G897="","",INDEX(BASE_PRODUTOS!$J$2:$J$1006,$G897))</f>
        <v/>
      </c>
      <c r="R897" s="9" t="str">
        <f ca="1">IF($G897="","",INDEX(BASE_PRODUTOS!$M$2:$M$1006,$G897))</f>
        <v/>
      </c>
      <c r="S897" s="9" t="str">
        <f ca="1">IF($G897="","",INDEX(BASE_PRODUTOS!$N$2:$N$1006,$G897))</f>
        <v/>
      </c>
      <c r="T897" s="9" t="str">
        <f ca="1">IF($G897="","",INDEX(BASE_PRODUTOS!$D$2:$D$1006,$G897))</f>
        <v/>
      </c>
    </row>
    <row r="898" spans="7:20" ht="18" customHeight="1" x14ac:dyDescent="0.35">
      <c r="G898" t="str">
        <f ca="1">IFERROR(_xludf.aggregate(15,6,(ROW(BASE_PRODUTOS!$L$2:$L$1006)-ROW(BASE_PRODUTOS!$L$2)+1)/(BASE_PRODUTOS!$L$2:$L$1006&gt;0),ROWS($G$10:G898)),"")</f>
        <v/>
      </c>
      <c r="H898" s="9" t="str">
        <f ca="1">IF($G898="","",INDEX(BASE_PRODUTOS!$B$2:$B$1006,$G898))</f>
        <v/>
      </c>
      <c r="I898" s="9" t="str">
        <f ca="1">IF($G898="","",INDEX(BASE_PRODUTOS!$L$2:$L$1006,$G898))</f>
        <v/>
      </c>
      <c r="J898" s="9" t="str">
        <f ca="1">IF($G898="","",INDEX(BASE_PRODUTOS!$A$2:$A$1006,$G898))</f>
        <v/>
      </c>
      <c r="K898" s="9" t="str">
        <f ca="1">IF($G898="","",INDEX(BASE_PRODUTOS!$C$2:$C$1006,$G898))</f>
        <v/>
      </c>
      <c r="L898" s="9" t="str">
        <f ca="1">IF($G898="","",INDEX(BASE_PRODUTOS!$E$2:$E$1006,$G898))</f>
        <v/>
      </c>
      <c r="M898" s="9" t="str">
        <f ca="1">IF($G898="","",INDEX(BASE_PRODUTOS!$F$2:$F$1006,$G898))</f>
        <v/>
      </c>
      <c r="N898" s="9" t="str">
        <f ca="1">IF($G898="","",INDEX(BASE_PRODUTOS!$G$2:$G$1006,$G898))</f>
        <v/>
      </c>
      <c r="O898" s="9" t="str">
        <f ca="1">IF($G898="","",INDEX(BASE_PRODUTOS!$H$2:$H$1006,$G898))</f>
        <v/>
      </c>
      <c r="P898" s="9" t="str">
        <f ca="1">IF($G898="","",INDEX(BASE_PRODUTOS!$I$2:$I$1006,$G898))</f>
        <v/>
      </c>
      <c r="Q898" s="9" t="str">
        <f ca="1">IF($G898="","",INDEX(BASE_PRODUTOS!$J$2:$J$1006,$G898))</f>
        <v/>
      </c>
      <c r="R898" s="9" t="str">
        <f ca="1">IF($G898="","",INDEX(BASE_PRODUTOS!$M$2:$M$1006,$G898))</f>
        <v/>
      </c>
      <c r="S898" s="9" t="str">
        <f ca="1">IF($G898="","",INDEX(BASE_PRODUTOS!$N$2:$N$1006,$G898))</f>
        <v/>
      </c>
      <c r="T898" s="9" t="str">
        <f ca="1">IF($G898="","",INDEX(BASE_PRODUTOS!$D$2:$D$1006,$G898))</f>
        <v/>
      </c>
    </row>
    <row r="899" spans="7:20" ht="18" customHeight="1" x14ac:dyDescent="0.35">
      <c r="G899" t="str">
        <f ca="1">IFERROR(_xludf.aggregate(15,6,(ROW(BASE_PRODUTOS!$L$2:$L$1006)-ROW(BASE_PRODUTOS!$L$2)+1)/(BASE_PRODUTOS!$L$2:$L$1006&gt;0),ROWS($G$10:G899)),"")</f>
        <v/>
      </c>
      <c r="H899" s="9" t="str">
        <f ca="1">IF($G899="","",INDEX(BASE_PRODUTOS!$B$2:$B$1006,$G899))</f>
        <v/>
      </c>
      <c r="I899" s="9" t="str">
        <f ca="1">IF($G899="","",INDEX(BASE_PRODUTOS!$L$2:$L$1006,$G899))</f>
        <v/>
      </c>
      <c r="J899" s="9" t="str">
        <f ca="1">IF($G899="","",INDEX(BASE_PRODUTOS!$A$2:$A$1006,$G899))</f>
        <v/>
      </c>
      <c r="K899" s="9" t="str">
        <f ca="1">IF($G899="","",INDEX(BASE_PRODUTOS!$C$2:$C$1006,$G899))</f>
        <v/>
      </c>
      <c r="L899" s="9" t="str">
        <f ca="1">IF($G899="","",INDEX(BASE_PRODUTOS!$E$2:$E$1006,$G899))</f>
        <v/>
      </c>
      <c r="M899" s="9" t="str">
        <f ca="1">IF($G899="","",INDEX(BASE_PRODUTOS!$F$2:$F$1006,$G899))</f>
        <v/>
      </c>
      <c r="N899" s="9" t="str">
        <f ca="1">IF($G899="","",INDEX(BASE_PRODUTOS!$G$2:$G$1006,$G899))</f>
        <v/>
      </c>
      <c r="O899" s="9" t="str">
        <f ca="1">IF($G899="","",INDEX(BASE_PRODUTOS!$H$2:$H$1006,$G899))</f>
        <v/>
      </c>
      <c r="P899" s="9" t="str">
        <f ca="1">IF($G899="","",INDEX(BASE_PRODUTOS!$I$2:$I$1006,$G899))</f>
        <v/>
      </c>
      <c r="Q899" s="9" t="str">
        <f ca="1">IF($G899="","",INDEX(BASE_PRODUTOS!$J$2:$J$1006,$G899))</f>
        <v/>
      </c>
      <c r="R899" s="9" t="str">
        <f ca="1">IF($G899="","",INDEX(BASE_PRODUTOS!$M$2:$M$1006,$G899))</f>
        <v/>
      </c>
      <c r="S899" s="9" t="str">
        <f ca="1">IF($G899="","",INDEX(BASE_PRODUTOS!$N$2:$N$1006,$G899))</f>
        <v/>
      </c>
      <c r="T899" s="9" t="str">
        <f ca="1">IF($G899="","",INDEX(BASE_PRODUTOS!$D$2:$D$1006,$G899))</f>
        <v/>
      </c>
    </row>
    <row r="900" spans="7:20" ht="18" customHeight="1" x14ac:dyDescent="0.35">
      <c r="G900" t="str">
        <f ca="1">IFERROR(_xludf.aggregate(15,6,(ROW(BASE_PRODUTOS!$L$2:$L$1006)-ROW(BASE_PRODUTOS!$L$2)+1)/(BASE_PRODUTOS!$L$2:$L$1006&gt;0),ROWS($G$10:G900)),"")</f>
        <v/>
      </c>
      <c r="H900" s="9" t="str">
        <f ca="1">IF($G900="","",INDEX(BASE_PRODUTOS!$B$2:$B$1006,$G900))</f>
        <v/>
      </c>
      <c r="I900" s="9" t="str">
        <f ca="1">IF($G900="","",INDEX(BASE_PRODUTOS!$L$2:$L$1006,$G900))</f>
        <v/>
      </c>
      <c r="J900" s="9" t="str">
        <f ca="1">IF($G900="","",INDEX(BASE_PRODUTOS!$A$2:$A$1006,$G900))</f>
        <v/>
      </c>
      <c r="K900" s="9" t="str">
        <f ca="1">IF($G900="","",INDEX(BASE_PRODUTOS!$C$2:$C$1006,$G900))</f>
        <v/>
      </c>
      <c r="L900" s="9" t="str">
        <f ca="1">IF($G900="","",INDEX(BASE_PRODUTOS!$E$2:$E$1006,$G900))</f>
        <v/>
      </c>
      <c r="M900" s="9" t="str">
        <f ca="1">IF($G900="","",INDEX(BASE_PRODUTOS!$F$2:$F$1006,$G900))</f>
        <v/>
      </c>
      <c r="N900" s="9" t="str">
        <f ca="1">IF($G900="","",INDEX(BASE_PRODUTOS!$G$2:$G$1006,$G900))</f>
        <v/>
      </c>
      <c r="O900" s="9" t="str">
        <f ca="1">IF($G900="","",INDEX(BASE_PRODUTOS!$H$2:$H$1006,$G900))</f>
        <v/>
      </c>
      <c r="P900" s="9" t="str">
        <f ca="1">IF($G900="","",INDEX(BASE_PRODUTOS!$I$2:$I$1006,$G900))</f>
        <v/>
      </c>
      <c r="Q900" s="9" t="str">
        <f ca="1">IF($G900="","",INDEX(BASE_PRODUTOS!$J$2:$J$1006,$G900))</f>
        <v/>
      </c>
      <c r="R900" s="9" t="str">
        <f ca="1">IF($G900="","",INDEX(BASE_PRODUTOS!$M$2:$M$1006,$G900))</f>
        <v/>
      </c>
      <c r="S900" s="9" t="str">
        <f ca="1">IF($G900="","",INDEX(BASE_PRODUTOS!$N$2:$N$1006,$G900))</f>
        <v/>
      </c>
      <c r="T900" s="9" t="str">
        <f ca="1">IF($G900="","",INDEX(BASE_PRODUTOS!$D$2:$D$1006,$G900))</f>
        <v/>
      </c>
    </row>
    <row r="901" spans="7:20" ht="18" customHeight="1" x14ac:dyDescent="0.35">
      <c r="G901" t="str">
        <f ca="1">IFERROR(_xludf.aggregate(15,6,(ROW(BASE_PRODUTOS!$L$2:$L$1006)-ROW(BASE_PRODUTOS!$L$2)+1)/(BASE_PRODUTOS!$L$2:$L$1006&gt;0),ROWS($G$10:G901)),"")</f>
        <v/>
      </c>
      <c r="H901" s="9" t="str">
        <f ca="1">IF($G901="","",INDEX(BASE_PRODUTOS!$B$2:$B$1006,$G901))</f>
        <v/>
      </c>
      <c r="I901" s="9" t="str">
        <f ca="1">IF($G901="","",INDEX(BASE_PRODUTOS!$L$2:$L$1006,$G901))</f>
        <v/>
      </c>
      <c r="J901" s="9" t="str">
        <f ca="1">IF($G901="","",INDEX(BASE_PRODUTOS!$A$2:$A$1006,$G901))</f>
        <v/>
      </c>
      <c r="K901" s="9" t="str">
        <f ca="1">IF($G901="","",INDEX(BASE_PRODUTOS!$C$2:$C$1006,$G901))</f>
        <v/>
      </c>
      <c r="L901" s="9" t="str">
        <f ca="1">IF($G901="","",INDEX(BASE_PRODUTOS!$E$2:$E$1006,$G901))</f>
        <v/>
      </c>
      <c r="M901" s="9" t="str">
        <f ca="1">IF($G901="","",INDEX(BASE_PRODUTOS!$F$2:$F$1006,$G901))</f>
        <v/>
      </c>
      <c r="N901" s="9" t="str">
        <f ca="1">IF($G901="","",INDEX(BASE_PRODUTOS!$G$2:$G$1006,$G901))</f>
        <v/>
      </c>
      <c r="O901" s="9" t="str">
        <f ca="1">IF($G901="","",INDEX(BASE_PRODUTOS!$H$2:$H$1006,$G901))</f>
        <v/>
      </c>
      <c r="P901" s="9" t="str">
        <f ca="1">IF($G901="","",INDEX(BASE_PRODUTOS!$I$2:$I$1006,$G901))</f>
        <v/>
      </c>
      <c r="Q901" s="9" t="str">
        <f ca="1">IF($G901="","",INDEX(BASE_PRODUTOS!$J$2:$J$1006,$G901))</f>
        <v/>
      </c>
      <c r="R901" s="9" t="str">
        <f ca="1">IF($G901="","",INDEX(BASE_PRODUTOS!$M$2:$M$1006,$G901))</f>
        <v/>
      </c>
      <c r="S901" s="9" t="str">
        <f ca="1">IF($G901="","",INDEX(BASE_PRODUTOS!$N$2:$N$1006,$G901))</f>
        <v/>
      </c>
      <c r="T901" s="9" t="str">
        <f ca="1">IF($G901="","",INDEX(BASE_PRODUTOS!$D$2:$D$1006,$G901))</f>
        <v/>
      </c>
    </row>
    <row r="902" spans="7:20" ht="18" customHeight="1" x14ac:dyDescent="0.35">
      <c r="G902" t="str">
        <f ca="1">IFERROR(_xludf.aggregate(15,6,(ROW(BASE_PRODUTOS!$L$2:$L$1006)-ROW(BASE_PRODUTOS!$L$2)+1)/(BASE_PRODUTOS!$L$2:$L$1006&gt;0),ROWS($G$10:G902)),"")</f>
        <v/>
      </c>
      <c r="H902" s="9" t="str">
        <f ca="1">IF($G902="","",INDEX(BASE_PRODUTOS!$B$2:$B$1006,$G902))</f>
        <v/>
      </c>
      <c r="I902" s="9" t="str">
        <f ca="1">IF($G902="","",INDEX(BASE_PRODUTOS!$L$2:$L$1006,$G902))</f>
        <v/>
      </c>
      <c r="J902" s="9" t="str">
        <f ca="1">IF($G902="","",INDEX(BASE_PRODUTOS!$A$2:$A$1006,$G902))</f>
        <v/>
      </c>
      <c r="K902" s="9" t="str">
        <f ca="1">IF($G902="","",INDEX(BASE_PRODUTOS!$C$2:$C$1006,$G902))</f>
        <v/>
      </c>
      <c r="L902" s="9" t="str">
        <f ca="1">IF($G902="","",INDEX(BASE_PRODUTOS!$E$2:$E$1006,$G902))</f>
        <v/>
      </c>
      <c r="M902" s="9" t="str">
        <f ca="1">IF($G902="","",INDEX(BASE_PRODUTOS!$F$2:$F$1006,$G902))</f>
        <v/>
      </c>
      <c r="N902" s="9" t="str">
        <f ca="1">IF($G902="","",INDEX(BASE_PRODUTOS!$G$2:$G$1006,$G902))</f>
        <v/>
      </c>
      <c r="O902" s="9" t="str">
        <f ca="1">IF($G902="","",INDEX(BASE_PRODUTOS!$H$2:$H$1006,$G902))</f>
        <v/>
      </c>
      <c r="P902" s="9" t="str">
        <f ca="1">IF($G902="","",INDEX(BASE_PRODUTOS!$I$2:$I$1006,$G902))</f>
        <v/>
      </c>
      <c r="Q902" s="9" t="str">
        <f ca="1">IF($G902="","",INDEX(BASE_PRODUTOS!$J$2:$J$1006,$G902))</f>
        <v/>
      </c>
      <c r="R902" s="9" t="str">
        <f ca="1">IF($G902="","",INDEX(BASE_PRODUTOS!$M$2:$M$1006,$G902))</f>
        <v/>
      </c>
      <c r="S902" s="9" t="str">
        <f ca="1">IF($G902="","",INDEX(BASE_PRODUTOS!$N$2:$N$1006,$G902))</f>
        <v/>
      </c>
      <c r="T902" s="9" t="str">
        <f ca="1">IF($G902="","",INDEX(BASE_PRODUTOS!$D$2:$D$1006,$G902))</f>
        <v/>
      </c>
    </row>
    <row r="903" spans="7:20" ht="18" customHeight="1" x14ac:dyDescent="0.35">
      <c r="G903" t="str">
        <f ca="1">IFERROR(_xludf.aggregate(15,6,(ROW(BASE_PRODUTOS!$L$2:$L$1006)-ROW(BASE_PRODUTOS!$L$2)+1)/(BASE_PRODUTOS!$L$2:$L$1006&gt;0),ROWS($G$10:G903)),"")</f>
        <v/>
      </c>
      <c r="H903" s="9" t="str">
        <f ca="1">IF($G903="","",INDEX(BASE_PRODUTOS!$B$2:$B$1006,$G903))</f>
        <v/>
      </c>
      <c r="I903" s="9" t="str">
        <f ca="1">IF($G903="","",INDEX(BASE_PRODUTOS!$L$2:$L$1006,$G903))</f>
        <v/>
      </c>
      <c r="J903" s="9" t="str">
        <f ca="1">IF($G903="","",INDEX(BASE_PRODUTOS!$A$2:$A$1006,$G903))</f>
        <v/>
      </c>
      <c r="K903" s="9" t="str">
        <f ca="1">IF($G903="","",INDEX(BASE_PRODUTOS!$C$2:$C$1006,$G903))</f>
        <v/>
      </c>
      <c r="L903" s="9" t="str">
        <f ca="1">IF($G903="","",INDEX(BASE_PRODUTOS!$E$2:$E$1006,$G903))</f>
        <v/>
      </c>
      <c r="M903" s="9" t="str">
        <f ca="1">IF($G903="","",INDEX(BASE_PRODUTOS!$F$2:$F$1006,$G903))</f>
        <v/>
      </c>
      <c r="N903" s="9" t="str">
        <f ca="1">IF($G903="","",INDEX(BASE_PRODUTOS!$G$2:$G$1006,$G903))</f>
        <v/>
      </c>
      <c r="O903" s="9" t="str">
        <f ca="1">IF($G903="","",INDEX(BASE_PRODUTOS!$H$2:$H$1006,$G903))</f>
        <v/>
      </c>
      <c r="P903" s="9" t="str">
        <f ca="1">IF($G903="","",INDEX(BASE_PRODUTOS!$I$2:$I$1006,$G903))</f>
        <v/>
      </c>
      <c r="Q903" s="9" t="str">
        <f ca="1">IF($G903="","",INDEX(BASE_PRODUTOS!$J$2:$J$1006,$G903))</f>
        <v/>
      </c>
      <c r="R903" s="9" t="str">
        <f ca="1">IF($G903="","",INDEX(BASE_PRODUTOS!$M$2:$M$1006,$G903))</f>
        <v/>
      </c>
      <c r="S903" s="9" t="str">
        <f ca="1">IF($G903="","",INDEX(BASE_PRODUTOS!$N$2:$N$1006,$G903))</f>
        <v/>
      </c>
      <c r="T903" s="9" t="str">
        <f ca="1">IF($G903="","",INDEX(BASE_PRODUTOS!$D$2:$D$1006,$G903))</f>
        <v/>
      </c>
    </row>
    <row r="904" spans="7:20" ht="18" customHeight="1" x14ac:dyDescent="0.35">
      <c r="G904" t="str">
        <f ca="1">IFERROR(_xludf.aggregate(15,6,(ROW(BASE_PRODUTOS!$L$2:$L$1006)-ROW(BASE_PRODUTOS!$L$2)+1)/(BASE_PRODUTOS!$L$2:$L$1006&gt;0),ROWS($G$10:G904)),"")</f>
        <v/>
      </c>
      <c r="H904" s="9" t="str">
        <f ca="1">IF($G904="","",INDEX(BASE_PRODUTOS!$B$2:$B$1006,$G904))</f>
        <v/>
      </c>
      <c r="I904" s="9" t="str">
        <f ca="1">IF($G904="","",INDEX(BASE_PRODUTOS!$L$2:$L$1006,$G904))</f>
        <v/>
      </c>
      <c r="J904" s="9" t="str">
        <f ca="1">IF($G904="","",INDEX(BASE_PRODUTOS!$A$2:$A$1006,$G904))</f>
        <v/>
      </c>
      <c r="K904" s="9" t="str">
        <f ca="1">IF($G904="","",INDEX(BASE_PRODUTOS!$C$2:$C$1006,$G904))</f>
        <v/>
      </c>
      <c r="L904" s="9" t="str">
        <f ca="1">IF($G904="","",INDEX(BASE_PRODUTOS!$E$2:$E$1006,$G904))</f>
        <v/>
      </c>
      <c r="M904" s="9" t="str">
        <f ca="1">IF($G904="","",INDEX(BASE_PRODUTOS!$F$2:$F$1006,$G904))</f>
        <v/>
      </c>
      <c r="N904" s="9" t="str">
        <f ca="1">IF($G904="","",INDEX(BASE_PRODUTOS!$G$2:$G$1006,$G904))</f>
        <v/>
      </c>
      <c r="O904" s="9" t="str">
        <f ca="1">IF($G904="","",INDEX(BASE_PRODUTOS!$H$2:$H$1006,$G904))</f>
        <v/>
      </c>
      <c r="P904" s="9" t="str">
        <f ca="1">IF($G904="","",INDEX(BASE_PRODUTOS!$I$2:$I$1006,$G904))</f>
        <v/>
      </c>
      <c r="Q904" s="9" t="str">
        <f ca="1">IF($G904="","",INDEX(BASE_PRODUTOS!$J$2:$J$1006,$G904))</f>
        <v/>
      </c>
      <c r="R904" s="9" t="str">
        <f ca="1">IF($G904="","",INDEX(BASE_PRODUTOS!$M$2:$M$1006,$G904))</f>
        <v/>
      </c>
      <c r="S904" s="9" t="str">
        <f ca="1">IF($G904="","",INDEX(BASE_PRODUTOS!$N$2:$N$1006,$G904))</f>
        <v/>
      </c>
      <c r="T904" s="9" t="str">
        <f ca="1">IF($G904="","",INDEX(BASE_PRODUTOS!$D$2:$D$1006,$G904))</f>
        <v/>
      </c>
    </row>
    <row r="905" spans="7:20" ht="18" customHeight="1" x14ac:dyDescent="0.35">
      <c r="G905" t="str">
        <f ca="1">IFERROR(_xludf.aggregate(15,6,(ROW(BASE_PRODUTOS!$L$2:$L$1006)-ROW(BASE_PRODUTOS!$L$2)+1)/(BASE_PRODUTOS!$L$2:$L$1006&gt;0),ROWS($G$10:G905)),"")</f>
        <v/>
      </c>
      <c r="H905" s="9" t="str">
        <f ca="1">IF($G905="","",INDEX(BASE_PRODUTOS!$B$2:$B$1006,$G905))</f>
        <v/>
      </c>
      <c r="I905" s="9" t="str">
        <f ca="1">IF($G905="","",INDEX(BASE_PRODUTOS!$L$2:$L$1006,$G905))</f>
        <v/>
      </c>
      <c r="J905" s="9" t="str">
        <f ca="1">IF($G905="","",INDEX(BASE_PRODUTOS!$A$2:$A$1006,$G905))</f>
        <v/>
      </c>
      <c r="K905" s="9" t="str">
        <f ca="1">IF($G905="","",INDEX(BASE_PRODUTOS!$C$2:$C$1006,$G905))</f>
        <v/>
      </c>
      <c r="L905" s="9" t="str">
        <f ca="1">IF($G905="","",INDEX(BASE_PRODUTOS!$E$2:$E$1006,$G905))</f>
        <v/>
      </c>
      <c r="M905" s="9" t="str">
        <f ca="1">IF($G905="","",INDEX(BASE_PRODUTOS!$F$2:$F$1006,$G905))</f>
        <v/>
      </c>
      <c r="N905" s="9" t="str">
        <f ca="1">IF($G905="","",INDEX(BASE_PRODUTOS!$G$2:$G$1006,$G905))</f>
        <v/>
      </c>
      <c r="O905" s="9" t="str">
        <f ca="1">IF($G905="","",INDEX(BASE_PRODUTOS!$H$2:$H$1006,$G905))</f>
        <v/>
      </c>
      <c r="P905" s="9" t="str">
        <f ca="1">IF($G905="","",INDEX(BASE_PRODUTOS!$I$2:$I$1006,$G905))</f>
        <v/>
      </c>
      <c r="Q905" s="9" t="str">
        <f ca="1">IF($G905="","",INDEX(BASE_PRODUTOS!$J$2:$J$1006,$G905))</f>
        <v/>
      </c>
      <c r="R905" s="9" t="str">
        <f ca="1">IF($G905="","",INDEX(BASE_PRODUTOS!$M$2:$M$1006,$G905))</f>
        <v/>
      </c>
      <c r="S905" s="9" t="str">
        <f ca="1">IF($G905="","",INDEX(BASE_PRODUTOS!$N$2:$N$1006,$G905))</f>
        <v/>
      </c>
      <c r="T905" s="9" t="str">
        <f ca="1">IF($G905="","",INDEX(BASE_PRODUTOS!$D$2:$D$1006,$G905))</f>
        <v/>
      </c>
    </row>
    <row r="906" spans="7:20" ht="18" customHeight="1" x14ac:dyDescent="0.35">
      <c r="G906" t="str">
        <f ca="1">IFERROR(_xludf.aggregate(15,6,(ROW(BASE_PRODUTOS!$L$2:$L$1006)-ROW(BASE_PRODUTOS!$L$2)+1)/(BASE_PRODUTOS!$L$2:$L$1006&gt;0),ROWS($G$10:G906)),"")</f>
        <v/>
      </c>
      <c r="H906" s="9" t="str">
        <f ca="1">IF($G906="","",INDEX(BASE_PRODUTOS!$B$2:$B$1006,$G906))</f>
        <v/>
      </c>
      <c r="I906" s="9" t="str">
        <f ca="1">IF($G906="","",INDEX(BASE_PRODUTOS!$L$2:$L$1006,$G906))</f>
        <v/>
      </c>
      <c r="J906" s="9" t="str">
        <f ca="1">IF($G906="","",INDEX(BASE_PRODUTOS!$A$2:$A$1006,$G906))</f>
        <v/>
      </c>
      <c r="K906" s="9" t="str">
        <f ca="1">IF($G906="","",INDEX(BASE_PRODUTOS!$C$2:$C$1006,$G906))</f>
        <v/>
      </c>
      <c r="L906" s="9" t="str">
        <f ca="1">IF($G906="","",INDEX(BASE_PRODUTOS!$E$2:$E$1006,$G906))</f>
        <v/>
      </c>
      <c r="M906" s="9" t="str">
        <f ca="1">IF($G906="","",INDEX(BASE_PRODUTOS!$F$2:$F$1006,$G906))</f>
        <v/>
      </c>
      <c r="N906" s="9" t="str">
        <f ca="1">IF($G906="","",INDEX(BASE_PRODUTOS!$G$2:$G$1006,$G906))</f>
        <v/>
      </c>
      <c r="O906" s="9" t="str">
        <f ca="1">IF($G906="","",INDEX(BASE_PRODUTOS!$H$2:$H$1006,$G906))</f>
        <v/>
      </c>
      <c r="P906" s="9" t="str">
        <f ca="1">IF($G906="","",INDEX(BASE_PRODUTOS!$I$2:$I$1006,$G906))</f>
        <v/>
      </c>
      <c r="Q906" s="9" t="str">
        <f ca="1">IF($G906="","",INDEX(BASE_PRODUTOS!$J$2:$J$1006,$G906))</f>
        <v/>
      </c>
      <c r="R906" s="9" t="str">
        <f ca="1">IF($G906="","",INDEX(BASE_PRODUTOS!$M$2:$M$1006,$G906))</f>
        <v/>
      </c>
      <c r="S906" s="9" t="str">
        <f ca="1">IF($G906="","",INDEX(BASE_PRODUTOS!$N$2:$N$1006,$G906))</f>
        <v/>
      </c>
      <c r="T906" s="9" t="str">
        <f ca="1">IF($G906="","",INDEX(BASE_PRODUTOS!$D$2:$D$1006,$G906))</f>
        <v/>
      </c>
    </row>
    <row r="907" spans="7:20" ht="18" customHeight="1" x14ac:dyDescent="0.35">
      <c r="G907" t="str">
        <f ca="1">IFERROR(_xludf.aggregate(15,6,(ROW(BASE_PRODUTOS!$L$2:$L$1006)-ROW(BASE_PRODUTOS!$L$2)+1)/(BASE_PRODUTOS!$L$2:$L$1006&gt;0),ROWS($G$10:G907)),"")</f>
        <v/>
      </c>
      <c r="H907" s="9" t="str">
        <f ca="1">IF($G907="","",INDEX(BASE_PRODUTOS!$B$2:$B$1006,$G907))</f>
        <v/>
      </c>
      <c r="I907" s="9" t="str">
        <f ca="1">IF($G907="","",INDEX(BASE_PRODUTOS!$L$2:$L$1006,$G907))</f>
        <v/>
      </c>
      <c r="J907" s="9" t="str">
        <f ca="1">IF($G907="","",INDEX(BASE_PRODUTOS!$A$2:$A$1006,$G907))</f>
        <v/>
      </c>
      <c r="K907" s="9" t="str">
        <f ca="1">IF($G907="","",INDEX(BASE_PRODUTOS!$C$2:$C$1006,$G907))</f>
        <v/>
      </c>
      <c r="L907" s="9" t="str">
        <f ca="1">IF($G907="","",INDEX(BASE_PRODUTOS!$E$2:$E$1006,$G907))</f>
        <v/>
      </c>
      <c r="M907" s="9" t="str">
        <f ca="1">IF($G907="","",INDEX(BASE_PRODUTOS!$F$2:$F$1006,$G907))</f>
        <v/>
      </c>
      <c r="N907" s="9" t="str">
        <f ca="1">IF($G907="","",INDEX(BASE_PRODUTOS!$G$2:$G$1006,$G907))</f>
        <v/>
      </c>
      <c r="O907" s="9" t="str">
        <f ca="1">IF($G907="","",INDEX(BASE_PRODUTOS!$H$2:$H$1006,$G907))</f>
        <v/>
      </c>
      <c r="P907" s="9" t="str">
        <f ca="1">IF($G907="","",INDEX(BASE_PRODUTOS!$I$2:$I$1006,$G907))</f>
        <v/>
      </c>
      <c r="Q907" s="9" t="str">
        <f ca="1">IF($G907="","",INDEX(BASE_PRODUTOS!$J$2:$J$1006,$G907))</f>
        <v/>
      </c>
      <c r="R907" s="9" t="str">
        <f ca="1">IF($G907="","",INDEX(BASE_PRODUTOS!$M$2:$M$1006,$G907))</f>
        <v/>
      </c>
      <c r="S907" s="9" t="str">
        <f ca="1">IF($G907="","",INDEX(BASE_PRODUTOS!$N$2:$N$1006,$G907))</f>
        <v/>
      </c>
      <c r="T907" s="9" t="str">
        <f ca="1">IF($G907="","",INDEX(BASE_PRODUTOS!$D$2:$D$1006,$G907))</f>
        <v/>
      </c>
    </row>
    <row r="908" spans="7:20" ht="18" customHeight="1" x14ac:dyDescent="0.35">
      <c r="G908" t="str">
        <f ca="1">IFERROR(_xludf.aggregate(15,6,(ROW(BASE_PRODUTOS!$L$2:$L$1006)-ROW(BASE_PRODUTOS!$L$2)+1)/(BASE_PRODUTOS!$L$2:$L$1006&gt;0),ROWS($G$10:G908)),"")</f>
        <v/>
      </c>
      <c r="H908" s="9" t="str">
        <f ca="1">IF($G908="","",INDEX(BASE_PRODUTOS!$B$2:$B$1006,$G908))</f>
        <v/>
      </c>
      <c r="I908" s="9" t="str">
        <f ca="1">IF($G908="","",INDEX(BASE_PRODUTOS!$L$2:$L$1006,$G908))</f>
        <v/>
      </c>
      <c r="J908" s="9" t="str">
        <f ca="1">IF($G908="","",INDEX(BASE_PRODUTOS!$A$2:$A$1006,$G908))</f>
        <v/>
      </c>
      <c r="K908" s="9" t="str">
        <f ca="1">IF($G908="","",INDEX(BASE_PRODUTOS!$C$2:$C$1006,$G908))</f>
        <v/>
      </c>
      <c r="L908" s="9" t="str">
        <f ca="1">IF($G908="","",INDEX(BASE_PRODUTOS!$E$2:$E$1006,$G908))</f>
        <v/>
      </c>
      <c r="M908" s="9" t="str">
        <f ca="1">IF($G908="","",INDEX(BASE_PRODUTOS!$F$2:$F$1006,$G908))</f>
        <v/>
      </c>
      <c r="N908" s="9" t="str">
        <f ca="1">IF($G908="","",INDEX(BASE_PRODUTOS!$G$2:$G$1006,$G908))</f>
        <v/>
      </c>
      <c r="O908" s="9" t="str">
        <f ca="1">IF($G908="","",INDEX(BASE_PRODUTOS!$H$2:$H$1006,$G908))</f>
        <v/>
      </c>
      <c r="P908" s="9" t="str">
        <f ca="1">IF($G908="","",INDEX(BASE_PRODUTOS!$I$2:$I$1006,$G908))</f>
        <v/>
      </c>
      <c r="Q908" s="9" t="str">
        <f ca="1">IF($G908="","",INDEX(BASE_PRODUTOS!$J$2:$J$1006,$G908))</f>
        <v/>
      </c>
      <c r="R908" s="9" t="str">
        <f ca="1">IF($G908="","",INDEX(BASE_PRODUTOS!$M$2:$M$1006,$G908))</f>
        <v/>
      </c>
      <c r="S908" s="9" t="str">
        <f ca="1">IF($G908="","",INDEX(BASE_PRODUTOS!$N$2:$N$1006,$G908))</f>
        <v/>
      </c>
      <c r="T908" s="9" t="str">
        <f ca="1">IF($G908="","",INDEX(BASE_PRODUTOS!$D$2:$D$1006,$G908))</f>
        <v/>
      </c>
    </row>
    <row r="909" spans="7:20" ht="18" customHeight="1" x14ac:dyDescent="0.35">
      <c r="G909" t="str">
        <f ca="1">IFERROR(_xludf.aggregate(15,6,(ROW(BASE_PRODUTOS!$L$2:$L$1006)-ROW(BASE_PRODUTOS!$L$2)+1)/(BASE_PRODUTOS!$L$2:$L$1006&gt;0),ROWS($G$10:G909)),"")</f>
        <v/>
      </c>
      <c r="H909" s="9" t="str">
        <f ca="1">IF($G909="","",INDEX(BASE_PRODUTOS!$B$2:$B$1006,$G909))</f>
        <v/>
      </c>
      <c r="I909" s="9" t="str">
        <f ca="1">IF($G909="","",INDEX(BASE_PRODUTOS!$L$2:$L$1006,$G909))</f>
        <v/>
      </c>
      <c r="J909" s="9" t="str">
        <f ca="1">IF($G909="","",INDEX(BASE_PRODUTOS!$A$2:$A$1006,$G909))</f>
        <v/>
      </c>
      <c r="K909" s="9" t="str">
        <f ca="1">IF($G909="","",INDEX(BASE_PRODUTOS!$C$2:$C$1006,$G909))</f>
        <v/>
      </c>
      <c r="L909" s="9" t="str">
        <f ca="1">IF($G909="","",INDEX(BASE_PRODUTOS!$E$2:$E$1006,$G909))</f>
        <v/>
      </c>
      <c r="M909" s="9" t="str">
        <f ca="1">IF($G909="","",INDEX(BASE_PRODUTOS!$F$2:$F$1006,$G909))</f>
        <v/>
      </c>
      <c r="N909" s="9" t="str">
        <f ca="1">IF($G909="","",INDEX(BASE_PRODUTOS!$G$2:$G$1006,$G909))</f>
        <v/>
      </c>
      <c r="O909" s="9" t="str">
        <f ca="1">IF($G909="","",INDEX(BASE_PRODUTOS!$H$2:$H$1006,$G909))</f>
        <v/>
      </c>
      <c r="P909" s="9" t="str">
        <f ca="1">IF($G909="","",INDEX(BASE_PRODUTOS!$I$2:$I$1006,$G909))</f>
        <v/>
      </c>
      <c r="Q909" s="9" t="str">
        <f ca="1">IF($G909="","",INDEX(BASE_PRODUTOS!$J$2:$J$1006,$G909))</f>
        <v/>
      </c>
      <c r="R909" s="9" t="str">
        <f ca="1">IF($G909="","",INDEX(BASE_PRODUTOS!$M$2:$M$1006,$G909))</f>
        <v/>
      </c>
      <c r="S909" s="9" t="str">
        <f ca="1">IF($G909="","",INDEX(BASE_PRODUTOS!$N$2:$N$1006,$G909))</f>
        <v/>
      </c>
      <c r="T909" s="9" t="str">
        <f ca="1">IF($G909="","",INDEX(BASE_PRODUTOS!$D$2:$D$1006,$G909))</f>
        <v/>
      </c>
    </row>
    <row r="910" spans="7:20" ht="18" customHeight="1" x14ac:dyDescent="0.35">
      <c r="G910" t="str">
        <f ca="1">IFERROR(_xludf.aggregate(15,6,(ROW(BASE_PRODUTOS!$L$2:$L$1006)-ROW(BASE_PRODUTOS!$L$2)+1)/(BASE_PRODUTOS!$L$2:$L$1006&gt;0),ROWS($G$10:G910)),"")</f>
        <v/>
      </c>
      <c r="H910" s="9" t="str">
        <f ca="1">IF($G910="","",INDEX(BASE_PRODUTOS!$B$2:$B$1006,$G910))</f>
        <v/>
      </c>
      <c r="I910" s="9" t="str">
        <f ca="1">IF($G910="","",INDEX(BASE_PRODUTOS!$L$2:$L$1006,$G910))</f>
        <v/>
      </c>
      <c r="J910" s="9" t="str">
        <f ca="1">IF($G910="","",INDEX(BASE_PRODUTOS!$A$2:$A$1006,$G910))</f>
        <v/>
      </c>
      <c r="K910" s="9" t="str">
        <f ca="1">IF($G910="","",INDEX(BASE_PRODUTOS!$C$2:$C$1006,$G910))</f>
        <v/>
      </c>
      <c r="L910" s="9" t="str">
        <f ca="1">IF($G910="","",INDEX(BASE_PRODUTOS!$E$2:$E$1006,$G910))</f>
        <v/>
      </c>
      <c r="M910" s="9" t="str">
        <f ca="1">IF($G910="","",INDEX(BASE_PRODUTOS!$F$2:$F$1006,$G910))</f>
        <v/>
      </c>
      <c r="N910" s="9" t="str">
        <f ca="1">IF($G910="","",INDEX(BASE_PRODUTOS!$G$2:$G$1006,$G910))</f>
        <v/>
      </c>
      <c r="O910" s="9" t="str">
        <f ca="1">IF($G910="","",INDEX(BASE_PRODUTOS!$H$2:$H$1006,$G910))</f>
        <v/>
      </c>
      <c r="P910" s="9" t="str">
        <f ca="1">IF($G910="","",INDEX(BASE_PRODUTOS!$I$2:$I$1006,$G910))</f>
        <v/>
      </c>
      <c r="Q910" s="9" t="str">
        <f ca="1">IF($G910="","",INDEX(BASE_PRODUTOS!$J$2:$J$1006,$G910))</f>
        <v/>
      </c>
      <c r="R910" s="9" t="str">
        <f ca="1">IF($G910="","",INDEX(BASE_PRODUTOS!$M$2:$M$1006,$G910))</f>
        <v/>
      </c>
      <c r="S910" s="9" t="str">
        <f ca="1">IF($G910="","",INDEX(BASE_PRODUTOS!$N$2:$N$1006,$G910))</f>
        <v/>
      </c>
      <c r="T910" s="9" t="str">
        <f ca="1">IF($G910="","",INDEX(BASE_PRODUTOS!$D$2:$D$1006,$G910))</f>
        <v/>
      </c>
    </row>
    <row r="911" spans="7:20" ht="18" customHeight="1" x14ac:dyDescent="0.35">
      <c r="G911" t="str">
        <f ca="1">IFERROR(_xludf.aggregate(15,6,(ROW(BASE_PRODUTOS!$L$2:$L$1006)-ROW(BASE_PRODUTOS!$L$2)+1)/(BASE_PRODUTOS!$L$2:$L$1006&gt;0),ROWS($G$10:G911)),"")</f>
        <v/>
      </c>
      <c r="H911" s="9" t="str">
        <f ca="1">IF($G911="","",INDEX(BASE_PRODUTOS!$B$2:$B$1006,$G911))</f>
        <v/>
      </c>
      <c r="I911" s="9" t="str">
        <f ca="1">IF($G911="","",INDEX(BASE_PRODUTOS!$L$2:$L$1006,$G911))</f>
        <v/>
      </c>
      <c r="J911" s="9" t="str">
        <f ca="1">IF($G911="","",INDEX(BASE_PRODUTOS!$A$2:$A$1006,$G911))</f>
        <v/>
      </c>
      <c r="K911" s="9" t="str">
        <f ca="1">IF($G911="","",INDEX(BASE_PRODUTOS!$C$2:$C$1006,$G911))</f>
        <v/>
      </c>
      <c r="L911" s="9" t="str">
        <f ca="1">IF($G911="","",INDEX(BASE_PRODUTOS!$E$2:$E$1006,$G911))</f>
        <v/>
      </c>
      <c r="M911" s="9" t="str">
        <f ca="1">IF($G911="","",INDEX(BASE_PRODUTOS!$F$2:$F$1006,$G911))</f>
        <v/>
      </c>
      <c r="N911" s="9" t="str">
        <f ca="1">IF($G911="","",INDEX(BASE_PRODUTOS!$G$2:$G$1006,$G911))</f>
        <v/>
      </c>
      <c r="O911" s="9" t="str">
        <f ca="1">IF($G911="","",INDEX(BASE_PRODUTOS!$H$2:$H$1006,$G911))</f>
        <v/>
      </c>
      <c r="P911" s="9" t="str">
        <f ca="1">IF($G911="","",INDEX(BASE_PRODUTOS!$I$2:$I$1006,$G911))</f>
        <v/>
      </c>
      <c r="Q911" s="9" t="str">
        <f ca="1">IF($G911="","",INDEX(BASE_PRODUTOS!$J$2:$J$1006,$G911))</f>
        <v/>
      </c>
      <c r="R911" s="9" t="str">
        <f ca="1">IF($G911="","",INDEX(BASE_PRODUTOS!$M$2:$M$1006,$G911))</f>
        <v/>
      </c>
      <c r="S911" s="9" t="str">
        <f ca="1">IF($G911="","",INDEX(BASE_PRODUTOS!$N$2:$N$1006,$G911))</f>
        <v/>
      </c>
      <c r="T911" s="9" t="str">
        <f ca="1">IF($G911="","",INDEX(BASE_PRODUTOS!$D$2:$D$1006,$G911))</f>
        <v/>
      </c>
    </row>
    <row r="912" spans="7:20" ht="18" customHeight="1" x14ac:dyDescent="0.35">
      <c r="G912" t="str">
        <f ca="1">IFERROR(_xludf.aggregate(15,6,(ROW(BASE_PRODUTOS!$L$2:$L$1006)-ROW(BASE_PRODUTOS!$L$2)+1)/(BASE_PRODUTOS!$L$2:$L$1006&gt;0),ROWS($G$10:G912)),"")</f>
        <v/>
      </c>
      <c r="H912" s="9" t="str">
        <f ca="1">IF($G912="","",INDEX(BASE_PRODUTOS!$B$2:$B$1006,$G912))</f>
        <v/>
      </c>
      <c r="I912" s="9" t="str">
        <f ca="1">IF($G912="","",INDEX(BASE_PRODUTOS!$L$2:$L$1006,$G912))</f>
        <v/>
      </c>
      <c r="J912" s="9" t="str">
        <f ca="1">IF($G912="","",INDEX(BASE_PRODUTOS!$A$2:$A$1006,$G912))</f>
        <v/>
      </c>
      <c r="K912" s="9" t="str">
        <f ca="1">IF($G912="","",INDEX(BASE_PRODUTOS!$C$2:$C$1006,$G912))</f>
        <v/>
      </c>
      <c r="L912" s="9" t="str">
        <f ca="1">IF($G912="","",INDEX(BASE_PRODUTOS!$E$2:$E$1006,$G912))</f>
        <v/>
      </c>
      <c r="M912" s="9" t="str">
        <f ca="1">IF($G912="","",INDEX(BASE_PRODUTOS!$F$2:$F$1006,$G912))</f>
        <v/>
      </c>
      <c r="N912" s="9" t="str">
        <f ca="1">IF($G912="","",INDEX(BASE_PRODUTOS!$G$2:$G$1006,$G912))</f>
        <v/>
      </c>
      <c r="O912" s="9" t="str">
        <f ca="1">IF($G912="","",INDEX(BASE_PRODUTOS!$H$2:$H$1006,$G912))</f>
        <v/>
      </c>
      <c r="P912" s="9" t="str">
        <f ca="1">IF($G912="","",INDEX(BASE_PRODUTOS!$I$2:$I$1006,$G912))</f>
        <v/>
      </c>
      <c r="Q912" s="9" t="str">
        <f ca="1">IF($G912="","",INDEX(BASE_PRODUTOS!$J$2:$J$1006,$G912))</f>
        <v/>
      </c>
      <c r="R912" s="9" t="str">
        <f ca="1">IF($G912="","",INDEX(BASE_PRODUTOS!$M$2:$M$1006,$G912))</f>
        <v/>
      </c>
      <c r="S912" s="9" t="str">
        <f ca="1">IF($G912="","",INDEX(BASE_PRODUTOS!$N$2:$N$1006,$G912))</f>
        <v/>
      </c>
      <c r="T912" s="9" t="str">
        <f ca="1">IF($G912="","",INDEX(BASE_PRODUTOS!$D$2:$D$1006,$G912))</f>
        <v/>
      </c>
    </row>
    <row r="913" spans="7:20" ht="18" customHeight="1" x14ac:dyDescent="0.35">
      <c r="G913" t="str">
        <f ca="1">IFERROR(_xludf.aggregate(15,6,(ROW(BASE_PRODUTOS!$L$2:$L$1006)-ROW(BASE_PRODUTOS!$L$2)+1)/(BASE_PRODUTOS!$L$2:$L$1006&gt;0),ROWS($G$10:G913)),"")</f>
        <v/>
      </c>
      <c r="H913" s="9" t="str">
        <f ca="1">IF($G913="","",INDEX(BASE_PRODUTOS!$B$2:$B$1006,$G913))</f>
        <v/>
      </c>
      <c r="I913" s="9" t="str">
        <f ca="1">IF($G913="","",INDEX(BASE_PRODUTOS!$L$2:$L$1006,$G913))</f>
        <v/>
      </c>
      <c r="J913" s="9" t="str">
        <f ca="1">IF($G913="","",INDEX(BASE_PRODUTOS!$A$2:$A$1006,$G913))</f>
        <v/>
      </c>
      <c r="K913" s="9" t="str">
        <f ca="1">IF($G913="","",INDEX(BASE_PRODUTOS!$C$2:$C$1006,$G913))</f>
        <v/>
      </c>
      <c r="L913" s="9" t="str">
        <f ca="1">IF($G913="","",INDEX(BASE_PRODUTOS!$E$2:$E$1006,$G913))</f>
        <v/>
      </c>
      <c r="M913" s="9" t="str">
        <f ca="1">IF($G913="","",INDEX(BASE_PRODUTOS!$F$2:$F$1006,$G913))</f>
        <v/>
      </c>
      <c r="N913" s="9" t="str">
        <f ca="1">IF($G913="","",INDEX(BASE_PRODUTOS!$G$2:$G$1006,$G913))</f>
        <v/>
      </c>
      <c r="O913" s="9" t="str">
        <f ca="1">IF($G913="","",INDEX(BASE_PRODUTOS!$H$2:$H$1006,$G913))</f>
        <v/>
      </c>
      <c r="P913" s="9" t="str">
        <f ca="1">IF($G913="","",INDEX(BASE_PRODUTOS!$I$2:$I$1006,$G913))</f>
        <v/>
      </c>
      <c r="Q913" s="9" t="str">
        <f ca="1">IF($G913="","",INDEX(BASE_PRODUTOS!$J$2:$J$1006,$G913))</f>
        <v/>
      </c>
      <c r="R913" s="9" t="str">
        <f ca="1">IF($G913="","",INDEX(BASE_PRODUTOS!$M$2:$M$1006,$G913))</f>
        <v/>
      </c>
      <c r="S913" s="9" t="str">
        <f ca="1">IF($G913="","",INDEX(BASE_PRODUTOS!$N$2:$N$1006,$G913))</f>
        <v/>
      </c>
      <c r="T913" s="9" t="str">
        <f ca="1">IF($G913="","",INDEX(BASE_PRODUTOS!$D$2:$D$1006,$G913))</f>
        <v/>
      </c>
    </row>
    <row r="914" spans="7:20" ht="18" customHeight="1" x14ac:dyDescent="0.35">
      <c r="G914" t="str">
        <f ca="1">IFERROR(_xludf.aggregate(15,6,(ROW(BASE_PRODUTOS!$L$2:$L$1006)-ROW(BASE_PRODUTOS!$L$2)+1)/(BASE_PRODUTOS!$L$2:$L$1006&gt;0),ROWS($G$10:G914)),"")</f>
        <v/>
      </c>
      <c r="H914" s="9" t="str">
        <f ca="1">IF($G914="","",INDEX(BASE_PRODUTOS!$B$2:$B$1006,$G914))</f>
        <v/>
      </c>
      <c r="I914" s="9" t="str">
        <f ca="1">IF($G914="","",INDEX(BASE_PRODUTOS!$L$2:$L$1006,$G914))</f>
        <v/>
      </c>
      <c r="J914" s="9" t="str">
        <f ca="1">IF($G914="","",INDEX(BASE_PRODUTOS!$A$2:$A$1006,$G914))</f>
        <v/>
      </c>
      <c r="K914" s="9" t="str">
        <f ca="1">IF($G914="","",INDEX(BASE_PRODUTOS!$C$2:$C$1006,$G914))</f>
        <v/>
      </c>
      <c r="L914" s="9" t="str">
        <f ca="1">IF($G914="","",INDEX(BASE_PRODUTOS!$E$2:$E$1006,$G914))</f>
        <v/>
      </c>
      <c r="M914" s="9" t="str">
        <f ca="1">IF($G914="","",INDEX(BASE_PRODUTOS!$F$2:$F$1006,$G914))</f>
        <v/>
      </c>
      <c r="N914" s="9" t="str">
        <f ca="1">IF($G914="","",INDEX(BASE_PRODUTOS!$G$2:$G$1006,$G914))</f>
        <v/>
      </c>
      <c r="O914" s="9" t="str">
        <f ca="1">IF($G914="","",INDEX(BASE_PRODUTOS!$H$2:$H$1006,$G914))</f>
        <v/>
      </c>
      <c r="P914" s="9" t="str">
        <f ca="1">IF($G914="","",INDEX(BASE_PRODUTOS!$I$2:$I$1006,$G914))</f>
        <v/>
      </c>
      <c r="Q914" s="9" t="str">
        <f ca="1">IF($G914="","",INDEX(BASE_PRODUTOS!$J$2:$J$1006,$G914))</f>
        <v/>
      </c>
      <c r="R914" s="9" t="str">
        <f ca="1">IF($G914="","",INDEX(BASE_PRODUTOS!$M$2:$M$1006,$G914))</f>
        <v/>
      </c>
      <c r="S914" s="9" t="str">
        <f ca="1">IF($G914="","",INDEX(BASE_PRODUTOS!$N$2:$N$1006,$G914))</f>
        <v/>
      </c>
      <c r="T914" s="9" t="str">
        <f ca="1">IF($G914="","",INDEX(BASE_PRODUTOS!$D$2:$D$1006,$G914))</f>
        <v/>
      </c>
    </row>
    <row r="915" spans="7:20" ht="18" customHeight="1" x14ac:dyDescent="0.35">
      <c r="G915" t="str">
        <f ca="1">IFERROR(_xludf.aggregate(15,6,(ROW(BASE_PRODUTOS!$L$2:$L$1006)-ROW(BASE_PRODUTOS!$L$2)+1)/(BASE_PRODUTOS!$L$2:$L$1006&gt;0),ROWS($G$10:G915)),"")</f>
        <v/>
      </c>
      <c r="H915" s="9" t="str">
        <f ca="1">IF($G915="","",INDEX(BASE_PRODUTOS!$B$2:$B$1006,$G915))</f>
        <v/>
      </c>
      <c r="I915" s="9" t="str">
        <f ca="1">IF($G915="","",INDEX(BASE_PRODUTOS!$L$2:$L$1006,$G915))</f>
        <v/>
      </c>
      <c r="J915" s="9" t="str">
        <f ca="1">IF($G915="","",INDEX(BASE_PRODUTOS!$A$2:$A$1006,$G915))</f>
        <v/>
      </c>
      <c r="K915" s="9" t="str">
        <f ca="1">IF($G915="","",INDEX(BASE_PRODUTOS!$C$2:$C$1006,$G915))</f>
        <v/>
      </c>
      <c r="L915" s="9" t="str">
        <f ca="1">IF($G915="","",INDEX(BASE_PRODUTOS!$E$2:$E$1006,$G915))</f>
        <v/>
      </c>
      <c r="M915" s="9" t="str">
        <f ca="1">IF($G915="","",INDEX(BASE_PRODUTOS!$F$2:$F$1006,$G915))</f>
        <v/>
      </c>
      <c r="N915" s="9" t="str">
        <f ca="1">IF($G915="","",INDEX(BASE_PRODUTOS!$G$2:$G$1006,$G915))</f>
        <v/>
      </c>
      <c r="O915" s="9" t="str">
        <f ca="1">IF($G915="","",INDEX(BASE_PRODUTOS!$H$2:$H$1006,$G915))</f>
        <v/>
      </c>
      <c r="P915" s="9" t="str">
        <f ca="1">IF($G915="","",INDEX(BASE_PRODUTOS!$I$2:$I$1006,$G915))</f>
        <v/>
      </c>
      <c r="Q915" s="9" t="str">
        <f ca="1">IF($G915="","",INDEX(BASE_PRODUTOS!$J$2:$J$1006,$G915))</f>
        <v/>
      </c>
      <c r="R915" s="9" t="str">
        <f ca="1">IF($G915="","",INDEX(BASE_PRODUTOS!$M$2:$M$1006,$G915))</f>
        <v/>
      </c>
      <c r="S915" s="9" t="str">
        <f ca="1">IF($G915="","",INDEX(BASE_PRODUTOS!$N$2:$N$1006,$G915))</f>
        <v/>
      </c>
      <c r="T915" s="9" t="str">
        <f ca="1">IF($G915="","",INDEX(BASE_PRODUTOS!$D$2:$D$1006,$G915))</f>
        <v/>
      </c>
    </row>
    <row r="916" spans="7:20" ht="18" customHeight="1" x14ac:dyDescent="0.35">
      <c r="G916" t="str">
        <f ca="1">IFERROR(_xludf.aggregate(15,6,(ROW(BASE_PRODUTOS!$L$2:$L$1006)-ROW(BASE_PRODUTOS!$L$2)+1)/(BASE_PRODUTOS!$L$2:$L$1006&gt;0),ROWS($G$10:G916)),"")</f>
        <v/>
      </c>
      <c r="H916" s="9" t="str">
        <f ca="1">IF($G916="","",INDEX(BASE_PRODUTOS!$B$2:$B$1006,$G916))</f>
        <v/>
      </c>
      <c r="I916" s="9" t="str">
        <f ca="1">IF($G916="","",INDEX(BASE_PRODUTOS!$L$2:$L$1006,$G916))</f>
        <v/>
      </c>
      <c r="J916" s="9" t="str">
        <f ca="1">IF($G916="","",INDEX(BASE_PRODUTOS!$A$2:$A$1006,$G916))</f>
        <v/>
      </c>
      <c r="K916" s="9" t="str">
        <f ca="1">IF($G916="","",INDEX(BASE_PRODUTOS!$C$2:$C$1006,$G916))</f>
        <v/>
      </c>
      <c r="L916" s="9" t="str">
        <f ca="1">IF($G916="","",INDEX(BASE_PRODUTOS!$E$2:$E$1006,$G916))</f>
        <v/>
      </c>
      <c r="M916" s="9" t="str">
        <f ca="1">IF($G916="","",INDEX(BASE_PRODUTOS!$F$2:$F$1006,$G916))</f>
        <v/>
      </c>
      <c r="N916" s="9" t="str">
        <f ca="1">IF($G916="","",INDEX(BASE_PRODUTOS!$G$2:$G$1006,$G916))</f>
        <v/>
      </c>
      <c r="O916" s="9" t="str">
        <f ca="1">IF($G916="","",INDEX(BASE_PRODUTOS!$H$2:$H$1006,$G916))</f>
        <v/>
      </c>
      <c r="P916" s="9" t="str">
        <f ca="1">IF($G916="","",INDEX(BASE_PRODUTOS!$I$2:$I$1006,$G916))</f>
        <v/>
      </c>
      <c r="Q916" s="9" t="str">
        <f ca="1">IF($G916="","",INDEX(BASE_PRODUTOS!$J$2:$J$1006,$G916))</f>
        <v/>
      </c>
      <c r="R916" s="9" t="str">
        <f ca="1">IF($G916="","",INDEX(BASE_PRODUTOS!$M$2:$M$1006,$G916))</f>
        <v/>
      </c>
      <c r="S916" s="9" t="str">
        <f ca="1">IF($G916="","",INDEX(BASE_PRODUTOS!$N$2:$N$1006,$G916))</f>
        <v/>
      </c>
      <c r="T916" s="9" t="str">
        <f ca="1">IF($G916="","",INDEX(BASE_PRODUTOS!$D$2:$D$1006,$G916))</f>
        <v/>
      </c>
    </row>
    <row r="917" spans="7:20" ht="18" customHeight="1" x14ac:dyDescent="0.35">
      <c r="G917" t="str">
        <f ca="1">IFERROR(_xludf.aggregate(15,6,(ROW(BASE_PRODUTOS!$L$2:$L$1006)-ROW(BASE_PRODUTOS!$L$2)+1)/(BASE_PRODUTOS!$L$2:$L$1006&gt;0),ROWS($G$10:G917)),"")</f>
        <v/>
      </c>
      <c r="H917" s="9" t="str">
        <f ca="1">IF($G917="","",INDEX(BASE_PRODUTOS!$B$2:$B$1006,$G917))</f>
        <v/>
      </c>
      <c r="I917" s="9" t="str">
        <f ca="1">IF($G917="","",INDEX(BASE_PRODUTOS!$L$2:$L$1006,$G917))</f>
        <v/>
      </c>
      <c r="J917" s="9" t="str">
        <f ca="1">IF($G917="","",INDEX(BASE_PRODUTOS!$A$2:$A$1006,$G917))</f>
        <v/>
      </c>
      <c r="K917" s="9" t="str">
        <f ca="1">IF($G917="","",INDEX(BASE_PRODUTOS!$C$2:$C$1006,$G917))</f>
        <v/>
      </c>
      <c r="L917" s="9" t="str">
        <f ca="1">IF($G917="","",INDEX(BASE_PRODUTOS!$E$2:$E$1006,$G917))</f>
        <v/>
      </c>
      <c r="M917" s="9" t="str">
        <f ca="1">IF($G917="","",INDEX(BASE_PRODUTOS!$F$2:$F$1006,$G917))</f>
        <v/>
      </c>
      <c r="N917" s="9" t="str">
        <f ca="1">IF($G917="","",INDEX(BASE_PRODUTOS!$G$2:$G$1006,$G917))</f>
        <v/>
      </c>
      <c r="O917" s="9" t="str">
        <f ca="1">IF($G917="","",INDEX(BASE_PRODUTOS!$H$2:$H$1006,$G917))</f>
        <v/>
      </c>
      <c r="P917" s="9" t="str">
        <f ca="1">IF($G917="","",INDEX(BASE_PRODUTOS!$I$2:$I$1006,$G917))</f>
        <v/>
      </c>
      <c r="Q917" s="9" t="str">
        <f ca="1">IF($G917="","",INDEX(BASE_PRODUTOS!$J$2:$J$1006,$G917))</f>
        <v/>
      </c>
      <c r="R917" s="9" t="str">
        <f ca="1">IF($G917="","",INDEX(BASE_PRODUTOS!$M$2:$M$1006,$G917))</f>
        <v/>
      </c>
      <c r="S917" s="9" t="str">
        <f ca="1">IF($G917="","",INDEX(BASE_PRODUTOS!$N$2:$N$1006,$G917))</f>
        <v/>
      </c>
      <c r="T917" s="9" t="str">
        <f ca="1">IF($G917="","",INDEX(BASE_PRODUTOS!$D$2:$D$1006,$G917))</f>
        <v/>
      </c>
    </row>
    <row r="918" spans="7:20" ht="18" customHeight="1" x14ac:dyDescent="0.35">
      <c r="G918" t="str">
        <f ca="1">IFERROR(_xludf.aggregate(15,6,(ROW(BASE_PRODUTOS!$L$2:$L$1006)-ROW(BASE_PRODUTOS!$L$2)+1)/(BASE_PRODUTOS!$L$2:$L$1006&gt;0),ROWS($G$10:G918)),"")</f>
        <v/>
      </c>
      <c r="H918" s="9" t="str">
        <f ca="1">IF($G918="","",INDEX(BASE_PRODUTOS!$B$2:$B$1006,$G918))</f>
        <v/>
      </c>
      <c r="I918" s="9" t="str">
        <f ca="1">IF($G918="","",INDEX(BASE_PRODUTOS!$L$2:$L$1006,$G918))</f>
        <v/>
      </c>
      <c r="J918" s="9" t="str">
        <f ca="1">IF($G918="","",INDEX(BASE_PRODUTOS!$A$2:$A$1006,$G918))</f>
        <v/>
      </c>
      <c r="K918" s="9" t="str">
        <f ca="1">IF($G918="","",INDEX(BASE_PRODUTOS!$C$2:$C$1006,$G918))</f>
        <v/>
      </c>
      <c r="L918" s="9" t="str">
        <f ca="1">IF($G918="","",INDEX(BASE_PRODUTOS!$E$2:$E$1006,$G918))</f>
        <v/>
      </c>
      <c r="M918" s="9" t="str">
        <f ca="1">IF($G918="","",INDEX(BASE_PRODUTOS!$F$2:$F$1006,$G918))</f>
        <v/>
      </c>
      <c r="N918" s="9" t="str">
        <f ca="1">IF($G918="","",INDEX(BASE_PRODUTOS!$G$2:$G$1006,$G918))</f>
        <v/>
      </c>
      <c r="O918" s="9" t="str">
        <f ca="1">IF($G918="","",INDEX(BASE_PRODUTOS!$H$2:$H$1006,$G918))</f>
        <v/>
      </c>
      <c r="P918" s="9" t="str">
        <f ca="1">IF($G918="","",INDEX(BASE_PRODUTOS!$I$2:$I$1006,$G918))</f>
        <v/>
      </c>
      <c r="Q918" s="9" t="str">
        <f ca="1">IF($G918="","",INDEX(BASE_PRODUTOS!$J$2:$J$1006,$G918))</f>
        <v/>
      </c>
      <c r="R918" s="9" t="str">
        <f ca="1">IF($G918="","",INDEX(BASE_PRODUTOS!$M$2:$M$1006,$G918))</f>
        <v/>
      </c>
      <c r="S918" s="9" t="str">
        <f ca="1">IF($G918="","",INDEX(BASE_PRODUTOS!$N$2:$N$1006,$G918))</f>
        <v/>
      </c>
      <c r="T918" s="9" t="str">
        <f ca="1">IF($G918="","",INDEX(BASE_PRODUTOS!$D$2:$D$1006,$G918))</f>
        <v/>
      </c>
    </row>
    <row r="919" spans="7:20" ht="18" customHeight="1" x14ac:dyDescent="0.35">
      <c r="G919" t="str">
        <f ca="1">IFERROR(_xludf.aggregate(15,6,(ROW(BASE_PRODUTOS!$L$2:$L$1006)-ROW(BASE_PRODUTOS!$L$2)+1)/(BASE_PRODUTOS!$L$2:$L$1006&gt;0),ROWS($G$10:G919)),"")</f>
        <v/>
      </c>
      <c r="H919" s="9" t="str">
        <f ca="1">IF($G919="","",INDEX(BASE_PRODUTOS!$B$2:$B$1006,$G919))</f>
        <v/>
      </c>
      <c r="I919" s="9" t="str">
        <f ca="1">IF($G919="","",INDEX(BASE_PRODUTOS!$L$2:$L$1006,$G919))</f>
        <v/>
      </c>
      <c r="J919" s="9" t="str">
        <f ca="1">IF($G919="","",INDEX(BASE_PRODUTOS!$A$2:$A$1006,$G919))</f>
        <v/>
      </c>
      <c r="K919" s="9" t="str">
        <f ca="1">IF($G919="","",INDEX(BASE_PRODUTOS!$C$2:$C$1006,$G919))</f>
        <v/>
      </c>
      <c r="L919" s="9" t="str">
        <f ca="1">IF($G919="","",INDEX(BASE_PRODUTOS!$E$2:$E$1006,$G919))</f>
        <v/>
      </c>
      <c r="M919" s="9" t="str">
        <f ca="1">IF($G919="","",INDEX(BASE_PRODUTOS!$F$2:$F$1006,$G919))</f>
        <v/>
      </c>
      <c r="N919" s="9" t="str">
        <f ca="1">IF($G919="","",INDEX(BASE_PRODUTOS!$G$2:$G$1006,$G919))</f>
        <v/>
      </c>
      <c r="O919" s="9" t="str">
        <f ca="1">IF($G919="","",INDEX(BASE_PRODUTOS!$H$2:$H$1006,$G919))</f>
        <v/>
      </c>
      <c r="P919" s="9" t="str">
        <f ca="1">IF($G919="","",INDEX(BASE_PRODUTOS!$I$2:$I$1006,$G919))</f>
        <v/>
      </c>
      <c r="Q919" s="9" t="str">
        <f ca="1">IF($G919="","",INDEX(BASE_PRODUTOS!$J$2:$J$1006,$G919))</f>
        <v/>
      </c>
      <c r="R919" s="9" t="str">
        <f ca="1">IF($G919="","",INDEX(BASE_PRODUTOS!$M$2:$M$1006,$G919))</f>
        <v/>
      </c>
      <c r="S919" s="9" t="str">
        <f ca="1">IF($G919="","",INDEX(BASE_PRODUTOS!$N$2:$N$1006,$G919))</f>
        <v/>
      </c>
      <c r="T919" s="9" t="str">
        <f ca="1">IF($G919="","",INDEX(BASE_PRODUTOS!$D$2:$D$1006,$G919))</f>
        <v/>
      </c>
    </row>
    <row r="920" spans="7:20" ht="18" customHeight="1" x14ac:dyDescent="0.35">
      <c r="G920" t="str">
        <f ca="1">IFERROR(_xludf.aggregate(15,6,(ROW(BASE_PRODUTOS!$L$2:$L$1006)-ROW(BASE_PRODUTOS!$L$2)+1)/(BASE_PRODUTOS!$L$2:$L$1006&gt;0),ROWS($G$10:G920)),"")</f>
        <v/>
      </c>
      <c r="H920" s="9" t="str">
        <f ca="1">IF($G920="","",INDEX(BASE_PRODUTOS!$B$2:$B$1006,$G920))</f>
        <v/>
      </c>
      <c r="I920" s="9" t="str">
        <f ca="1">IF($G920="","",INDEX(BASE_PRODUTOS!$L$2:$L$1006,$G920))</f>
        <v/>
      </c>
      <c r="J920" s="9" t="str">
        <f ca="1">IF($G920="","",INDEX(BASE_PRODUTOS!$A$2:$A$1006,$G920))</f>
        <v/>
      </c>
      <c r="K920" s="9" t="str">
        <f ca="1">IF($G920="","",INDEX(BASE_PRODUTOS!$C$2:$C$1006,$G920))</f>
        <v/>
      </c>
      <c r="L920" s="9" t="str">
        <f ca="1">IF($G920="","",INDEX(BASE_PRODUTOS!$E$2:$E$1006,$G920))</f>
        <v/>
      </c>
      <c r="M920" s="9" t="str">
        <f ca="1">IF($G920="","",INDEX(BASE_PRODUTOS!$F$2:$F$1006,$G920))</f>
        <v/>
      </c>
      <c r="N920" s="9" t="str">
        <f ca="1">IF($G920="","",INDEX(BASE_PRODUTOS!$G$2:$G$1006,$G920))</f>
        <v/>
      </c>
      <c r="O920" s="9" t="str">
        <f ca="1">IF($G920="","",INDEX(BASE_PRODUTOS!$H$2:$H$1006,$G920))</f>
        <v/>
      </c>
      <c r="P920" s="9" t="str">
        <f ca="1">IF($G920="","",INDEX(BASE_PRODUTOS!$I$2:$I$1006,$G920))</f>
        <v/>
      </c>
      <c r="Q920" s="9" t="str">
        <f ca="1">IF($G920="","",INDEX(BASE_PRODUTOS!$J$2:$J$1006,$G920))</f>
        <v/>
      </c>
      <c r="R920" s="9" t="str">
        <f ca="1">IF($G920="","",INDEX(BASE_PRODUTOS!$M$2:$M$1006,$G920))</f>
        <v/>
      </c>
      <c r="S920" s="9" t="str">
        <f ca="1">IF($G920="","",INDEX(BASE_PRODUTOS!$N$2:$N$1006,$G920))</f>
        <v/>
      </c>
      <c r="T920" s="9" t="str">
        <f ca="1">IF($G920="","",INDEX(BASE_PRODUTOS!$D$2:$D$1006,$G920))</f>
        <v/>
      </c>
    </row>
    <row r="921" spans="7:20" ht="18" customHeight="1" x14ac:dyDescent="0.35">
      <c r="G921" t="str">
        <f ca="1">IFERROR(_xludf.aggregate(15,6,(ROW(BASE_PRODUTOS!$L$2:$L$1006)-ROW(BASE_PRODUTOS!$L$2)+1)/(BASE_PRODUTOS!$L$2:$L$1006&gt;0),ROWS($G$10:G921)),"")</f>
        <v/>
      </c>
      <c r="H921" s="9" t="str">
        <f ca="1">IF($G921="","",INDEX(BASE_PRODUTOS!$B$2:$B$1006,$G921))</f>
        <v/>
      </c>
      <c r="I921" s="9" t="str">
        <f ca="1">IF($G921="","",INDEX(BASE_PRODUTOS!$L$2:$L$1006,$G921))</f>
        <v/>
      </c>
      <c r="J921" s="9" t="str">
        <f ca="1">IF($G921="","",INDEX(BASE_PRODUTOS!$A$2:$A$1006,$G921))</f>
        <v/>
      </c>
      <c r="K921" s="9" t="str">
        <f ca="1">IF($G921="","",INDEX(BASE_PRODUTOS!$C$2:$C$1006,$G921))</f>
        <v/>
      </c>
      <c r="L921" s="9" t="str">
        <f ca="1">IF($G921="","",INDEX(BASE_PRODUTOS!$E$2:$E$1006,$G921))</f>
        <v/>
      </c>
      <c r="M921" s="9" t="str">
        <f ca="1">IF($G921="","",INDEX(BASE_PRODUTOS!$F$2:$F$1006,$G921))</f>
        <v/>
      </c>
      <c r="N921" s="9" t="str">
        <f ca="1">IF($G921="","",INDEX(BASE_PRODUTOS!$G$2:$G$1006,$G921))</f>
        <v/>
      </c>
      <c r="O921" s="9" t="str">
        <f ca="1">IF($G921="","",INDEX(BASE_PRODUTOS!$H$2:$H$1006,$G921))</f>
        <v/>
      </c>
      <c r="P921" s="9" t="str">
        <f ca="1">IF($G921="","",INDEX(BASE_PRODUTOS!$I$2:$I$1006,$G921))</f>
        <v/>
      </c>
      <c r="Q921" s="9" t="str">
        <f ca="1">IF($G921="","",INDEX(BASE_PRODUTOS!$J$2:$J$1006,$G921))</f>
        <v/>
      </c>
      <c r="R921" s="9" t="str">
        <f ca="1">IF($G921="","",INDEX(BASE_PRODUTOS!$M$2:$M$1006,$G921))</f>
        <v/>
      </c>
      <c r="S921" s="9" t="str">
        <f ca="1">IF($G921="","",INDEX(BASE_PRODUTOS!$N$2:$N$1006,$G921))</f>
        <v/>
      </c>
      <c r="T921" s="9" t="str">
        <f ca="1">IF($G921="","",INDEX(BASE_PRODUTOS!$D$2:$D$1006,$G921))</f>
        <v/>
      </c>
    </row>
    <row r="922" spans="7:20" ht="18" customHeight="1" x14ac:dyDescent="0.35">
      <c r="G922" t="str">
        <f ca="1">IFERROR(_xludf.aggregate(15,6,(ROW(BASE_PRODUTOS!$L$2:$L$1006)-ROW(BASE_PRODUTOS!$L$2)+1)/(BASE_PRODUTOS!$L$2:$L$1006&gt;0),ROWS($G$10:G922)),"")</f>
        <v/>
      </c>
      <c r="H922" s="9" t="str">
        <f ca="1">IF($G922="","",INDEX(BASE_PRODUTOS!$B$2:$B$1006,$G922))</f>
        <v/>
      </c>
      <c r="I922" s="9" t="str">
        <f ca="1">IF($G922="","",INDEX(BASE_PRODUTOS!$L$2:$L$1006,$G922))</f>
        <v/>
      </c>
      <c r="J922" s="9" t="str">
        <f ca="1">IF($G922="","",INDEX(BASE_PRODUTOS!$A$2:$A$1006,$G922))</f>
        <v/>
      </c>
      <c r="K922" s="9" t="str">
        <f ca="1">IF($G922="","",INDEX(BASE_PRODUTOS!$C$2:$C$1006,$G922))</f>
        <v/>
      </c>
      <c r="L922" s="9" t="str">
        <f ca="1">IF($G922="","",INDEX(BASE_PRODUTOS!$E$2:$E$1006,$G922))</f>
        <v/>
      </c>
      <c r="M922" s="9" t="str">
        <f ca="1">IF($G922="","",INDEX(BASE_PRODUTOS!$F$2:$F$1006,$G922))</f>
        <v/>
      </c>
      <c r="N922" s="9" t="str">
        <f ca="1">IF($G922="","",INDEX(BASE_PRODUTOS!$G$2:$G$1006,$G922))</f>
        <v/>
      </c>
      <c r="O922" s="9" t="str">
        <f ca="1">IF($G922="","",INDEX(BASE_PRODUTOS!$H$2:$H$1006,$G922))</f>
        <v/>
      </c>
      <c r="P922" s="9" t="str">
        <f ca="1">IF($G922="","",INDEX(BASE_PRODUTOS!$I$2:$I$1006,$G922))</f>
        <v/>
      </c>
      <c r="Q922" s="9" t="str">
        <f ca="1">IF($G922="","",INDEX(BASE_PRODUTOS!$J$2:$J$1006,$G922))</f>
        <v/>
      </c>
      <c r="R922" s="9" t="str">
        <f ca="1">IF($G922="","",INDEX(BASE_PRODUTOS!$M$2:$M$1006,$G922))</f>
        <v/>
      </c>
      <c r="S922" s="9" t="str">
        <f ca="1">IF($G922="","",INDEX(BASE_PRODUTOS!$N$2:$N$1006,$G922))</f>
        <v/>
      </c>
      <c r="T922" s="9" t="str">
        <f ca="1">IF($G922="","",INDEX(BASE_PRODUTOS!$D$2:$D$1006,$G922))</f>
        <v/>
      </c>
    </row>
    <row r="923" spans="7:20" ht="18" customHeight="1" x14ac:dyDescent="0.35">
      <c r="G923" t="str">
        <f ca="1">IFERROR(_xludf.aggregate(15,6,(ROW(BASE_PRODUTOS!$L$2:$L$1006)-ROW(BASE_PRODUTOS!$L$2)+1)/(BASE_PRODUTOS!$L$2:$L$1006&gt;0),ROWS($G$10:G923)),"")</f>
        <v/>
      </c>
      <c r="H923" s="9" t="str">
        <f ca="1">IF($G923="","",INDEX(BASE_PRODUTOS!$B$2:$B$1006,$G923))</f>
        <v/>
      </c>
      <c r="I923" s="9" t="str">
        <f ca="1">IF($G923="","",INDEX(BASE_PRODUTOS!$L$2:$L$1006,$G923))</f>
        <v/>
      </c>
      <c r="J923" s="9" t="str">
        <f ca="1">IF($G923="","",INDEX(BASE_PRODUTOS!$A$2:$A$1006,$G923))</f>
        <v/>
      </c>
      <c r="K923" s="9" t="str">
        <f ca="1">IF($G923="","",INDEX(BASE_PRODUTOS!$C$2:$C$1006,$G923))</f>
        <v/>
      </c>
      <c r="L923" s="9" t="str">
        <f ca="1">IF($G923="","",INDEX(BASE_PRODUTOS!$E$2:$E$1006,$G923))</f>
        <v/>
      </c>
      <c r="M923" s="9" t="str">
        <f ca="1">IF($G923="","",INDEX(BASE_PRODUTOS!$F$2:$F$1006,$G923))</f>
        <v/>
      </c>
      <c r="N923" s="9" t="str">
        <f ca="1">IF($G923="","",INDEX(BASE_PRODUTOS!$G$2:$G$1006,$G923))</f>
        <v/>
      </c>
      <c r="O923" s="9" t="str">
        <f ca="1">IF($G923="","",INDEX(BASE_PRODUTOS!$H$2:$H$1006,$G923))</f>
        <v/>
      </c>
      <c r="P923" s="9" t="str">
        <f ca="1">IF($G923="","",INDEX(BASE_PRODUTOS!$I$2:$I$1006,$G923))</f>
        <v/>
      </c>
      <c r="Q923" s="9" t="str">
        <f ca="1">IF($G923="","",INDEX(BASE_PRODUTOS!$J$2:$J$1006,$G923))</f>
        <v/>
      </c>
      <c r="R923" s="9" t="str">
        <f ca="1">IF($G923="","",INDEX(BASE_PRODUTOS!$M$2:$M$1006,$G923))</f>
        <v/>
      </c>
      <c r="S923" s="9" t="str">
        <f ca="1">IF($G923="","",INDEX(BASE_PRODUTOS!$N$2:$N$1006,$G923))</f>
        <v/>
      </c>
      <c r="T923" s="9" t="str">
        <f ca="1">IF($G923="","",INDEX(BASE_PRODUTOS!$D$2:$D$1006,$G923))</f>
        <v/>
      </c>
    </row>
    <row r="924" spans="7:20" ht="18" customHeight="1" x14ac:dyDescent="0.35">
      <c r="G924" t="str">
        <f ca="1">IFERROR(_xludf.aggregate(15,6,(ROW(BASE_PRODUTOS!$L$2:$L$1006)-ROW(BASE_PRODUTOS!$L$2)+1)/(BASE_PRODUTOS!$L$2:$L$1006&gt;0),ROWS($G$10:G924)),"")</f>
        <v/>
      </c>
      <c r="H924" s="9" t="str">
        <f ca="1">IF($G924="","",INDEX(BASE_PRODUTOS!$B$2:$B$1006,$G924))</f>
        <v/>
      </c>
      <c r="I924" s="9" t="str">
        <f ca="1">IF($G924="","",INDEX(BASE_PRODUTOS!$L$2:$L$1006,$G924))</f>
        <v/>
      </c>
      <c r="J924" s="9" t="str">
        <f ca="1">IF($G924="","",INDEX(BASE_PRODUTOS!$A$2:$A$1006,$G924))</f>
        <v/>
      </c>
      <c r="K924" s="9" t="str">
        <f ca="1">IF($G924="","",INDEX(BASE_PRODUTOS!$C$2:$C$1006,$G924))</f>
        <v/>
      </c>
      <c r="L924" s="9" t="str">
        <f ca="1">IF($G924="","",INDEX(BASE_PRODUTOS!$E$2:$E$1006,$G924))</f>
        <v/>
      </c>
      <c r="M924" s="9" t="str">
        <f ca="1">IF($G924="","",INDEX(BASE_PRODUTOS!$F$2:$F$1006,$G924))</f>
        <v/>
      </c>
      <c r="N924" s="9" t="str">
        <f ca="1">IF($G924="","",INDEX(BASE_PRODUTOS!$G$2:$G$1006,$G924))</f>
        <v/>
      </c>
      <c r="O924" s="9" t="str">
        <f ca="1">IF($G924="","",INDEX(BASE_PRODUTOS!$H$2:$H$1006,$G924))</f>
        <v/>
      </c>
      <c r="P924" s="9" t="str">
        <f ca="1">IF($G924="","",INDEX(BASE_PRODUTOS!$I$2:$I$1006,$G924))</f>
        <v/>
      </c>
      <c r="Q924" s="9" t="str">
        <f ca="1">IF($G924="","",INDEX(BASE_PRODUTOS!$J$2:$J$1006,$G924))</f>
        <v/>
      </c>
      <c r="R924" s="9" t="str">
        <f ca="1">IF($G924="","",INDEX(BASE_PRODUTOS!$M$2:$M$1006,$G924))</f>
        <v/>
      </c>
      <c r="S924" s="9" t="str">
        <f ca="1">IF($G924="","",INDEX(BASE_PRODUTOS!$N$2:$N$1006,$G924))</f>
        <v/>
      </c>
      <c r="T924" s="9" t="str">
        <f ca="1">IF($G924="","",INDEX(BASE_PRODUTOS!$D$2:$D$1006,$G924))</f>
        <v/>
      </c>
    </row>
    <row r="925" spans="7:20" ht="18" customHeight="1" x14ac:dyDescent="0.35">
      <c r="G925" t="str">
        <f ca="1">IFERROR(_xludf.aggregate(15,6,(ROW(BASE_PRODUTOS!$L$2:$L$1006)-ROW(BASE_PRODUTOS!$L$2)+1)/(BASE_PRODUTOS!$L$2:$L$1006&gt;0),ROWS($G$10:G925)),"")</f>
        <v/>
      </c>
      <c r="H925" s="9" t="str">
        <f ca="1">IF($G925="","",INDEX(BASE_PRODUTOS!$B$2:$B$1006,$G925))</f>
        <v/>
      </c>
      <c r="I925" s="9" t="str">
        <f ca="1">IF($G925="","",INDEX(BASE_PRODUTOS!$L$2:$L$1006,$G925))</f>
        <v/>
      </c>
      <c r="J925" s="9" t="str">
        <f ca="1">IF($G925="","",INDEX(BASE_PRODUTOS!$A$2:$A$1006,$G925))</f>
        <v/>
      </c>
      <c r="K925" s="9" t="str">
        <f ca="1">IF($G925="","",INDEX(BASE_PRODUTOS!$C$2:$C$1006,$G925))</f>
        <v/>
      </c>
      <c r="L925" s="9" t="str">
        <f ca="1">IF($G925="","",INDEX(BASE_PRODUTOS!$E$2:$E$1006,$G925))</f>
        <v/>
      </c>
      <c r="M925" s="9" t="str">
        <f ca="1">IF($G925="","",INDEX(BASE_PRODUTOS!$F$2:$F$1006,$G925))</f>
        <v/>
      </c>
      <c r="N925" s="9" t="str">
        <f ca="1">IF($G925="","",INDEX(BASE_PRODUTOS!$G$2:$G$1006,$G925))</f>
        <v/>
      </c>
      <c r="O925" s="9" t="str">
        <f ca="1">IF($G925="","",INDEX(BASE_PRODUTOS!$H$2:$H$1006,$G925))</f>
        <v/>
      </c>
      <c r="P925" s="9" t="str">
        <f ca="1">IF($G925="","",INDEX(BASE_PRODUTOS!$I$2:$I$1006,$G925))</f>
        <v/>
      </c>
      <c r="Q925" s="9" t="str">
        <f ca="1">IF($G925="","",INDEX(BASE_PRODUTOS!$J$2:$J$1006,$G925))</f>
        <v/>
      </c>
      <c r="R925" s="9" t="str">
        <f ca="1">IF($G925="","",INDEX(BASE_PRODUTOS!$M$2:$M$1006,$G925))</f>
        <v/>
      </c>
      <c r="S925" s="9" t="str">
        <f ca="1">IF($G925="","",INDEX(BASE_PRODUTOS!$N$2:$N$1006,$G925))</f>
        <v/>
      </c>
      <c r="T925" s="9" t="str">
        <f ca="1">IF($G925="","",INDEX(BASE_PRODUTOS!$D$2:$D$1006,$G925))</f>
        <v/>
      </c>
    </row>
    <row r="926" spans="7:20" ht="18" customHeight="1" x14ac:dyDescent="0.35">
      <c r="G926" t="str">
        <f ca="1">IFERROR(_xludf.aggregate(15,6,(ROW(BASE_PRODUTOS!$L$2:$L$1006)-ROW(BASE_PRODUTOS!$L$2)+1)/(BASE_PRODUTOS!$L$2:$L$1006&gt;0),ROWS($G$10:G926)),"")</f>
        <v/>
      </c>
      <c r="H926" s="9" t="str">
        <f ca="1">IF($G926="","",INDEX(BASE_PRODUTOS!$B$2:$B$1006,$G926))</f>
        <v/>
      </c>
      <c r="I926" s="9" t="str">
        <f ca="1">IF($G926="","",INDEX(BASE_PRODUTOS!$L$2:$L$1006,$G926))</f>
        <v/>
      </c>
      <c r="J926" s="9" t="str">
        <f ca="1">IF($G926="","",INDEX(BASE_PRODUTOS!$A$2:$A$1006,$G926))</f>
        <v/>
      </c>
      <c r="K926" s="9" t="str">
        <f ca="1">IF($G926="","",INDEX(BASE_PRODUTOS!$C$2:$C$1006,$G926))</f>
        <v/>
      </c>
      <c r="L926" s="9" t="str">
        <f ca="1">IF($G926="","",INDEX(BASE_PRODUTOS!$E$2:$E$1006,$G926))</f>
        <v/>
      </c>
      <c r="M926" s="9" t="str">
        <f ca="1">IF($G926="","",INDEX(BASE_PRODUTOS!$F$2:$F$1006,$G926))</f>
        <v/>
      </c>
      <c r="N926" s="9" t="str">
        <f ca="1">IF($G926="","",INDEX(BASE_PRODUTOS!$G$2:$G$1006,$G926))</f>
        <v/>
      </c>
      <c r="O926" s="9" t="str">
        <f ca="1">IF($G926="","",INDEX(BASE_PRODUTOS!$H$2:$H$1006,$G926))</f>
        <v/>
      </c>
      <c r="P926" s="9" t="str">
        <f ca="1">IF($G926="","",INDEX(BASE_PRODUTOS!$I$2:$I$1006,$G926))</f>
        <v/>
      </c>
      <c r="Q926" s="9" t="str">
        <f ca="1">IF($G926="","",INDEX(BASE_PRODUTOS!$J$2:$J$1006,$G926))</f>
        <v/>
      </c>
      <c r="R926" s="9" t="str">
        <f ca="1">IF($G926="","",INDEX(BASE_PRODUTOS!$M$2:$M$1006,$G926))</f>
        <v/>
      </c>
      <c r="S926" s="9" t="str">
        <f ca="1">IF($G926="","",INDEX(BASE_PRODUTOS!$N$2:$N$1006,$G926))</f>
        <v/>
      </c>
      <c r="T926" s="9" t="str">
        <f ca="1">IF($G926="","",INDEX(BASE_PRODUTOS!$D$2:$D$1006,$G926))</f>
        <v/>
      </c>
    </row>
    <row r="927" spans="7:20" ht="18" customHeight="1" x14ac:dyDescent="0.35">
      <c r="G927" t="str">
        <f ca="1">IFERROR(_xludf.aggregate(15,6,(ROW(BASE_PRODUTOS!$L$2:$L$1006)-ROW(BASE_PRODUTOS!$L$2)+1)/(BASE_PRODUTOS!$L$2:$L$1006&gt;0),ROWS($G$10:G927)),"")</f>
        <v/>
      </c>
      <c r="H927" s="9" t="str">
        <f ca="1">IF($G927="","",INDEX(BASE_PRODUTOS!$B$2:$B$1006,$G927))</f>
        <v/>
      </c>
      <c r="I927" s="9" t="str">
        <f ca="1">IF($G927="","",INDEX(BASE_PRODUTOS!$L$2:$L$1006,$G927))</f>
        <v/>
      </c>
      <c r="J927" s="9" t="str">
        <f ca="1">IF($G927="","",INDEX(BASE_PRODUTOS!$A$2:$A$1006,$G927))</f>
        <v/>
      </c>
      <c r="K927" s="9" t="str">
        <f ca="1">IF($G927="","",INDEX(BASE_PRODUTOS!$C$2:$C$1006,$G927))</f>
        <v/>
      </c>
      <c r="L927" s="9" t="str">
        <f ca="1">IF($G927="","",INDEX(BASE_PRODUTOS!$E$2:$E$1006,$G927))</f>
        <v/>
      </c>
      <c r="M927" s="9" t="str">
        <f ca="1">IF($G927="","",INDEX(BASE_PRODUTOS!$F$2:$F$1006,$G927))</f>
        <v/>
      </c>
      <c r="N927" s="9" t="str">
        <f ca="1">IF($G927="","",INDEX(BASE_PRODUTOS!$G$2:$G$1006,$G927))</f>
        <v/>
      </c>
      <c r="O927" s="9" t="str">
        <f ca="1">IF($G927="","",INDEX(BASE_PRODUTOS!$H$2:$H$1006,$G927))</f>
        <v/>
      </c>
      <c r="P927" s="9" t="str">
        <f ca="1">IF($G927="","",INDEX(BASE_PRODUTOS!$I$2:$I$1006,$G927))</f>
        <v/>
      </c>
      <c r="Q927" s="9" t="str">
        <f ca="1">IF($G927="","",INDEX(BASE_PRODUTOS!$J$2:$J$1006,$G927))</f>
        <v/>
      </c>
      <c r="R927" s="9" t="str">
        <f ca="1">IF($G927="","",INDEX(BASE_PRODUTOS!$M$2:$M$1006,$G927))</f>
        <v/>
      </c>
      <c r="S927" s="9" t="str">
        <f ca="1">IF($G927="","",INDEX(BASE_PRODUTOS!$N$2:$N$1006,$G927))</f>
        <v/>
      </c>
      <c r="T927" s="9" t="str">
        <f ca="1">IF($G927="","",INDEX(BASE_PRODUTOS!$D$2:$D$1006,$G927))</f>
        <v/>
      </c>
    </row>
    <row r="928" spans="7:20" ht="18" customHeight="1" x14ac:dyDescent="0.35">
      <c r="G928" t="str">
        <f ca="1">IFERROR(_xludf.aggregate(15,6,(ROW(BASE_PRODUTOS!$L$2:$L$1006)-ROW(BASE_PRODUTOS!$L$2)+1)/(BASE_PRODUTOS!$L$2:$L$1006&gt;0),ROWS($G$10:G928)),"")</f>
        <v/>
      </c>
      <c r="H928" s="9" t="str">
        <f ca="1">IF($G928="","",INDEX(BASE_PRODUTOS!$B$2:$B$1006,$G928))</f>
        <v/>
      </c>
      <c r="I928" s="9" t="str">
        <f ca="1">IF($G928="","",INDEX(BASE_PRODUTOS!$L$2:$L$1006,$G928))</f>
        <v/>
      </c>
      <c r="J928" s="9" t="str">
        <f ca="1">IF($G928="","",INDEX(BASE_PRODUTOS!$A$2:$A$1006,$G928))</f>
        <v/>
      </c>
      <c r="K928" s="9" t="str">
        <f ca="1">IF($G928="","",INDEX(BASE_PRODUTOS!$C$2:$C$1006,$G928))</f>
        <v/>
      </c>
      <c r="L928" s="9" t="str">
        <f ca="1">IF($G928="","",INDEX(BASE_PRODUTOS!$E$2:$E$1006,$G928))</f>
        <v/>
      </c>
      <c r="M928" s="9" t="str">
        <f ca="1">IF($G928="","",INDEX(BASE_PRODUTOS!$F$2:$F$1006,$G928))</f>
        <v/>
      </c>
      <c r="N928" s="9" t="str">
        <f ca="1">IF($G928="","",INDEX(BASE_PRODUTOS!$G$2:$G$1006,$G928))</f>
        <v/>
      </c>
      <c r="O928" s="9" t="str">
        <f ca="1">IF($G928="","",INDEX(BASE_PRODUTOS!$H$2:$H$1006,$G928))</f>
        <v/>
      </c>
      <c r="P928" s="9" t="str">
        <f ca="1">IF($G928="","",INDEX(BASE_PRODUTOS!$I$2:$I$1006,$G928))</f>
        <v/>
      </c>
      <c r="Q928" s="9" t="str">
        <f ca="1">IF($G928="","",INDEX(BASE_PRODUTOS!$J$2:$J$1006,$G928))</f>
        <v/>
      </c>
      <c r="R928" s="9" t="str">
        <f ca="1">IF($G928="","",INDEX(BASE_PRODUTOS!$M$2:$M$1006,$G928))</f>
        <v/>
      </c>
      <c r="S928" s="9" t="str">
        <f ca="1">IF($G928="","",INDEX(BASE_PRODUTOS!$N$2:$N$1006,$G928))</f>
        <v/>
      </c>
      <c r="T928" s="9" t="str">
        <f ca="1">IF($G928="","",INDEX(BASE_PRODUTOS!$D$2:$D$1006,$G928))</f>
        <v/>
      </c>
    </row>
    <row r="929" spans="7:20" ht="18" customHeight="1" x14ac:dyDescent="0.35">
      <c r="G929" t="str">
        <f ca="1">IFERROR(_xludf.aggregate(15,6,(ROW(BASE_PRODUTOS!$L$2:$L$1006)-ROW(BASE_PRODUTOS!$L$2)+1)/(BASE_PRODUTOS!$L$2:$L$1006&gt;0),ROWS($G$10:G929)),"")</f>
        <v/>
      </c>
      <c r="H929" s="9" t="str">
        <f ca="1">IF($G929="","",INDEX(BASE_PRODUTOS!$B$2:$B$1006,$G929))</f>
        <v/>
      </c>
      <c r="I929" s="9" t="str">
        <f ca="1">IF($G929="","",INDEX(BASE_PRODUTOS!$L$2:$L$1006,$G929))</f>
        <v/>
      </c>
      <c r="J929" s="9" t="str">
        <f ca="1">IF($G929="","",INDEX(BASE_PRODUTOS!$A$2:$A$1006,$G929))</f>
        <v/>
      </c>
      <c r="K929" s="9" t="str">
        <f ca="1">IF($G929="","",INDEX(BASE_PRODUTOS!$C$2:$C$1006,$G929))</f>
        <v/>
      </c>
      <c r="L929" s="9" t="str">
        <f ca="1">IF($G929="","",INDEX(BASE_PRODUTOS!$E$2:$E$1006,$G929))</f>
        <v/>
      </c>
      <c r="M929" s="9" t="str">
        <f ca="1">IF($G929="","",INDEX(BASE_PRODUTOS!$F$2:$F$1006,$G929))</f>
        <v/>
      </c>
      <c r="N929" s="9" t="str">
        <f ca="1">IF($G929="","",INDEX(BASE_PRODUTOS!$G$2:$G$1006,$G929))</f>
        <v/>
      </c>
      <c r="O929" s="9" t="str">
        <f ca="1">IF($G929="","",INDEX(BASE_PRODUTOS!$H$2:$H$1006,$G929))</f>
        <v/>
      </c>
      <c r="P929" s="9" t="str">
        <f ca="1">IF($G929="","",INDEX(BASE_PRODUTOS!$I$2:$I$1006,$G929))</f>
        <v/>
      </c>
      <c r="Q929" s="9" t="str">
        <f ca="1">IF($G929="","",INDEX(BASE_PRODUTOS!$J$2:$J$1006,$G929))</f>
        <v/>
      </c>
      <c r="R929" s="9" t="str">
        <f ca="1">IF($G929="","",INDEX(BASE_PRODUTOS!$M$2:$M$1006,$G929))</f>
        <v/>
      </c>
      <c r="S929" s="9" t="str">
        <f ca="1">IF($G929="","",INDEX(BASE_PRODUTOS!$N$2:$N$1006,$G929))</f>
        <v/>
      </c>
      <c r="T929" s="9" t="str">
        <f ca="1">IF($G929="","",INDEX(BASE_PRODUTOS!$D$2:$D$1006,$G929))</f>
        <v/>
      </c>
    </row>
    <row r="930" spans="7:20" ht="18" customHeight="1" x14ac:dyDescent="0.35">
      <c r="G930" t="str">
        <f ca="1">IFERROR(_xludf.aggregate(15,6,(ROW(BASE_PRODUTOS!$L$2:$L$1006)-ROW(BASE_PRODUTOS!$L$2)+1)/(BASE_PRODUTOS!$L$2:$L$1006&gt;0),ROWS($G$10:G930)),"")</f>
        <v/>
      </c>
      <c r="H930" s="9" t="str">
        <f ca="1">IF($G930="","",INDEX(BASE_PRODUTOS!$B$2:$B$1006,$G930))</f>
        <v/>
      </c>
      <c r="I930" s="9" t="str">
        <f ca="1">IF($G930="","",INDEX(BASE_PRODUTOS!$L$2:$L$1006,$G930))</f>
        <v/>
      </c>
      <c r="J930" s="9" t="str">
        <f ca="1">IF($G930="","",INDEX(BASE_PRODUTOS!$A$2:$A$1006,$G930))</f>
        <v/>
      </c>
      <c r="K930" s="9" t="str">
        <f ca="1">IF($G930="","",INDEX(BASE_PRODUTOS!$C$2:$C$1006,$G930))</f>
        <v/>
      </c>
      <c r="L930" s="9" t="str">
        <f ca="1">IF($G930="","",INDEX(BASE_PRODUTOS!$E$2:$E$1006,$G930))</f>
        <v/>
      </c>
      <c r="M930" s="9" t="str">
        <f ca="1">IF($G930="","",INDEX(BASE_PRODUTOS!$F$2:$F$1006,$G930))</f>
        <v/>
      </c>
      <c r="N930" s="9" t="str">
        <f ca="1">IF($G930="","",INDEX(BASE_PRODUTOS!$G$2:$G$1006,$G930))</f>
        <v/>
      </c>
      <c r="O930" s="9" t="str">
        <f ca="1">IF($G930="","",INDEX(BASE_PRODUTOS!$H$2:$H$1006,$G930))</f>
        <v/>
      </c>
      <c r="P930" s="9" t="str">
        <f ca="1">IF($G930="","",INDEX(BASE_PRODUTOS!$I$2:$I$1006,$G930))</f>
        <v/>
      </c>
      <c r="Q930" s="9" t="str">
        <f ca="1">IF($G930="","",INDEX(BASE_PRODUTOS!$J$2:$J$1006,$G930))</f>
        <v/>
      </c>
      <c r="R930" s="9" t="str">
        <f ca="1">IF($G930="","",INDEX(BASE_PRODUTOS!$M$2:$M$1006,$G930))</f>
        <v/>
      </c>
      <c r="S930" s="9" t="str">
        <f ca="1">IF($G930="","",INDEX(BASE_PRODUTOS!$N$2:$N$1006,$G930))</f>
        <v/>
      </c>
      <c r="T930" s="9" t="str">
        <f ca="1">IF($G930="","",INDEX(BASE_PRODUTOS!$D$2:$D$1006,$G930))</f>
        <v/>
      </c>
    </row>
    <row r="931" spans="7:20" ht="18" customHeight="1" x14ac:dyDescent="0.35">
      <c r="G931" t="str">
        <f ca="1">IFERROR(_xludf.aggregate(15,6,(ROW(BASE_PRODUTOS!$L$2:$L$1006)-ROW(BASE_PRODUTOS!$L$2)+1)/(BASE_PRODUTOS!$L$2:$L$1006&gt;0),ROWS($G$10:G931)),"")</f>
        <v/>
      </c>
      <c r="H931" s="9" t="str">
        <f ca="1">IF($G931="","",INDEX(BASE_PRODUTOS!$B$2:$B$1006,$G931))</f>
        <v/>
      </c>
      <c r="I931" s="9" t="str">
        <f ca="1">IF($G931="","",INDEX(BASE_PRODUTOS!$L$2:$L$1006,$G931))</f>
        <v/>
      </c>
      <c r="J931" s="9" t="str">
        <f ca="1">IF($G931="","",INDEX(BASE_PRODUTOS!$A$2:$A$1006,$G931))</f>
        <v/>
      </c>
      <c r="K931" s="9" t="str">
        <f ca="1">IF($G931="","",INDEX(BASE_PRODUTOS!$C$2:$C$1006,$G931))</f>
        <v/>
      </c>
      <c r="L931" s="9" t="str">
        <f ca="1">IF($G931="","",INDEX(BASE_PRODUTOS!$E$2:$E$1006,$G931))</f>
        <v/>
      </c>
      <c r="M931" s="9" t="str">
        <f ca="1">IF($G931="","",INDEX(BASE_PRODUTOS!$F$2:$F$1006,$G931))</f>
        <v/>
      </c>
      <c r="N931" s="9" t="str">
        <f ca="1">IF($G931="","",INDEX(BASE_PRODUTOS!$G$2:$G$1006,$G931))</f>
        <v/>
      </c>
      <c r="O931" s="9" t="str">
        <f ca="1">IF($G931="","",INDEX(BASE_PRODUTOS!$H$2:$H$1006,$G931))</f>
        <v/>
      </c>
      <c r="P931" s="9" t="str">
        <f ca="1">IF($G931="","",INDEX(BASE_PRODUTOS!$I$2:$I$1006,$G931))</f>
        <v/>
      </c>
      <c r="Q931" s="9" t="str">
        <f ca="1">IF($G931="","",INDEX(BASE_PRODUTOS!$J$2:$J$1006,$G931))</f>
        <v/>
      </c>
      <c r="R931" s="9" t="str">
        <f ca="1">IF($G931="","",INDEX(BASE_PRODUTOS!$M$2:$M$1006,$G931))</f>
        <v/>
      </c>
      <c r="S931" s="9" t="str">
        <f ca="1">IF($G931="","",INDEX(BASE_PRODUTOS!$N$2:$N$1006,$G931))</f>
        <v/>
      </c>
      <c r="T931" s="9" t="str">
        <f ca="1">IF($G931="","",INDEX(BASE_PRODUTOS!$D$2:$D$1006,$G931))</f>
        <v/>
      </c>
    </row>
    <row r="932" spans="7:20" ht="18" customHeight="1" x14ac:dyDescent="0.35">
      <c r="G932" t="str">
        <f ca="1">IFERROR(_xludf.aggregate(15,6,(ROW(BASE_PRODUTOS!$L$2:$L$1006)-ROW(BASE_PRODUTOS!$L$2)+1)/(BASE_PRODUTOS!$L$2:$L$1006&gt;0),ROWS($G$10:G932)),"")</f>
        <v/>
      </c>
      <c r="H932" s="9" t="str">
        <f ca="1">IF($G932="","",INDEX(BASE_PRODUTOS!$B$2:$B$1006,$G932))</f>
        <v/>
      </c>
      <c r="I932" s="9" t="str">
        <f ca="1">IF($G932="","",INDEX(BASE_PRODUTOS!$L$2:$L$1006,$G932))</f>
        <v/>
      </c>
      <c r="J932" s="9" t="str">
        <f ca="1">IF($G932="","",INDEX(BASE_PRODUTOS!$A$2:$A$1006,$G932))</f>
        <v/>
      </c>
      <c r="K932" s="9" t="str">
        <f ca="1">IF($G932="","",INDEX(BASE_PRODUTOS!$C$2:$C$1006,$G932))</f>
        <v/>
      </c>
      <c r="L932" s="9" t="str">
        <f ca="1">IF($G932="","",INDEX(BASE_PRODUTOS!$E$2:$E$1006,$G932))</f>
        <v/>
      </c>
      <c r="M932" s="9" t="str">
        <f ca="1">IF($G932="","",INDEX(BASE_PRODUTOS!$F$2:$F$1006,$G932))</f>
        <v/>
      </c>
      <c r="N932" s="9" t="str">
        <f ca="1">IF($G932="","",INDEX(BASE_PRODUTOS!$G$2:$G$1006,$G932))</f>
        <v/>
      </c>
      <c r="O932" s="9" t="str">
        <f ca="1">IF($G932="","",INDEX(BASE_PRODUTOS!$H$2:$H$1006,$G932))</f>
        <v/>
      </c>
      <c r="P932" s="9" t="str">
        <f ca="1">IF($G932="","",INDEX(BASE_PRODUTOS!$I$2:$I$1006,$G932))</f>
        <v/>
      </c>
      <c r="Q932" s="9" t="str">
        <f ca="1">IF($G932="","",INDEX(BASE_PRODUTOS!$J$2:$J$1006,$G932))</f>
        <v/>
      </c>
      <c r="R932" s="9" t="str">
        <f ca="1">IF($G932="","",INDEX(BASE_PRODUTOS!$M$2:$M$1006,$G932))</f>
        <v/>
      </c>
      <c r="S932" s="9" t="str">
        <f ca="1">IF($G932="","",INDEX(BASE_PRODUTOS!$N$2:$N$1006,$G932))</f>
        <v/>
      </c>
      <c r="T932" s="9" t="str">
        <f ca="1">IF($G932="","",INDEX(BASE_PRODUTOS!$D$2:$D$1006,$G932))</f>
        <v/>
      </c>
    </row>
    <row r="933" spans="7:20" ht="18" customHeight="1" x14ac:dyDescent="0.35">
      <c r="G933" t="str">
        <f ca="1">IFERROR(_xludf.aggregate(15,6,(ROW(BASE_PRODUTOS!$L$2:$L$1006)-ROW(BASE_PRODUTOS!$L$2)+1)/(BASE_PRODUTOS!$L$2:$L$1006&gt;0),ROWS($G$10:G933)),"")</f>
        <v/>
      </c>
      <c r="H933" s="9" t="str">
        <f ca="1">IF($G933="","",INDEX(BASE_PRODUTOS!$B$2:$B$1006,$G933))</f>
        <v/>
      </c>
      <c r="I933" s="9" t="str">
        <f ca="1">IF($G933="","",INDEX(BASE_PRODUTOS!$L$2:$L$1006,$G933))</f>
        <v/>
      </c>
      <c r="J933" s="9" t="str">
        <f ca="1">IF($G933="","",INDEX(BASE_PRODUTOS!$A$2:$A$1006,$G933))</f>
        <v/>
      </c>
      <c r="K933" s="9" t="str">
        <f ca="1">IF($G933="","",INDEX(BASE_PRODUTOS!$C$2:$C$1006,$G933))</f>
        <v/>
      </c>
      <c r="L933" s="9" t="str">
        <f ca="1">IF($G933="","",INDEX(BASE_PRODUTOS!$E$2:$E$1006,$G933))</f>
        <v/>
      </c>
      <c r="M933" s="9" t="str">
        <f ca="1">IF($G933="","",INDEX(BASE_PRODUTOS!$F$2:$F$1006,$G933))</f>
        <v/>
      </c>
      <c r="N933" s="9" t="str">
        <f ca="1">IF($G933="","",INDEX(BASE_PRODUTOS!$G$2:$G$1006,$G933))</f>
        <v/>
      </c>
      <c r="O933" s="9" t="str">
        <f ca="1">IF($G933="","",INDEX(BASE_PRODUTOS!$H$2:$H$1006,$G933))</f>
        <v/>
      </c>
      <c r="P933" s="9" t="str">
        <f ca="1">IF($G933="","",INDEX(BASE_PRODUTOS!$I$2:$I$1006,$G933))</f>
        <v/>
      </c>
      <c r="Q933" s="9" t="str">
        <f ca="1">IF($G933="","",INDEX(BASE_PRODUTOS!$J$2:$J$1006,$G933))</f>
        <v/>
      </c>
      <c r="R933" s="9" t="str">
        <f ca="1">IF($G933="","",INDEX(BASE_PRODUTOS!$M$2:$M$1006,$G933))</f>
        <v/>
      </c>
      <c r="S933" s="9" t="str">
        <f ca="1">IF($G933="","",INDEX(BASE_PRODUTOS!$N$2:$N$1006,$G933))</f>
        <v/>
      </c>
      <c r="T933" s="9" t="str">
        <f ca="1">IF($G933="","",INDEX(BASE_PRODUTOS!$D$2:$D$1006,$G933))</f>
        <v/>
      </c>
    </row>
    <row r="934" spans="7:20" ht="18" customHeight="1" x14ac:dyDescent="0.35">
      <c r="G934" t="str">
        <f ca="1">IFERROR(_xludf.aggregate(15,6,(ROW(BASE_PRODUTOS!$L$2:$L$1006)-ROW(BASE_PRODUTOS!$L$2)+1)/(BASE_PRODUTOS!$L$2:$L$1006&gt;0),ROWS($G$10:G934)),"")</f>
        <v/>
      </c>
      <c r="H934" s="9" t="str">
        <f ca="1">IF($G934="","",INDEX(BASE_PRODUTOS!$B$2:$B$1006,$G934))</f>
        <v/>
      </c>
      <c r="I934" s="9" t="str">
        <f ca="1">IF($G934="","",INDEX(BASE_PRODUTOS!$L$2:$L$1006,$G934))</f>
        <v/>
      </c>
      <c r="J934" s="9" t="str">
        <f ca="1">IF($G934="","",INDEX(BASE_PRODUTOS!$A$2:$A$1006,$G934))</f>
        <v/>
      </c>
      <c r="K934" s="9" t="str">
        <f ca="1">IF($G934="","",INDEX(BASE_PRODUTOS!$C$2:$C$1006,$G934))</f>
        <v/>
      </c>
      <c r="L934" s="9" t="str">
        <f ca="1">IF($G934="","",INDEX(BASE_PRODUTOS!$E$2:$E$1006,$G934))</f>
        <v/>
      </c>
      <c r="M934" s="9" t="str">
        <f ca="1">IF($G934="","",INDEX(BASE_PRODUTOS!$F$2:$F$1006,$G934))</f>
        <v/>
      </c>
      <c r="N934" s="9" t="str">
        <f ca="1">IF($G934="","",INDEX(BASE_PRODUTOS!$G$2:$G$1006,$G934))</f>
        <v/>
      </c>
      <c r="O934" s="9" t="str">
        <f ca="1">IF($G934="","",INDEX(BASE_PRODUTOS!$H$2:$H$1006,$G934))</f>
        <v/>
      </c>
      <c r="P934" s="9" t="str">
        <f ca="1">IF($G934="","",INDEX(BASE_PRODUTOS!$I$2:$I$1006,$G934))</f>
        <v/>
      </c>
      <c r="Q934" s="9" t="str">
        <f ca="1">IF($G934="","",INDEX(BASE_PRODUTOS!$J$2:$J$1006,$G934))</f>
        <v/>
      </c>
      <c r="R934" s="9" t="str">
        <f ca="1">IF($G934="","",INDEX(BASE_PRODUTOS!$M$2:$M$1006,$G934))</f>
        <v/>
      </c>
      <c r="S934" s="9" t="str">
        <f ca="1">IF($G934="","",INDEX(BASE_PRODUTOS!$N$2:$N$1006,$G934))</f>
        <v/>
      </c>
      <c r="T934" s="9" t="str">
        <f ca="1">IF($G934="","",INDEX(BASE_PRODUTOS!$D$2:$D$1006,$G934))</f>
        <v/>
      </c>
    </row>
    <row r="935" spans="7:20" ht="18" customHeight="1" x14ac:dyDescent="0.35">
      <c r="G935" t="str">
        <f ca="1">IFERROR(_xludf.aggregate(15,6,(ROW(BASE_PRODUTOS!$L$2:$L$1006)-ROW(BASE_PRODUTOS!$L$2)+1)/(BASE_PRODUTOS!$L$2:$L$1006&gt;0),ROWS($G$10:G935)),"")</f>
        <v/>
      </c>
      <c r="H935" s="9" t="str">
        <f ca="1">IF($G935="","",INDEX(BASE_PRODUTOS!$B$2:$B$1006,$G935))</f>
        <v/>
      </c>
      <c r="I935" s="9" t="str">
        <f ca="1">IF($G935="","",INDEX(BASE_PRODUTOS!$L$2:$L$1006,$G935))</f>
        <v/>
      </c>
      <c r="J935" s="9" t="str">
        <f ca="1">IF($G935="","",INDEX(BASE_PRODUTOS!$A$2:$A$1006,$G935))</f>
        <v/>
      </c>
      <c r="K935" s="9" t="str">
        <f ca="1">IF($G935="","",INDEX(BASE_PRODUTOS!$C$2:$C$1006,$G935))</f>
        <v/>
      </c>
      <c r="L935" s="9" t="str">
        <f ca="1">IF($G935="","",INDEX(BASE_PRODUTOS!$E$2:$E$1006,$G935))</f>
        <v/>
      </c>
      <c r="M935" s="9" t="str">
        <f ca="1">IF($G935="","",INDEX(BASE_PRODUTOS!$F$2:$F$1006,$G935))</f>
        <v/>
      </c>
      <c r="N935" s="9" t="str">
        <f ca="1">IF($G935="","",INDEX(BASE_PRODUTOS!$G$2:$G$1006,$G935))</f>
        <v/>
      </c>
      <c r="O935" s="9" t="str">
        <f ca="1">IF($G935="","",INDEX(BASE_PRODUTOS!$H$2:$H$1006,$G935))</f>
        <v/>
      </c>
      <c r="P935" s="9" t="str">
        <f ca="1">IF($G935="","",INDEX(BASE_PRODUTOS!$I$2:$I$1006,$G935))</f>
        <v/>
      </c>
      <c r="Q935" s="9" t="str">
        <f ca="1">IF($G935="","",INDEX(BASE_PRODUTOS!$J$2:$J$1006,$G935))</f>
        <v/>
      </c>
      <c r="R935" s="9" t="str">
        <f ca="1">IF($G935="","",INDEX(BASE_PRODUTOS!$M$2:$M$1006,$G935))</f>
        <v/>
      </c>
      <c r="S935" s="9" t="str">
        <f ca="1">IF($G935="","",INDEX(BASE_PRODUTOS!$N$2:$N$1006,$G935))</f>
        <v/>
      </c>
      <c r="T935" s="9" t="str">
        <f ca="1">IF($G935="","",INDEX(BASE_PRODUTOS!$D$2:$D$1006,$G935))</f>
        <v/>
      </c>
    </row>
    <row r="936" spans="7:20" ht="18" customHeight="1" x14ac:dyDescent="0.35">
      <c r="G936" t="str">
        <f ca="1">IFERROR(_xludf.aggregate(15,6,(ROW(BASE_PRODUTOS!$L$2:$L$1006)-ROW(BASE_PRODUTOS!$L$2)+1)/(BASE_PRODUTOS!$L$2:$L$1006&gt;0),ROWS($G$10:G936)),"")</f>
        <v/>
      </c>
      <c r="H936" s="9" t="str">
        <f ca="1">IF($G936="","",INDEX(BASE_PRODUTOS!$B$2:$B$1006,$G936))</f>
        <v/>
      </c>
      <c r="I936" s="9" t="str">
        <f ca="1">IF($G936="","",INDEX(BASE_PRODUTOS!$L$2:$L$1006,$G936))</f>
        <v/>
      </c>
      <c r="J936" s="9" t="str">
        <f ca="1">IF($G936="","",INDEX(BASE_PRODUTOS!$A$2:$A$1006,$G936))</f>
        <v/>
      </c>
      <c r="K936" s="9" t="str">
        <f ca="1">IF($G936="","",INDEX(BASE_PRODUTOS!$C$2:$C$1006,$G936))</f>
        <v/>
      </c>
      <c r="L936" s="9" t="str">
        <f ca="1">IF($G936="","",INDEX(BASE_PRODUTOS!$E$2:$E$1006,$G936))</f>
        <v/>
      </c>
      <c r="M936" s="9" t="str">
        <f ca="1">IF($G936="","",INDEX(BASE_PRODUTOS!$F$2:$F$1006,$G936))</f>
        <v/>
      </c>
      <c r="N936" s="9" t="str">
        <f ca="1">IF($G936="","",INDEX(BASE_PRODUTOS!$G$2:$G$1006,$G936))</f>
        <v/>
      </c>
      <c r="O936" s="9" t="str">
        <f ca="1">IF($G936="","",INDEX(BASE_PRODUTOS!$H$2:$H$1006,$G936))</f>
        <v/>
      </c>
      <c r="P936" s="9" t="str">
        <f ca="1">IF($G936="","",INDEX(BASE_PRODUTOS!$I$2:$I$1006,$G936))</f>
        <v/>
      </c>
      <c r="Q936" s="9" t="str">
        <f ca="1">IF($G936="","",INDEX(BASE_PRODUTOS!$J$2:$J$1006,$G936))</f>
        <v/>
      </c>
      <c r="R936" s="9" t="str">
        <f ca="1">IF($G936="","",INDEX(BASE_PRODUTOS!$M$2:$M$1006,$G936))</f>
        <v/>
      </c>
      <c r="S936" s="9" t="str">
        <f ca="1">IF($G936="","",INDEX(BASE_PRODUTOS!$N$2:$N$1006,$G936))</f>
        <v/>
      </c>
      <c r="T936" s="9" t="str">
        <f ca="1">IF($G936="","",INDEX(BASE_PRODUTOS!$D$2:$D$1006,$G936))</f>
        <v/>
      </c>
    </row>
    <row r="937" spans="7:20" ht="18" customHeight="1" x14ac:dyDescent="0.35">
      <c r="G937" t="str">
        <f ca="1">IFERROR(_xludf.aggregate(15,6,(ROW(BASE_PRODUTOS!$L$2:$L$1006)-ROW(BASE_PRODUTOS!$L$2)+1)/(BASE_PRODUTOS!$L$2:$L$1006&gt;0),ROWS($G$10:G937)),"")</f>
        <v/>
      </c>
      <c r="H937" s="9" t="str">
        <f ca="1">IF($G937="","",INDEX(BASE_PRODUTOS!$B$2:$B$1006,$G937))</f>
        <v/>
      </c>
      <c r="I937" s="9" t="str">
        <f ca="1">IF($G937="","",INDEX(BASE_PRODUTOS!$L$2:$L$1006,$G937))</f>
        <v/>
      </c>
      <c r="J937" s="9" t="str">
        <f ca="1">IF($G937="","",INDEX(BASE_PRODUTOS!$A$2:$A$1006,$G937))</f>
        <v/>
      </c>
      <c r="K937" s="9" t="str">
        <f ca="1">IF($G937="","",INDEX(BASE_PRODUTOS!$C$2:$C$1006,$G937))</f>
        <v/>
      </c>
      <c r="L937" s="9" t="str">
        <f ca="1">IF($G937="","",INDEX(BASE_PRODUTOS!$E$2:$E$1006,$G937))</f>
        <v/>
      </c>
      <c r="M937" s="9" t="str">
        <f ca="1">IF($G937="","",INDEX(BASE_PRODUTOS!$F$2:$F$1006,$G937))</f>
        <v/>
      </c>
      <c r="N937" s="9" t="str">
        <f ca="1">IF($G937="","",INDEX(BASE_PRODUTOS!$G$2:$G$1006,$G937))</f>
        <v/>
      </c>
      <c r="O937" s="9" t="str">
        <f ca="1">IF($G937="","",INDEX(BASE_PRODUTOS!$H$2:$H$1006,$G937))</f>
        <v/>
      </c>
      <c r="P937" s="9" t="str">
        <f ca="1">IF($G937="","",INDEX(BASE_PRODUTOS!$I$2:$I$1006,$G937))</f>
        <v/>
      </c>
      <c r="Q937" s="9" t="str">
        <f ca="1">IF($G937="","",INDEX(BASE_PRODUTOS!$J$2:$J$1006,$G937))</f>
        <v/>
      </c>
      <c r="R937" s="9" t="str">
        <f ca="1">IF($G937="","",INDEX(BASE_PRODUTOS!$M$2:$M$1006,$G937))</f>
        <v/>
      </c>
      <c r="S937" s="9" t="str">
        <f ca="1">IF($G937="","",INDEX(BASE_PRODUTOS!$N$2:$N$1006,$G937))</f>
        <v/>
      </c>
      <c r="T937" s="9" t="str">
        <f ca="1">IF($G937="","",INDEX(BASE_PRODUTOS!$D$2:$D$1006,$G937))</f>
        <v/>
      </c>
    </row>
    <row r="938" spans="7:20" ht="18" customHeight="1" x14ac:dyDescent="0.35">
      <c r="G938" t="str">
        <f ca="1">IFERROR(_xludf.aggregate(15,6,(ROW(BASE_PRODUTOS!$L$2:$L$1006)-ROW(BASE_PRODUTOS!$L$2)+1)/(BASE_PRODUTOS!$L$2:$L$1006&gt;0),ROWS($G$10:G938)),"")</f>
        <v/>
      </c>
      <c r="H938" s="9" t="str">
        <f ca="1">IF($G938="","",INDEX(BASE_PRODUTOS!$B$2:$B$1006,$G938))</f>
        <v/>
      </c>
      <c r="I938" s="9" t="str">
        <f ca="1">IF($G938="","",INDEX(BASE_PRODUTOS!$L$2:$L$1006,$G938))</f>
        <v/>
      </c>
      <c r="J938" s="9" t="str">
        <f ca="1">IF($G938="","",INDEX(BASE_PRODUTOS!$A$2:$A$1006,$G938))</f>
        <v/>
      </c>
      <c r="K938" s="9" t="str">
        <f ca="1">IF($G938="","",INDEX(BASE_PRODUTOS!$C$2:$C$1006,$G938))</f>
        <v/>
      </c>
      <c r="L938" s="9" t="str">
        <f ca="1">IF($G938="","",INDEX(BASE_PRODUTOS!$E$2:$E$1006,$G938))</f>
        <v/>
      </c>
      <c r="M938" s="9" t="str">
        <f ca="1">IF($G938="","",INDEX(BASE_PRODUTOS!$F$2:$F$1006,$G938))</f>
        <v/>
      </c>
      <c r="N938" s="9" t="str">
        <f ca="1">IF($G938="","",INDEX(BASE_PRODUTOS!$G$2:$G$1006,$G938))</f>
        <v/>
      </c>
      <c r="O938" s="9" t="str">
        <f ca="1">IF($G938="","",INDEX(BASE_PRODUTOS!$H$2:$H$1006,$G938))</f>
        <v/>
      </c>
      <c r="P938" s="9" t="str">
        <f ca="1">IF($G938="","",INDEX(BASE_PRODUTOS!$I$2:$I$1006,$G938))</f>
        <v/>
      </c>
      <c r="Q938" s="9" t="str">
        <f ca="1">IF($G938="","",INDEX(BASE_PRODUTOS!$J$2:$J$1006,$G938))</f>
        <v/>
      </c>
      <c r="R938" s="9" t="str">
        <f ca="1">IF($G938="","",INDEX(BASE_PRODUTOS!$M$2:$M$1006,$G938))</f>
        <v/>
      </c>
      <c r="S938" s="9" t="str">
        <f ca="1">IF($G938="","",INDEX(BASE_PRODUTOS!$N$2:$N$1006,$G938))</f>
        <v/>
      </c>
      <c r="T938" s="9" t="str">
        <f ca="1">IF($G938="","",INDEX(BASE_PRODUTOS!$D$2:$D$1006,$G938))</f>
        <v/>
      </c>
    </row>
    <row r="939" spans="7:20" ht="18" customHeight="1" x14ac:dyDescent="0.35">
      <c r="G939" t="str">
        <f ca="1">IFERROR(_xludf.aggregate(15,6,(ROW(BASE_PRODUTOS!$L$2:$L$1006)-ROW(BASE_PRODUTOS!$L$2)+1)/(BASE_PRODUTOS!$L$2:$L$1006&gt;0),ROWS($G$10:G939)),"")</f>
        <v/>
      </c>
      <c r="H939" s="9" t="str">
        <f ca="1">IF($G939="","",INDEX(BASE_PRODUTOS!$B$2:$B$1006,$G939))</f>
        <v/>
      </c>
      <c r="I939" s="9" t="str">
        <f ca="1">IF($G939="","",INDEX(BASE_PRODUTOS!$L$2:$L$1006,$G939))</f>
        <v/>
      </c>
      <c r="J939" s="9" t="str">
        <f ca="1">IF($G939="","",INDEX(BASE_PRODUTOS!$A$2:$A$1006,$G939))</f>
        <v/>
      </c>
      <c r="K939" s="9" t="str">
        <f ca="1">IF($G939="","",INDEX(BASE_PRODUTOS!$C$2:$C$1006,$G939))</f>
        <v/>
      </c>
      <c r="L939" s="9" t="str">
        <f ca="1">IF($G939="","",INDEX(BASE_PRODUTOS!$E$2:$E$1006,$G939))</f>
        <v/>
      </c>
      <c r="M939" s="9" t="str">
        <f ca="1">IF($G939="","",INDEX(BASE_PRODUTOS!$F$2:$F$1006,$G939))</f>
        <v/>
      </c>
      <c r="N939" s="9" t="str">
        <f ca="1">IF($G939="","",INDEX(BASE_PRODUTOS!$G$2:$G$1006,$G939))</f>
        <v/>
      </c>
      <c r="O939" s="9" t="str">
        <f ca="1">IF($G939="","",INDEX(BASE_PRODUTOS!$H$2:$H$1006,$G939))</f>
        <v/>
      </c>
      <c r="P939" s="9" t="str">
        <f ca="1">IF($G939="","",INDEX(BASE_PRODUTOS!$I$2:$I$1006,$G939))</f>
        <v/>
      </c>
      <c r="Q939" s="9" t="str">
        <f ca="1">IF($G939="","",INDEX(BASE_PRODUTOS!$J$2:$J$1006,$G939))</f>
        <v/>
      </c>
      <c r="R939" s="9" t="str">
        <f ca="1">IF($G939="","",INDEX(BASE_PRODUTOS!$M$2:$M$1006,$G939))</f>
        <v/>
      </c>
      <c r="S939" s="9" t="str">
        <f ca="1">IF($G939="","",INDEX(BASE_PRODUTOS!$N$2:$N$1006,$G939))</f>
        <v/>
      </c>
      <c r="T939" s="9" t="str">
        <f ca="1">IF($G939="","",INDEX(BASE_PRODUTOS!$D$2:$D$1006,$G939))</f>
        <v/>
      </c>
    </row>
    <row r="940" spans="7:20" ht="18" customHeight="1" x14ac:dyDescent="0.35">
      <c r="G940" t="str">
        <f ca="1">IFERROR(_xludf.aggregate(15,6,(ROW(BASE_PRODUTOS!$L$2:$L$1006)-ROW(BASE_PRODUTOS!$L$2)+1)/(BASE_PRODUTOS!$L$2:$L$1006&gt;0),ROWS($G$10:G940)),"")</f>
        <v/>
      </c>
      <c r="H940" s="9" t="str">
        <f ca="1">IF($G940="","",INDEX(BASE_PRODUTOS!$B$2:$B$1006,$G940))</f>
        <v/>
      </c>
      <c r="I940" s="9" t="str">
        <f ca="1">IF($G940="","",INDEX(BASE_PRODUTOS!$L$2:$L$1006,$G940))</f>
        <v/>
      </c>
      <c r="J940" s="9" t="str">
        <f ca="1">IF($G940="","",INDEX(BASE_PRODUTOS!$A$2:$A$1006,$G940))</f>
        <v/>
      </c>
      <c r="K940" s="9" t="str">
        <f ca="1">IF($G940="","",INDEX(BASE_PRODUTOS!$C$2:$C$1006,$G940))</f>
        <v/>
      </c>
      <c r="L940" s="9" t="str">
        <f ca="1">IF($G940="","",INDEX(BASE_PRODUTOS!$E$2:$E$1006,$G940))</f>
        <v/>
      </c>
      <c r="M940" s="9" t="str">
        <f ca="1">IF($G940="","",INDEX(BASE_PRODUTOS!$F$2:$F$1006,$G940))</f>
        <v/>
      </c>
      <c r="N940" s="9" t="str">
        <f ca="1">IF($G940="","",INDEX(BASE_PRODUTOS!$G$2:$G$1006,$G940))</f>
        <v/>
      </c>
      <c r="O940" s="9" t="str">
        <f ca="1">IF($G940="","",INDEX(BASE_PRODUTOS!$H$2:$H$1006,$G940))</f>
        <v/>
      </c>
      <c r="P940" s="9" t="str">
        <f ca="1">IF($G940="","",INDEX(BASE_PRODUTOS!$I$2:$I$1006,$G940))</f>
        <v/>
      </c>
      <c r="Q940" s="9" t="str">
        <f ca="1">IF($G940="","",INDEX(BASE_PRODUTOS!$J$2:$J$1006,$G940))</f>
        <v/>
      </c>
      <c r="R940" s="9" t="str">
        <f ca="1">IF($G940="","",INDEX(BASE_PRODUTOS!$M$2:$M$1006,$G940))</f>
        <v/>
      </c>
      <c r="S940" s="9" t="str">
        <f ca="1">IF($G940="","",INDEX(BASE_PRODUTOS!$N$2:$N$1006,$G940))</f>
        <v/>
      </c>
      <c r="T940" s="9" t="str">
        <f ca="1">IF($G940="","",INDEX(BASE_PRODUTOS!$D$2:$D$1006,$G940))</f>
        <v/>
      </c>
    </row>
    <row r="941" spans="7:20" ht="18" customHeight="1" x14ac:dyDescent="0.35">
      <c r="G941" t="str">
        <f ca="1">IFERROR(_xludf.aggregate(15,6,(ROW(BASE_PRODUTOS!$L$2:$L$1006)-ROW(BASE_PRODUTOS!$L$2)+1)/(BASE_PRODUTOS!$L$2:$L$1006&gt;0),ROWS($G$10:G941)),"")</f>
        <v/>
      </c>
      <c r="H941" s="9" t="str">
        <f ca="1">IF($G941="","",INDEX(BASE_PRODUTOS!$B$2:$B$1006,$G941))</f>
        <v/>
      </c>
      <c r="I941" s="9" t="str">
        <f ca="1">IF($G941="","",INDEX(BASE_PRODUTOS!$L$2:$L$1006,$G941))</f>
        <v/>
      </c>
      <c r="J941" s="9" t="str">
        <f ca="1">IF($G941="","",INDEX(BASE_PRODUTOS!$A$2:$A$1006,$G941))</f>
        <v/>
      </c>
      <c r="K941" s="9" t="str">
        <f ca="1">IF($G941="","",INDEX(BASE_PRODUTOS!$C$2:$C$1006,$G941))</f>
        <v/>
      </c>
      <c r="L941" s="9" t="str">
        <f ca="1">IF($G941="","",INDEX(BASE_PRODUTOS!$E$2:$E$1006,$G941))</f>
        <v/>
      </c>
      <c r="M941" s="9" t="str">
        <f ca="1">IF($G941="","",INDEX(BASE_PRODUTOS!$F$2:$F$1006,$G941))</f>
        <v/>
      </c>
      <c r="N941" s="9" t="str">
        <f ca="1">IF($G941="","",INDEX(BASE_PRODUTOS!$G$2:$G$1006,$G941))</f>
        <v/>
      </c>
      <c r="O941" s="9" t="str">
        <f ca="1">IF($G941="","",INDEX(BASE_PRODUTOS!$H$2:$H$1006,$G941))</f>
        <v/>
      </c>
      <c r="P941" s="9" t="str">
        <f ca="1">IF($G941="","",INDEX(BASE_PRODUTOS!$I$2:$I$1006,$G941))</f>
        <v/>
      </c>
      <c r="Q941" s="9" t="str">
        <f ca="1">IF($G941="","",INDEX(BASE_PRODUTOS!$J$2:$J$1006,$G941))</f>
        <v/>
      </c>
      <c r="R941" s="9" t="str">
        <f ca="1">IF($G941="","",INDEX(BASE_PRODUTOS!$M$2:$M$1006,$G941))</f>
        <v/>
      </c>
      <c r="S941" s="9" t="str">
        <f ca="1">IF($G941="","",INDEX(BASE_PRODUTOS!$N$2:$N$1006,$G941))</f>
        <v/>
      </c>
      <c r="T941" s="9" t="str">
        <f ca="1">IF($G941="","",INDEX(BASE_PRODUTOS!$D$2:$D$1006,$G941))</f>
        <v/>
      </c>
    </row>
    <row r="942" spans="7:20" ht="18" customHeight="1" x14ac:dyDescent="0.35">
      <c r="G942" t="str">
        <f ca="1">IFERROR(_xludf.aggregate(15,6,(ROW(BASE_PRODUTOS!$L$2:$L$1006)-ROW(BASE_PRODUTOS!$L$2)+1)/(BASE_PRODUTOS!$L$2:$L$1006&gt;0),ROWS($G$10:G942)),"")</f>
        <v/>
      </c>
      <c r="H942" s="9" t="str">
        <f ca="1">IF($G942="","",INDEX(BASE_PRODUTOS!$B$2:$B$1006,$G942))</f>
        <v/>
      </c>
      <c r="I942" s="9" t="str">
        <f ca="1">IF($G942="","",INDEX(BASE_PRODUTOS!$L$2:$L$1006,$G942))</f>
        <v/>
      </c>
      <c r="J942" s="9" t="str">
        <f ca="1">IF($G942="","",INDEX(BASE_PRODUTOS!$A$2:$A$1006,$G942))</f>
        <v/>
      </c>
      <c r="K942" s="9" t="str">
        <f ca="1">IF($G942="","",INDEX(BASE_PRODUTOS!$C$2:$C$1006,$G942))</f>
        <v/>
      </c>
      <c r="L942" s="9" t="str">
        <f ca="1">IF($G942="","",INDEX(BASE_PRODUTOS!$E$2:$E$1006,$G942))</f>
        <v/>
      </c>
      <c r="M942" s="9" t="str">
        <f ca="1">IF($G942="","",INDEX(BASE_PRODUTOS!$F$2:$F$1006,$G942))</f>
        <v/>
      </c>
      <c r="N942" s="9" t="str">
        <f ca="1">IF($G942="","",INDEX(BASE_PRODUTOS!$G$2:$G$1006,$G942))</f>
        <v/>
      </c>
      <c r="O942" s="9" t="str">
        <f ca="1">IF($G942="","",INDEX(BASE_PRODUTOS!$H$2:$H$1006,$G942))</f>
        <v/>
      </c>
      <c r="P942" s="9" t="str">
        <f ca="1">IF($G942="","",INDEX(BASE_PRODUTOS!$I$2:$I$1006,$G942))</f>
        <v/>
      </c>
      <c r="Q942" s="9" t="str">
        <f ca="1">IF($G942="","",INDEX(BASE_PRODUTOS!$J$2:$J$1006,$G942))</f>
        <v/>
      </c>
      <c r="R942" s="9" t="str">
        <f ca="1">IF($G942="","",INDEX(BASE_PRODUTOS!$M$2:$M$1006,$G942))</f>
        <v/>
      </c>
      <c r="S942" s="9" t="str">
        <f ca="1">IF($G942="","",INDEX(BASE_PRODUTOS!$N$2:$N$1006,$G942))</f>
        <v/>
      </c>
      <c r="T942" s="9" t="str">
        <f ca="1">IF($G942="","",INDEX(BASE_PRODUTOS!$D$2:$D$1006,$G942))</f>
        <v/>
      </c>
    </row>
    <row r="943" spans="7:20" ht="18" customHeight="1" x14ac:dyDescent="0.35">
      <c r="G943" t="str">
        <f ca="1">IFERROR(_xludf.aggregate(15,6,(ROW(BASE_PRODUTOS!$L$2:$L$1006)-ROW(BASE_PRODUTOS!$L$2)+1)/(BASE_PRODUTOS!$L$2:$L$1006&gt;0),ROWS($G$10:G943)),"")</f>
        <v/>
      </c>
      <c r="H943" s="9" t="str">
        <f ca="1">IF($G943="","",INDEX(BASE_PRODUTOS!$B$2:$B$1006,$G943))</f>
        <v/>
      </c>
      <c r="I943" s="9" t="str">
        <f ca="1">IF($G943="","",INDEX(BASE_PRODUTOS!$L$2:$L$1006,$G943))</f>
        <v/>
      </c>
      <c r="J943" s="9" t="str">
        <f ca="1">IF($G943="","",INDEX(BASE_PRODUTOS!$A$2:$A$1006,$G943))</f>
        <v/>
      </c>
      <c r="K943" s="9" t="str">
        <f ca="1">IF($G943="","",INDEX(BASE_PRODUTOS!$C$2:$C$1006,$G943))</f>
        <v/>
      </c>
      <c r="L943" s="9" t="str">
        <f ca="1">IF($G943="","",INDEX(BASE_PRODUTOS!$E$2:$E$1006,$G943))</f>
        <v/>
      </c>
      <c r="M943" s="9" t="str">
        <f ca="1">IF($G943="","",INDEX(BASE_PRODUTOS!$F$2:$F$1006,$G943))</f>
        <v/>
      </c>
      <c r="N943" s="9" t="str">
        <f ca="1">IF($G943="","",INDEX(BASE_PRODUTOS!$G$2:$G$1006,$G943))</f>
        <v/>
      </c>
      <c r="O943" s="9" t="str">
        <f ca="1">IF($G943="","",INDEX(BASE_PRODUTOS!$H$2:$H$1006,$G943))</f>
        <v/>
      </c>
      <c r="P943" s="9" t="str">
        <f ca="1">IF($G943="","",INDEX(BASE_PRODUTOS!$I$2:$I$1006,$G943))</f>
        <v/>
      </c>
      <c r="Q943" s="9" t="str">
        <f ca="1">IF($G943="","",INDEX(BASE_PRODUTOS!$J$2:$J$1006,$G943))</f>
        <v/>
      </c>
      <c r="R943" s="9" t="str">
        <f ca="1">IF($G943="","",INDEX(BASE_PRODUTOS!$M$2:$M$1006,$G943))</f>
        <v/>
      </c>
      <c r="S943" s="9" t="str">
        <f ca="1">IF($G943="","",INDEX(BASE_PRODUTOS!$N$2:$N$1006,$G943))</f>
        <v/>
      </c>
      <c r="T943" s="9" t="str">
        <f ca="1">IF($G943="","",INDEX(BASE_PRODUTOS!$D$2:$D$1006,$G943))</f>
        <v/>
      </c>
    </row>
    <row r="944" spans="7:20" ht="18" customHeight="1" x14ac:dyDescent="0.35">
      <c r="G944" t="str">
        <f ca="1">IFERROR(_xludf.aggregate(15,6,(ROW(BASE_PRODUTOS!$L$2:$L$1006)-ROW(BASE_PRODUTOS!$L$2)+1)/(BASE_PRODUTOS!$L$2:$L$1006&gt;0),ROWS($G$10:G944)),"")</f>
        <v/>
      </c>
      <c r="H944" s="9" t="str">
        <f ca="1">IF($G944="","",INDEX(BASE_PRODUTOS!$B$2:$B$1006,$G944))</f>
        <v/>
      </c>
      <c r="I944" s="9" t="str">
        <f ca="1">IF($G944="","",INDEX(BASE_PRODUTOS!$L$2:$L$1006,$G944))</f>
        <v/>
      </c>
      <c r="J944" s="9" t="str">
        <f ca="1">IF($G944="","",INDEX(BASE_PRODUTOS!$A$2:$A$1006,$G944))</f>
        <v/>
      </c>
      <c r="K944" s="9" t="str">
        <f ca="1">IF($G944="","",INDEX(BASE_PRODUTOS!$C$2:$C$1006,$G944))</f>
        <v/>
      </c>
      <c r="L944" s="9" t="str">
        <f ca="1">IF($G944="","",INDEX(BASE_PRODUTOS!$E$2:$E$1006,$G944))</f>
        <v/>
      </c>
      <c r="M944" s="9" t="str">
        <f ca="1">IF($G944="","",INDEX(BASE_PRODUTOS!$F$2:$F$1006,$G944))</f>
        <v/>
      </c>
      <c r="N944" s="9" t="str">
        <f ca="1">IF($G944="","",INDEX(BASE_PRODUTOS!$G$2:$G$1006,$G944))</f>
        <v/>
      </c>
      <c r="O944" s="9" t="str">
        <f ca="1">IF($G944="","",INDEX(BASE_PRODUTOS!$H$2:$H$1006,$G944))</f>
        <v/>
      </c>
      <c r="P944" s="9" t="str">
        <f ca="1">IF($G944="","",INDEX(BASE_PRODUTOS!$I$2:$I$1006,$G944))</f>
        <v/>
      </c>
      <c r="Q944" s="9" t="str">
        <f ca="1">IF($G944="","",INDEX(BASE_PRODUTOS!$J$2:$J$1006,$G944))</f>
        <v/>
      </c>
      <c r="R944" s="9" t="str">
        <f ca="1">IF($G944="","",INDEX(BASE_PRODUTOS!$M$2:$M$1006,$G944))</f>
        <v/>
      </c>
      <c r="S944" s="9" t="str">
        <f ca="1">IF($G944="","",INDEX(BASE_PRODUTOS!$N$2:$N$1006,$G944))</f>
        <v/>
      </c>
      <c r="T944" s="9" t="str">
        <f ca="1">IF($G944="","",INDEX(BASE_PRODUTOS!$D$2:$D$1006,$G944))</f>
        <v/>
      </c>
    </row>
    <row r="945" spans="7:20" ht="18" customHeight="1" x14ac:dyDescent="0.35">
      <c r="G945" t="str">
        <f ca="1">IFERROR(_xludf.aggregate(15,6,(ROW(BASE_PRODUTOS!$L$2:$L$1006)-ROW(BASE_PRODUTOS!$L$2)+1)/(BASE_PRODUTOS!$L$2:$L$1006&gt;0),ROWS($G$10:G945)),"")</f>
        <v/>
      </c>
      <c r="H945" s="9" t="str">
        <f ca="1">IF($G945="","",INDEX(BASE_PRODUTOS!$B$2:$B$1006,$G945))</f>
        <v/>
      </c>
      <c r="I945" s="9" t="str">
        <f ca="1">IF($G945="","",INDEX(BASE_PRODUTOS!$L$2:$L$1006,$G945))</f>
        <v/>
      </c>
      <c r="J945" s="9" t="str">
        <f ca="1">IF($G945="","",INDEX(BASE_PRODUTOS!$A$2:$A$1006,$G945))</f>
        <v/>
      </c>
      <c r="K945" s="9" t="str">
        <f ca="1">IF($G945="","",INDEX(BASE_PRODUTOS!$C$2:$C$1006,$G945))</f>
        <v/>
      </c>
      <c r="L945" s="9" t="str">
        <f ca="1">IF($G945="","",INDEX(BASE_PRODUTOS!$E$2:$E$1006,$G945))</f>
        <v/>
      </c>
      <c r="M945" s="9" t="str">
        <f ca="1">IF($G945="","",INDEX(BASE_PRODUTOS!$F$2:$F$1006,$G945))</f>
        <v/>
      </c>
      <c r="N945" s="9" t="str">
        <f ca="1">IF($G945="","",INDEX(BASE_PRODUTOS!$G$2:$G$1006,$G945))</f>
        <v/>
      </c>
      <c r="O945" s="9" t="str">
        <f ca="1">IF($G945="","",INDEX(BASE_PRODUTOS!$H$2:$H$1006,$G945))</f>
        <v/>
      </c>
      <c r="P945" s="9" t="str">
        <f ca="1">IF($G945="","",INDEX(BASE_PRODUTOS!$I$2:$I$1006,$G945))</f>
        <v/>
      </c>
      <c r="Q945" s="9" t="str">
        <f ca="1">IF($G945="","",INDEX(BASE_PRODUTOS!$J$2:$J$1006,$G945))</f>
        <v/>
      </c>
      <c r="R945" s="9" t="str">
        <f ca="1">IF($G945="","",INDEX(BASE_PRODUTOS!$M$2:$M$1006,$G945))</f>
        <v/>
      </c>
      <c r="S945" s="9" t="str">
        <f ca="1">IF($G945="","",INDEX(BASE_PRODUTOS!$N$2:$N$1006,$G945))</f>
        <v/>
      </c>
      <c r="T945" s="9" t="str">
        <f ca="1">IF($G945="","",INDEX(BASE_PRODUTOS!$D$2:$D$1006,$G945))</f>
        <v/>
      </c>
    </row>
    <row r="946" spans="7:20" ht="18" customHeight="1" x14ac:dyDescent="0.35">
      <c r="G946" t="str">
        <f ca="1">IFERROR(_xludf.aggregate(15,6,(ROW(BASE_PRODUTOS!$L$2:$L$1006)-ROW(BASE_PRODUTOS!$L$2)+1)/(BASE_PRODUTOS!$L$2:$L$1006&gt;0),ROWS($G$10:G946)),"")</f>
        <v/>
      </c>
      <c r="H946" s="9" t="str">
        <f ca="1">IF($G946="","",INDEX(BASE_PRODUTOS!$B$2:$B$1006,$G946))</f>
        <v/>
      </c>
      <c r="I946" s="9" t="str">
        <f ca="1">IF($G946="","",INDEX(BASE_PRODUTOS!$L$2:$L$1006,$G946))</f>
        <v/>
      </c>
      <c r="J946" s="9" t="str">
        <f ca="1">IF($G946="","",INDEX(BASE_PRODUTOS!$A$2:$A$1006,$G946))</f>
        <v/>
      </c>
      <c r="K946" s="9" t="str">
        <f ca="1">IF($G946="","",INDEX(BASE_PRODUTOS!$C$2:$C$1006,$G946))</f>
        <v/>
      </c>
      <c r="L946" s="9" t="str">
        <f ca="1">IF($G946="","",INDEX(BASE_PRODUTOS!$E$2:$E$1006,$G946))</f>
        <v/>
      </c>
      <c r="M946" s="9" t="str">
        <f ca="1">IF($G946="","",INDEX(BASE_PRODUTOS!$F$2:$F$1006,$G946))</f>
        <v/>
      </c>
      <c r="N946" s="9" t="str">
        <f ca="1">IF($G946="","",INDEX(BASE_PRODUTOS!$G$2:$G$1006,$G946))</f>
        <v/>
      </c>
      <c r="O946" s="9" t="str">
        <f ca="1">IF($G946="","",INDEX(BASE_PRODUTOS!$H$2:$H$1006,$G946))</f>
        <v/>
      </c>
      <c r="P946" s="9" t="str">
        <f ca="1">IF($G946="","",INDEX(BASE_PRODUTOS!$I$2:$I$1006,$G946))</f>
        <v/>
      </c>
      <c r="Q946" s="9" t="str">
        <f ca="1">IF($G946="","",INDEX(BASE_PRODUTOS!$J$2:$J$1006,$G946))</f>
        <v/>
      </c>
      <c r="R946" s="9" t="str">
        <f ca="1">IF($G946="","",INDEX(BASE_PRODUTOS!$M$2:$M$1006,$G946))</f>
        <v/>
      </c>
      <c r="S946" s="9" t="str">
        <f ca="1">IF($G946="","",INDEX(BASE_PRODUTOS!$N$2:$N$1006,$G946))</f>
        <v/>
      </c>
      <c r="T946" s="9" t="str">
        <f ca="1">IF($G946="","",INDEX(BASE_PRODUTOS!$D$2:$D$1006,$G946))</f>
        <v/>
      </c>
    </row>
    <row r="947" spans="7:20" ht="18" customHeight="1" x14ac:dyDescent="0.35">
      <c r="G947" t="str">
        <f ca="1">IFERROR(_xludf.aggregate(15,6,(ROW(BASE_PRODUTOS!$L$2:$L$1006)-ROW(BASE_PRODUTOS!$L$2)+1)/(BASE_PRODUTOS!$L$2:$L$1006&gt;0),ROWS($G$10:G947)),"")</f>
        <v/>
      </c>
      <c r="H947" s="9" t="str">
        <f ca="1">IF($G947="","",INDEX(BASE_PRODUTOS!$B$2:$B$1006,$G947))</f>
        <v/>
      </c>
      <c r="I947" s="9" t="str">
        <f ca="1">IF($G947="","",INDEX(BASE_PRODUTOS!$L$2:$L$1006,$G947))</f>
        <v/>
      </c>
      <c r="J947" s="9" t="str">
        <f ca="1">IF($G947="","",INDEX(BASE_PRODUTOS!$A$2:$A$1006,$G947))</f>
        <v/>
      </c>
      <c r="K947" s="9" t="str">
        <f ca="1">IF($G947="","",INDEX(BASE_PRODUTOS!$C$2:$C$1006,$G947))</f>
        <v/>
      </c>
      <c r="L947" s="9" t="str">
        <f ca="1">IF($G947="","",INDEX(BASE_PRODUTOS!$E$2:$E$1006,$G947))</f>
        <v/>
      </c>
      <c r="M947" s="9" t="str">
        <f ca="1">IF($G947="","",INDEX(BASE_PRODUTOS!$F$2:$F$1006,$G947))</f>
        <v/>
      </c>
      <c r="N947" s="9" t="str">
        <f ca="1">IF($G947="","",INDEX(BASE_PRODUTOS!$G$2:$G$1006,$G947))</f>
        <v/>
      </c>
      <c r="O947" s="9" t="str">
        <f ca="1">IF($G947="","",INDEX(BASE_PRODUTOS!$H$2:$H$1006,$G947))</f>
        <v/>
      </c>
      <c r="P947" s="9" t="str">
        <f ca="1">IF($G947="","",INDEX(BASE_PRODUTOS!$I$2:$I$1006,$G947))</f>
        <v/>
      </c>
      <c r="Q947" s="9" t="str">
        <f ca="1">IF($G947="","",INDEX(BASE_PRODUTOS!$J$2:$J$1006,$G947))</f>
        <v/>
      </c>
      <c r="R947" s="9" t="str">
        <f ca="1">IF($G947="","",INDEX(BASE_PRODUTOS!$M$2:$M$1006,$G947))</f>
        <v/>
      </c>
      <c r="S947" s="9" t="str">
        <f ca="1">IF($G947="","",INDEX(BASE_PRODUTOS!$N$2:$N$1006,$G947))</f>
        <v/>
      </c>
      <c r="T947" s="9" t="str">
        <f ca="1">IF($G947="","",INDEX(BASE_PRODUTOS!$D$2:$D$1006,$G947))</f>
        <v/>
      </c>
    </row>
    <row r="948" spans="7:20" ht="18" customHeight="1" x14ac:dyDescent="0.35">
      <c r="G948" t="str">
        <f ca="1">IFERROR(_xludf.aggregate(15,6,(ROW(BASE_PRODUTOS!$L$2:$L$1006)-ROW(BASE_PRODUTOS!$L$2)+1)/(BASE_PRODUTOS!$L$2:$L$1006&gt;0),ROWS($G$10:G948)),"")</f>
        <v/>
      </c>
      <c r="H948" s="9" t="str">
        <f ca="1">IF($G948="","",INDEX(BASE_PRODUTOS!$B$2:$B$1006,$G948))</f>
        <v/>
      </c>
      <c r="I948" s="9" t="str">
        <f ca="1">IF($G948="","",INDEX(BASE_PRODUTOS!$L$2:$L$1006,$G948))</f>
        <v/>
      </c>
      <c r="J948" s="9" t="str">
        <f ca="1">IF($G948="","",INDEX(BASE_PRODUTOS!$A$2:$A$1006,$G948))</f>
        <v/>
      </c>
      <c r="K948" s="9" t="str">
        <f ca="1">IF($G948="","",INDEX(BASE_PRODUTOS!$C$2:$C$1006,$G948))</f>
        <v/>
      </c>
      <c r="L948" s="9" t="str">
        <f ca="1">IF($G948="","",INDEX(BASE_PRODUTOS!$E$2:$E$1006,$G948))</f>
        <v/>
      </c>
      <c r="M948" s="9" t="str">
        <f ca="1">IF($G948="","",INDEX(BASE_PRODUTOS!$F$2:$F$1006,$G948))</f>
        <v/>
      </c>
      <c r="N948" s="9" t="str">
        <f ca="1">IF($G948="","",INDEX(BASE_PRODUTOS!$G$2:$G$1006,$G948))</f>
        <v/>
      </c>
      <c r="O948" s="9" t="str">
        <f ca="1">IF($G948="","",INDEX(BASE_PRODUTOS!$H$2:$H$1006,$G948))</f>
        <v/>
      </c>
      <c r="P948" s="9" t="str">
        <f ca="1">IF($G948="","",INDEX(BASE_PRODUTOS!$I$2:$I$1006,$G948))</f>
        <v/>
      </c>
      <c r="Q948" s="9" t="str">
        <f ca="1">IF($G948="","",INDEX(BASE_PRODUTOS!$J$2:$J$1006,$G948))</f>
        <v/>
      </c>
      <c r="R948" s="9" t="str">
        <f ca="1">IF($G948="","",INDEX(BASE_PRODUTOS!$M$2:$M$1006,$G948))</f>
        <v/>
      </c>
      <c r="S948" s="9" t="str">
        <f ca="1">IF($G948="","",INDEX(BASE_PRODUTOS!$N$2:$N$1006,$G948))</f>
        <v/>
      </c>
      <c r="T948" s="9" t="str">
        <f ca="1">IF($G948="","",INDEX(BASE_PRODUTOS!$D$2:$D$1006,$G948))</f>
        <v/>
      </c>
    </row>
    <row r="949" spans="7:20" ht="18" customHeight="1" x14ac:dyDescent="0.35">
      <c r="G949" t="str">
        <f ca="1">IFERROR(_xludf.aggregate(15,6,(ROW(BASE_PRODUTOS!$L$2:$L$1006)-ROW(BASE_PRODUTOS!$L$2)+1)/(BASE_PRODUTOS!$L$2:$L$1006&gt;0),ROWS($G$10:G949)),"")</f>
        <v/>
      </c>
      <c r="H949" s="9" t="str">
        <f ca="1">IF($G949="","",INDEX(BASE_PRODUTOS!$B$2:$B$1006,$G949))</f>
        <v/>
      </c>
      <c r="I949" s="9" t="str">
        <f ca="1">IF($G949="","",INDEX(BASE_PRODUTOS!$L$2:$L$1006,$G949))</f>
        <v/>
      </c>
      <c r="J949" s="9" t="str">
        <f ca="1">IF($G949="","",INDEX(BASE_PRODUTOS!$A$2:$A$1006,$G949))</f>
        <v/>
      </c>
      <c r="K949" s="9" t="str">
        <f ca="1">IF($G949="","",INDEX(BASE_PRODUTOS!$C$2:$C$1006,$G949))</f>
        <v/>
      </c>
      <c r="L949" s="9" t="str">
        <f ca="1">IF($G949="","",INDEX(BASE_PRODUTOS!$E$2:$E$1006,$G949))</f>
        <v/>
      </c>
      <c r="M949" s="9" t="str">
        <f ca="1">IF($G949="","",INDEX(BASE_PRODUTOS!$F$2:$F$1006,$G949))</f>
        <v/>
      </c>
      <c r="N949" s="9" t="str">
        <f ca="1">IF($G949="","",INDEX(BASE_PRODUTOS!$G$2:$G$1006,$G949))</f>
        <v/>
      </c>
      <c r="O949" s="9" t="str">
        <f ca="1">IF($G949="","",INDEX(BASE_PRODUTOS!$H$2:$H$1006,$G949))</f>
        <v/>
      </c>
      <c r="P949" s="9" t="str">
        <f ca="1">IF($G949="","",INDEX(BASE_PRODUTOS!$I$2:$I$1006,$G949))</f>
        <v/>
      </c>
      <c r="Q949" s="9" t="str">
        <f ca="1">IF($G949="","",INDEX(BASE_PRODUTOS!$J$2:$J$1006,$G949))</f>
        <v/>
      </c>
      <c r="R949" s="9" t="str">
        <f ca="1">IF($G949="","",INDEX(BASE_PRODUTOS!$M$2:$M$1006,$G949))</f>
        <v/>
      </c>
      <c r="S949" s="9" t="str">
        <f ca="1">IF($G949="","",INDEX(BASE_PRODUTOS!$N$2:$N$1006,$G949))</f>
        <v/>
      </c>
      <c r="T949" s="9" t="str">
        <f ca="1">IF($G949="","",INDEX(BASE_PRODUTOS!$D$2:$D$1006,$G949))</f>
        <v/>
      </c>
    </row>
    <row r="950" spans="7:20" ht="18" customHeight="1" x14ac:dyDescent="0.35">
      <c r="G950" t="str">
        <f ca="1">IFERROR(_xludf.aggregate(15,6,(ROW(BASE_PRODUTOS!$L$2:$L$1006)-ROW(BASE_PRODUTOS!$L$2)+1)/(BASE_PRODUTOS!$L$2:$L$1006&gt;0),ROWS($G$10:G950)),"")</f>
        <v/>
      </c>
      <c r="H950" s="9" t="str">
        <f ca="1">IF($G950="","",INDEX(BASE_PRODUTOS!$B$2:$B$1006,$G950))</f>
        <v/>
      </c>
      <c r="I950" s="9" t="str">
        <f ca="1">IF($G950="","",INDEX(BASE_PRODUTOS!$L$2:$L$1006,$G950))</f>
        <v/>
      </c>
      <c r="J950" s="9" t="str">
        <f ca="1">IF($G950="","",INDEX(BASE_PRODUTOS!$A$2:$A$1006,$G950))</f>
        <v/>
      </c>
      <c r="K950" s="9" t="str">
        <f ca="1">IF($G950="","",INDEX(BASE_PRODUTOS!$C$2:$C$1006,$G950))</f>
        <v/>
      </c>
      <c r="L950" s="9" t="str">
        <f ca="1">IF($G950="","",INDEX(BASE_PRODUTOS!$E$2:$E$1006,$G950))</f>
        <v/>
      </c>
      <c r="M950" s="9" t="str">
        <f ca="1">IF($G950="","",INDEX(BASE_PRODUTOS!$F$2:$F$1006,$G950))</f>
        <v/>
      </c>
      <c r="N950" s="9" t="str">
        <f ca="1">IF($G950="","",INDEX(BASE_PRODUTOS!$G$2:$G$1006,$G950))</f>
        <v/>
      </c>
      <c r="O950" s="9" t="str">
        <f ca="1">IF($G950="","",INDEX(BASE_PRODUTOS!$H$2:$H$1006,$G950))</f>
        <v/>
      </c>
      <c r="P950" s="9" t="str">
        <f ca="1">IF($G950="","",INDEX(BASE_PRODUTOS!$I$2:$I$1006,$G950))</f>
        <v/>
      </c>
      <c r="Q950" s="9" t="str">
        <f ca="1">IF($G950="","",INDEX(BASE_PRODUTOS!$J$2:$J$1006,$G950))</f>
        <v/>
      </c>
      <c r="R950" s="9" t="str">
        <f ca="1">IF($G950="","",INDEX(BASE_PRODUTOS!$M$2:$M$1006,$G950))</f>
        <v/>
      </c>
      <c r="S950" s="9" t="str">
        <f ca="1">IF($G950="","",INDEX(BASE_PRODUTOS!$N$2:$N$1006,$G950))</f>
        <v/>
      </c>
      <c r="T950" s="9" t="str">
        <f ca="1">IF($G950="","",INDEX(BASE_PRODUTOS!$D$2:$D$1006,$G950))</f>
        <v/>
      </c>
    </row>
    <row r="951" spans="7:20" ht="18" customHeight="1" x14ac:dyDescent="0.35">
      <c r="G951" t="str">
        <f ca="1">IFERROR(_xludf.aggregate(15,6,(ROW(BASE_PRODUTOS!$L$2:$L$1006)-ROW(BASE_PRODUTOS!$L$2)+1)/(BASE_PRODUTOS!$L$2:$L$1006&gt;0),ROWS($G$10:G951)),"")</f>
        <v/>
      </c>
      <c r="H951" s="9" t="str">
        <f ca="1">IF($G951="","",INDEX(BASE_PRODUTOS!$B$2:$B$1006,$G951))</f>
        <v/>
      </c>
      <c r="I951" s="9" t="str">
        <f ca="1">IF($G951="","",INDEX(BASE_PRODUTOS!$L$2:$L$1006,$G951))</f>
        <v/>
      </c>
      <c r="J951" s="9" t="str">
        <f ca="1">IF($G951="","",INDEX(BASE_PRODUTOS!$A$2:$A$1006,$G951))</f>
        <v/>
      </c>
      <c r="K951" s="9" t="str">
        <f ca="1">IF($G951="","",INDEX(BASE_PRODUTOS!$C$2:$C$1006,$G951))</f>
        <v/>
      </c>
      <c r="L951" s="9" t="str">
        <f ca="1">IF($G951="","",INDEX(BASE_PRODUTOS!$E$2:$E$1006,$G951))</f>
        <v/>
      </c>
      <c r="M951" s="9" t="str">
        <f ca="1">IF($G951="","",INDEX(BASE_PRODUTOS!$F$2:$F$1006,$G951))</f>
        <v/>
      </c>
      <c r="N951" s="9" t="str">
        <f ca="1">IF($G951="","",INDEX(BASE_PRODUTOS!$G$2:$G$1006,$G951))</f>
        <v/>
      </c>
      <c r="O951" s="9" t="str">
        <f ca="1">IF($G951="","",INDEX(BASE_PRODUTOS!$H$2:$H$1006,$G951))</f>
        <v/>
      </c>
      <c r="P951" s="9" t="str">
        <f ca="1">IF($G951="","",INDEX(BASE_PRODUTOS!$I$2:$I$1006,$G951))</f>
        <v/>
      </c>
      <c r="Q951" s="9" t="str">
        <f ca="1">IF($G951="","",INDEX(BASE_PRODUTOS!$J$2:$J$1006,$G951))</f>
        <v/>
      </c>
      <c r="R951" s="9" t="str">
        <f ca="1">IF($G951="","",INDEX(BASE_PRODUTOS!$M$2:$M$1006,$G951))</f>
        <v/>
      </c>
      <c r="S951" s="9" t="str">
        <f ca="1">IF($G951="","",INDEX(BASE_PRODUTOS!$N$2:$N$1006,$G951))</f>
        <v/>
      </c>
      <c r="T951" s="9" t="str">
        <f ca="1">IF($G951="","",INDEX(BASE_PRODUTOS!$D$2:$D$1006,$G951))</f>
        <v/>
      </c>
    </row>
    <row r="952" spans="7:20" ht="18" customHeight="1" x14ac:dyDescent="0.35">
      <c r="G952" t="str">
        <f ca="1">IFERROR(_xludf.aggregate(15,6,(ROW(BASE_PRODUTOS!$L$2:$L$1006)-ROW(BASE_PRODUTOS!$L$2)+1)/(BASE_PRODUTOS!$L$2:$L$1006&gt;0),ROWS($G$10:G952)),"")</f>
        <v/>
      </c>
      <c r="H952" s="9" t="str">
        <f ca="1">IF($G952="","",INDEX(BASE_PRODUTOS!$B$2:$B$1006,$G952))</f>
        <v/>
      </c>
      <c r="I952" s="9" t="str">
        <f ca="1">IF($G952="","",INDEX(BASE_PRODUTOS!$L$2:$L$1006,$G952))</f>
        <v/>
      </c>
      <c r="J952" s="9" t="str">
        <f ca="1">IF($G952="","",INDEX(BASE_PRODUTOS!$A$2:$A$1006,$G952))</f>
        <v/>
      </c>
      <c r="K952" s="9" t="str">
        <f ca="1">IF($G952="","",INDEX(BASE_PRODUTOS!$C$2:$C$1006,$G952))</f>
        <v/>
      </c>
      <c r="L952" s="9" t="str">
        <f ca="1">IF($G952="","",INDEX(BASE_PRODUTOS!$E$2:$E$1006,$G952))</f>
        <v/>
      </c>
      <c r="M952" s="9" t="str">
        <f ca="1">IF($G952="","",INDEX(BASE_PRODUTOS!$F$2:$F$1006,$G952))</f>
        <v/>
      </c>
      <c r="N952" s="9" t="str">
        <f ca="1">IF($G952="","",INDEX(BASE_PRODUTOS!$G$2:$G$1006,$G952))</f>
        <v/>
      </c>
      <c r="O952" s="9" t="str">
        <f ca="1">IF($G952="","",INDEX(BASE_PRODUTOS!$H$2:$H$1006,$G952))</f>
        <v/>
      </c>
      <c r="P952" s="9" t="str">
        <f ca="1">IF($G952="","",INDEX(BASE_PRODUTOS!$I$2:$I$1006,$G952))</f>
        <v/>
      </c>
      <c r="Q952" s="9" t="str">
        <f ca="1">IF($G952="","",INDEX(BASE_PRODUTOS!$J$2:$J$1006,$G952))</f>
        <v/>
      </c>
      <c r="R952" s="9" t="str">
        <f ca="1">IF($G952="","",INDEX(BASE_PRODUTOS!$M$2:$M$1006,$G952))</f>
        <v/>
      </c>
      <c r="S952" s="9" t="str">
        <f ca="1">IF($G952="","",INDEX(BASE_PRODUTOS!$N$2:$N$1006,$G952))</f>
        <v/>
      </c>
      <c r="T952" s="9" t="str">
        <f ca="1">IF($G952="","",INDEX(BASE_PRODUTOS!$D$2:$D$1006,$G952))</f>
        <v/>
      </c>
    </row>
    <row r="953" spans="7:20" ht="18" customHeight="1" x14ac:dyDescent="0.35">
      <c r="G953" t="str">
        <f ca="1">IFERROR(_xludf.aggregate(15,6,(ROW(BASE_PRODUTOS!$L$2:$L$1006)-ROW(BASE_PRODUTOS!$L$2)+1)/(BASE_PRODUTOS!$L$2:$L$1006&gt;0),ROWS($G$10:G953)),"")</f>
        <v/>
      </c>
      <c r="H953" s="9" t="str">
        <f ca="1">IF($G953="","",INDEX(BASE_PRODUTOS!$B$2:$B$1006,$G953))</f>
        <v/>
      </c>
      <c r="I953" s="9" t="str">
        <f ca="1">IF($G953="","",INDEX(BASE_PRODUTOS!$L$2:$L$1006,$G953))</f>
        <v/>
      </c>
      <c r="J953" s="9" t="str">
        <f ca="1">IF($G953="","",INDEX(BASE_PRODUTOS!$A$2:$A$1006,$G953))</f>
        <v/>
      </c>
      <c r="K953" s="9" t="str">
        <f ca="1">IF($G953="","",INDEX(BASE_PRODUTOS!$C$2:$C$1006,$G953))</f>
        <v/>
      </c>
      <c r="L953" s="9" t="str">
        <f ca="1">IF($G953="","",INDEX(BASE_PRODUTOS!$E$2:$E$1006,$G953))</f>
        <v/>
      </c>
      <c r="M953" s="9" t="str">
        <f ca="1">IF($G953="","",INDEX(BASE_PRODUTOS!$F$2:$F$1006,$G953))</f>
        <v/>
      </c>
      <c r="N953" s="9" t="str">
        <f ca="1">IF($G953="","",INDEX(BASE_PRODUTOS!$G$2:$G$1006,$G953))</f>
        <v/>
      </c>
      <c r="O953" s="9" t="str">
        <f ca="1">IF($G953="","",INDEX(BASE_PRODUTOS!$H$2:$H$1006,$G953))</f>
        <v/>
      </c>
      <c r="P953" s="9" t="str">
        <f ca="1">IF($G953="","",INDEX(BASE_PRODUTOS!$I$2:$I$1006,$G953))</f>
        <v/>
      </c>
      <c r="Q953" s="9" t="str">
        <f ca="1">IF($G953="","",INDEX(BASE_PRODUTOS!$J$2:$J$1006,$G953))</f>
        <v/>
      </c>
      <c r="R953" s="9" t="str">
        <f ca="1">IF($G953="","",INDEX(BASE_PRODUTOS!$M$2:$M$1006,$G953))</f>
        <v/>
      </c>
      <c r="S953" s="9" t="str">
        <f ca="1">IF($G953="","",INDEX(BASE_PRODUTOS!$N$2:$N$1006,$G953))</f>
        <v/>
      </c>
      <c r="T953" s="9" t="str">
        <f ca="1">IF($G953="","",INDEX(BASE_PRODUTOS!$D$2:$D$1006,$G953))</f>
        <v/>
      </c>
    </row>
    <row r="954" spans="7:20" ht="18" customHeight="1" x14ac:dyDescent="0.35">
      <c r="G954" t="str">
        <f ca="1">IFERROR(_xludf.aggregate(15,6,(ROW(BASE_PRODUTOS!$L$2:$L$1006)-ROW(BASE_PRODUTOS!$L$2)+1)/(BASE_PRODUTOS!$L$2:$L$1006&gt;0),ROWS($G$10:G954)),"")</f>
        <v/>
      </c>
      <c r="H954" s="9" t="str">
        <f ca="1">IF($G954="","",INDEX(BASE_PRODUTOS!$B$2:$B$1006,$G954))</f>
        <v/>
      </c>
      <c r="I954" s="9" t="str">
        <f ca="1">IF($G954="","",INDEX(BASE_PRODUTOS!$L$2:$L$1006,$G954))</f>
        <v/>
      </c>
      <c r="J954" s="9" t="str">
        <f ca="1">IF($G954="","",INDEX(BASE_PRODUTOS!$A$2:$A$1006,$G954))</f>
        <v/>
      </c>
      <c r="K954" s="9" t="str">
        <f ca="1">IF($G954="","",INDEX(BASE_PRODUTOS!$C$2:$C$1006,$G954))</f>
        <v/>
      </c>
      <c r="L954" s="9" t="str">
        <f ca="1">IF($G954="","",INDEX(BASE_PRODUTOS!$E$2:$E$1006,$G954))</f>
        <v/>
      </c>
      <c r="M954" s="9" t="str">
        <f ca="1">IF($G954="","",INDEX(BASE_PRODUTOS!$F$2:$F$1006,$G954))</f>
        <v/>
      </c>
      <c r="N954" s="9" t="str">
        <f ca="1">IF($G954="","",INDEX(BASE_PRODUTOS!$G$2:$G$1006,$G954))</f>
        <v/>
      </c>
      <c r="O954" s="9" t="str">
        <f ca="1">IF($G954="","",INDEX(BASE_PRODUTOS!$H$2:$H$1006,$G954))</f>
        <v/>
      </c>
      <c r="P954" s="9" t="str">
        <f ca="1">IF($G954="","",INDEX(BASE_PRODUTOS!$I$2:$I$1006,$G954))</f>
        <v/>
      </c>
      <c r="Q954" s="9" t="str">
        <f ca="1">IF($G954="","",INDEX(BASE_PRODUTOS!$J$2:$J$1006,$G954))</f>
        <v/>
      </c>
      <c r="R954" s="9" t="str">
        <f ca="1">IF($G954="","",INDEX(BASE_PRODUTOS!$M$2:$M$1006,$G954))</f>
        <v/>
      </c>
      <c r="S954" s="9" t="str">
        <f ca="1">IF($G954="","",INDEX(BASE_PRODUTOS!$N$2:$N$1006,$G954))</f>
        <v/>
      </c>
      <c r="T954" s="9" t="str">
        <f ca="1">IF($G954="","",INDEX(BASE_PRODUTOS!$D$2:$D$1006,$G954))</f>
        <v/>
      </c>
    </row>
    <row r="955" spans="7:20" ht="18" customHeight="1" x14ac:dyDescent="0.35">
      <c r="G955" t="str">
        <f ca="1">IFERROR(_xludf.aggregate(15,6,(ROW(BASE_PRODUTOS!$L$2:$L$1006)-ROW(BASE_PRODUTOS!$L$2)+1)/(BASE_PRODUTOS!$L$2:$L$1006&gt;0),ROWS($G$10:G955)),"")</f>
        <v/>
      </c>
      <c r="H955" s="9" t="str">
        <f ca="1">IF($G955="","",INDEX(BASE_PRODUTOS!$B$2:$B$1006,$G955))</f>
        <v/>
      </c>
      <c r="I955" s="9" t="str">
        <f ca="1">IF($G955="","",INDEX(BASE_PRODUTOS!$L$2:$L$1006,$G955))</f>
        <v/>
      </c>
      <c r="J955" s="9" t="str">
        <f ca="1">IF($G955="","",INDEX(BASE_PRODUTOS!$A$2:$A$1006,$G955))</f>
        <v/>
      </c>
      <c r="K955" s="9" t="str">
        <f ca="1">IF($G955="","",INDEX(BASE_PRODUTOS!$C$2:$C$1006,$G955))</f>
        <v/>
      </c>
      <c r="L955" s="9" t="str">
        <f ca="1">IF($G955="","",INDEX(BASE_PRODUTOS!$E$2:$E$1006,$G955))</f>
        <v/>
      </c>
      <c r="M955" s="9" t="str">
        <f ca="1">IF($G955="","",INDEX(BASE_PRODUTOS!$F$2:$F$1006,$G955))</f>
        <v/>
      </c>
      <c r="N955" s="9" t="str">
        <f ca="1">IF($G955="","",INDEX(BASE_PRODUTOS!$G$2:$G$1006,$G955))</f>
        <v/>
      </c>
      <c r="O955" s="9" t="str">
        <f ca="1">IF($G955="","",INDEX(BASE_PRODUTOS!$H$2:$H$1006,$G955))</f>
        <v/>
      </c>
      <c r="P955" s="9" t="str">
        <f ca="1">IF($G955="","",INDEX(BASE_PRODUTOS!$I$2:$I$1006,$G955))</f>
        <v/>
      </c>
      <c r="Q955" s="9" t="str">
        <f ca="1">IF($G955="","",INDEX(BASE_PRODUTOS!$J$2:$J$1006,$G955))</f>
        <v/>
      </c>
      <c r="R955" s="9" t="str">
        <f ca="1">IF($G955="","",INDEX(BASE_PRODUTOS!$M$2:$M$1006,$G955))</f>
        <v/>
      </c>
      <c r="S955" s="9" t="str">
        <f ca="1">IF($G955="","",INDEX(BASE_PRODUTOS!$N$2:$N$1006,$G955))</f>
        <v/>
      </c>
      <c r="T955" s="9" t="str">
        <f ca="1">IF($G955="","",INDEX(BASE_PRODUTOS!$D$2:$D$1006,$G955))</f>
        <v/>
      </c>
    </row>
    <row r="956" spans="7:20" ht="18" customHeight="1" x14ac:dyDescent="0.35">
      <c r="G956" t="str">
        <f ca="1">IFERROR(_xludf.aggregate(15,6,(ROW(BASE_PRODUTOS!$L$2:$L$1006)-ROW(BASE_PRODUTOS!$L$2)+1)/(BASE_PRODUTOS!$L$2:$L$1006&gt;0),ROWS($G$10:G956)),"")</f>
        <v/>
      </c>
      <c r="H956" s="9" t="str">
        <f ca="1">IF($G956="","",INDEX(BASE_PRODUTOS!$B$2:$B$1006,$G956))</f>
        <v/>
      </c>
      <c r="I956" s="9" t="str">
        <f ca="1">IF($G956="","",INDEX(BASE_PRODUTOS!$L$2:$L$1006,$G956))</f>
        <v/>
      </c>
      <c r="J956" s="9" t="str">
        <f ca="1">IF($G956="","",INDEX(BASE_PRODUTOS!$A$2:$A$1006,$G956))</f>
        <v/>
      </c>
      <c r="K956" s="9" t="str">
        <f ca="1">IF($G956="","",INDEX(BASE_PRODUTOS!$C$2:$C$1006,$G956))</f>
        <v/>
      </c>
      <c r="L956" s="9" t="str">
        <f ca="1">IF($G956="","",INDEX(BASE_PRODUTOS!$E$2:$E$1006,$G956))</f>
        <v/>
      </c>
      <c r="M956" s="9" t="str">
        <f ca="1">IF($G956="","",INDEX(BASE_PRODUTOS!$F$2:$F$1006,$G956))</f>
        <v/>
      </c>
      <c r="N956" s="9" t="str">
        <f ca="1">IF($G956="","",INDEX(BASE_PRODUTOS!$G$2:$G$1006,$G956))</f>
        <v/>
      </c>
      <c r="O956" s="9" t="str">
        <f ca="1">IF($G956="","",INDEX(BASE_PRODUTOS!$H$2:$H$1006,$G956))</f>
        <v/>
      </c>
      <c r="P956" s="9" t="str">
        <f ca="1">IF($G956="","",INDEX(BASE_PRODUTOS!$I$2:$I$1006,$G956))</f>
        <v/>
      </c>
      <c r="Q956" s="9" t="str">
        <f ca="1">IF($G956="","",INDEX(BASE_PRODUTOS!$J$2:$J$1006,$G956))</f>
        <v/>
      </c>
      <c r="R956" s="9" t="str">
        <f ca="1">IF($G956="","",INDEX(BASE_PRODUTOS!$M$2:$M$1006,$G956))</f>
        <v/>
      </c>
      <c r="S956" s="9" t="str">
        <f ca="1">IF($G956="","",INDEX(BASE_PRODUTOS!$N$2:$N$1006,$G956))</f>
        <v/>
      </c>
      <c r="T956" s="9" t="str">
        <f ca="1">IF($G956="","",INDEX(BASE_PRODUTOS!$D$2:$D$1006,$G956))</f>
        <v/>
      </c>
    </row>
    <row r="957" spans="7:20" ht="18" customHeight="1" x14ac:dyDescent="0.35">
      <c r="G957" t="str">
        <f ca="1">IFERROR(_xludf.aggregate(15,6,(ROW(BASE_PRODUTOS!$L$2:$L$1006)-ROW(BASE_PRODUTOS!$L$2)+1)/(BASE_PRODUTOS!$L$2:$L$1006&gt;0),ROWS($G$10:G957)),"")</f>
        <v/>
      </c>
      <c r="H957" s="9" t="str">
        <f ca="1">IF($G957="","",INDEX(BASE_PRODUTOS!$B$2:$B$1006,$G957))</f>
        <v/>
      </c>
      <c r="I957" s="9" t="str">
        <f ca="1">IF($G957="","",INDEX(BASE_PRODUTOS!$L$2:$L$1006,$G957))</f>
        <v/>
      </c>
      <c r="J957" s="9" t="str">
        <f ca="1">IF($G957="","",INDEX(BASE_PRODUTOS!$A$2:$A$1006,$G957))</f>
        <v/>
      </c>
      <c r="K957" s="9" t="str">
        <f ca="1">IF($G957="","",INDEX(BASE_PRODUTOS!$C$2:$C$1006,$G957))</f>
        <v/>
      </c>
      <c r="L957" s="9" t="str">
        <f ca="1">IF($G957="","",INDEX(BASE_PRODUTOS!$E$2:$E$1006,$G957))</f>
        <v/>
      </c>
      <c r="M957" s="9" t="str">
        <f ca="1">IF($G957="","",INDEX(BASE_PRODUTOS!$F$2:$F$1006,$G957))</f>
        <v/>
      </c>
      <c r="N957" s="9" t="str">
        <f ca="1">IF($G957="","",INDEX(BASE_PRODUTOS!$G$2:$G$1006,$G957))</f>
        <v/>
      </c>
      <c r="O957" s="9" t="str">
        <f ca="1">IF($G957="","",INDEX(BASE_PRODUTOS!$H$2:$H$1006,$G957))</f>
        <v/>
      </c>
      <c r="P957" s="9" t="str">
        <f ca="1">IF($G957="","",INDEX(BASE_PRODUTOS!$I$2:$I$1006,$G957))</f>
        <v/>
      </c>
      <c r="Q957" s="9" t="str">
        <f ca="1">IF($G957="","",INDEX(BASE_PRODUTOS!$J$2:$J$1006,$G957))</f>
        <v/>
      </c>
      <c r="R957" s="9" t="str">
        <f ca="1">IF($G957="","",INDEX(BASE_PRODUTOS!$M$2:$M$1006,$G957))</f>
        <v/>
      </c>
      <c r="S957" s="9" t="str">
        <f ca="1">IF($G957="","",INDEX(BASE_PRODUTOS!$N$2:$N$1006,$G957))</f>
        <v/>
      </c>
      <c r="T957" s="9" t="str">
        <f ca="1">IF($G957="","",INDEX(BASE_PRODUTOS!$D$2:$D$1006,$G957))</f>
        <v/>
      </c>
    </row>
    <row r="958" spans="7:20" ht="18" customHeight="1" x14ac:dyDescent="0.35">
      <c r="G958" t="str">
        <f ca="1">IFERROR(_xludf.aggregate(15,6,(ROW(BASE_PRODUTOS!$L$2:$L$1006)-ROW(BASE_PRODUTOS!$L$2)+1)/(BASE_PRODUTOS!$L$2:$L$1006&gt;0),ROWS($G$10:G958)),"")</f>
        <v/>
      </c>
      <c r="H958" s="9" t="str">
        <f ca="1">IF($G958="","",INDEX(BASE_PRODUTOS!$B$2:$B$1006,$G958))</f>
        <v/>
      </c>
      <c r="I958" s="9" t="str">
        <f ca="1">IF($G958="","",INDEX(BASE_PRODUTOS!$L$2:$L$1006,$G958))</f>
        <v/>
      </c>
      <c r="J958" s="9" t="str">
        <f ca="1">IF($G958="","",INDEX(BASE_PRODUTOS!$A$2:$A$1006,$G958))</f>
        <v/>
      </c>
      <c r="K958" s="9" t="str">
        <f ca="1">IF($G958="","",INDEX(BASE_PRODUTOS!$C$2:$C$1006,$G958))</f>
        <v/>
      </c>
      <c r="L958" s="9" t="str">
        <f ca="1">IF($G958="","",INDEX(BASE_PRODUTOS!$E$2:$E$1006,$G958))</f>
        <v/>
      </c>
      <c r="M958" s="9" t="str">
        <f ca="1">IF($G958="","",INDEX(BASE_PRODUTOS!$F$2:$F$1006,$G958))</f>
        <v/>
      </c>
      <c r="N958" s="9" t="str">
        <f ca="1">IF($G958="","",INDEX(BASE_PRODUTOS!$G$2:$G$1006,$G958))</f>
        <v/>
      </c>
      <c r="O958" s="9" t="str">
        <f ca="1">IF($G958="","",INDEX(BASE_PRODUTOS!$H$2:$H$1006,$G958))</f>
        <v/>
      </c>
      <c r="P958" s="9" t="str">
        <f ca="1">IF($G958="","",INDEX(BASE_PRODUTOS!$I$2:$I$1006,$G958))</f>
        <v/>
      </c>
      <c r="Q958" s="9" t="str">
        <f ca="1">IF($G958="","",INDEX(BASE_PRODUTOS!$J$2:$J$1006,$G958))</f>
        <v/>
      </c>
      <c r="R958" s="9" t="str">
        <f ca="1">IF($G958="","",INDEX(BASE_PRODUTOS!$M$2:$M$1006,$G958))</f>
        <v/>
      </c>
      <c r="S958" s="9" t="str">
        <f ca="1">IF($G958="","",INDEX(BASE_PRODUTOS!$N$2:$N$1006,$G958))</f>
        <v/>
      </c>
      <c r="T958" s="9" t="str">
        <f ca="1">IF($G958="","",INDEX(BASE_PRODUTOS!$D$2:$D$1006,$G958))</f>
        <v/>
      </c>
    </row>
    <row r="959" spans="7:20" ht="18" customHeight="1" x14ac:dyDescent="0.35">
      <c r="G959" t="str">
        <f ca="1">IFERROR(_xludf.aggregate(15,6,(ROW(BASE_PRODUTOS!$L$2:$L$1006)-ROW(BASE_PRODUTOS!$L$2)+1)/(BASE_PRODUTOS!$L$2:$L$1006&gt;0),ROWS($G$10:G959)),"")</f>
        <v/>
      </c>
      <c r="H959" s="9" t="str">
        <f ca="1">IF($G959="","",INDEX(BASE_PRODUTOS!$B$2:$B$1006,$G959))</f>
        <v/>
      </c>
      <c r="I959" s="9" t="str">
        <f ca="1">IF($G959="","",INDEX(BASE_PRODUTOS!$L$2:$L$1006,$G959))</f>
        <v/>
      </c>
      <c r="J959" s="9" t="str">
        <f ca="1">IF($G959="","",INDEX(BASE_PRODUTOS!$A$2:$A$1006,$G959))</f>
        <v/>
      </c>
      <c r="K959" s="9" t="str">
        <f ca="1">IF($G959="","",INDEX(BASE_PRODUTOS!$C$2:$C$1006,$G959))</f>
        <v/>
      </c>
      <c r="L959" s="9" t="str">
        <f ca="1">IF($G959="","",INDEX(BASE_PRODUTOS!$E$2:$E$1006,$G959))</f>
        <v/>
      </c>
      <c r="M959" s="9" t="str">
        <f ca="1">IF($G959="","",INDEX(BASE_PRODUTOS!$F$2:$F$1006,$G959))</f>
        <v/>
      </c>
      <c r="N959" s="9" t="str">
        <f ca="1">IF($G959="","",INDEX(BASE_PRODUTOS!$G$2:$G$1006,$G959))</f>
        <v/>
      </c>
      <c r="O959" s="9" t="str">
        <f ca="1">IF($G959="","",INDEX(BASE_PRODUTOS!$H$2:$H$1006,$G959))</f>
        <v/>
      </c>
      <c r="P959" s="9" t="str">
        <f ca="1">IF($G959="","",INDEX(BASE_PRODUTOS!$I$2:$I$1006,$G959))</f>
        <v/>
      </c>
      <c r="Q959" s="9" t="str">
        <f ca="1">IF($G959="","",INDEX(BASE_PRODUTOS!$J$2:$J$1006,$G959))</f>
        <v/>
      </c>
      <c r="R959" s="9" t="str">
        <f ca="1">IF($G959="","",INDEX(BASE_PRODUTOS!$M$2:$M$1006,$G959))</f>
        <v/>
      </c>
      <c r="S959" s="9" t="str">
        <f ca="1">IF($G959="","",INDEX(BASE_PRODUTOS!$N$2:$N$1006,$G959))</f>
        <v/>
      </c>
      <c r="T959" s="9" t="str">
        <f ca="1">IF($G959="","",INDEX(BASE_PRODUTOS!$D$2:$D$1006,$G959))</f>
        <v/>
      </c>
    </row>
    <row r="960" spans="7:20" ht="18" customHeight="1" x14ac:dyDescent="0.35">
      <c r="G960" t="str">
        <f ca="1">IFERROR(_xludf.aggregate(15,6,(ROW(BASE_PRODUTOS!$L$2:$L$1006)-ROW(BASE_PRODUTOS!$L$2)+1)/(BASE_PRODUTOS!$L$2:$L$1006&gt;0),ROWS($G$10:G960)),"")</f>
        <v/>
      </c>
      <c r="H960" s="9" t="str">
        <f ca="1">IF($G960="","",INDEX(BASE_PRODUTOS!$B$2:$B$1006,$G960))</f>
        <v/>
      </c>
      <c r="I960" s="9" t="str">
        <f ca="1">IF($G960="","",INDEX(BASE_PRODUTOS!$L$2:$L$1006,$G960))</f>
        <v/>
      </c>
      <c r="J960" s="9" t="str">
        <f ca="1">IF($G960="","",INDEX(BASE_PRODUTOS!$A$2:$A$1006,$G960))</f>
        <v/>
      </c>
      <c r="K960" s="9" t="str">
        <f ca="1">IF($G960="","",INDEX(BASE_PRODUTOS!$C$2:$C$1006,$G960))</f>
        <v/>
      </c>
      <c r="L960" s="9" t="str">
        <f ca="1">IF($G960="","",INDEX(BASE_PRODUTOS!$E$2:$E$1006,$G960))</f>
        <v/>
      </c>
      <c r="M960" s="9" t="str">
        <f ca="1">IF($G960="","",INDEX(BASE_PRODUTOS!$F$2:$F$1006,$G960))</f>
        <v/>
      </c>
      <c r="N960" s="9" t="str">
        <f ca="1">IF($G960="","",INDEX(BASE_PRODUTOS!$G$2:$G$1006,$G960))</f>
        <v/>
      </c>
      <c r="O960" s="9" t="str">
        <f ca="1">IF($G960="","",INDEX(BASE_PRODUTOS!$H$2:$H$1006,$G960))</f>
        <v/>
      </c>
      <c r="P960" s="9" t="str">
        <f ca="1">IF($G960="","",INDEX(BASE_PRODUTOS!$I$2:$I$1006,$G960))</f>
        <v/>
      </c>
      <c r="Q960" s="9" t="str">
        <f ca="1">IF($G960="","",INDEX(BASE_PRODUTOS!$J$2:$J$1006,$G960))</f>
        <v/>
      </c>
      <c r="R960" s="9" t="str">
        <f ca="1">IF($G960="","",INDEX(BASE_PRODUTOS!$M$2:$M$1006,$G960))</f>
        <v/>
      </c>
      <c r="S960" s="9" t="str">
        <f ca="1">IF($G960="","",INDEX(BASE_PRODUTOS!$N$2:$N$1006,$G960))</f>
        <v/>
      </c>
      <c r="T960" s="9" t="str">
        <f ca="1">IF($G960="","",INDEX(BASE_PRODUTOS!$D$2:$D$1006,$G960))</f>
        <v/>
      </c>
    </row>
    <row r="961" spans="7:20" ht="18" customHeight="1" x14ac:dyDescent="0.35">
      <c r="G961" t="str">
        <f ca="1">IFERROR(_xludf.aggregate(15,6,(ROW(BASE_PRODUTOS!$L$2:$L$1006)-ROW(BASE_PRODUTOS!$L$2)+1)/(BASE_PRODUTOS!$L$2:$L$1006&gt;0),ROWS($G$10:G961)),"")</f>
        <v/>
      </c>
      <c r="H961" s="9" t="str">
        <f ca="1">IF($G961="","",INDEX(BASE_PRODUTOS!$B$2:$B$1006,$G961))</f>
        <v/>
      </c>
      <c r="I961" s="9" t="str">
        <f ca="1">IF($G961="","",INDEX(BASE_PRODUTOS!$L$2:$L$1006,$G961))</f>
        <v/>
      </c>
      <c r="J961" s="9" t="str">
        <f ca="1">IF($G961="","",INDEX(BASE_PRODUTOS!$A$2:$A$1006,$G961))</f>
        <v/>
      </c>
      <c r="K961" s="9" t="str">
        <f ca="1">IF($G961="","",INDEX(BASE_PRODUTOS!$C$2:$C$1006,$G961))</f>
        <v/>
      </c>
      <c r="L961" s="9" t="str">
        <f ca="1">IF($G961="","",INDEX(BASE_PRODUTOS!$E$2:$E$1006,$G961))</f>
        <v/>
      </c>
      <c r="M961" s="9" t="str">
        <f ca="1">IF($G961="","",INDEX(BASE_PRODUTOS!$F$2:$F$1006,$G961))</f>
        <v/>
      </c>
      <c r="N961" s="9" t="str">
        <f ca="1">IF($G961="","",INDEX(BASE_PRODUTOS!$G$2:$G$1006,$G961))</f>
        <v/>
      </c>
      <c r="O961" s="9" t="str">
        <f ca="1">IF($G961="","",INDEX(BASE_PRODUTOS!$H$2:$H$1006,$G961))</f>
        <v/>
      </c>
      <c r="P961" s="9" t="str">
        <f ca="1">IF($G961="","",INDEX(BASE_PRODUTOS!$I$2:$I$1006,$G961))</f>
        <v/>
      </c>
      <c r="Q961" s="9" t="str">
        <f ca="1">IF($G961="","",INDEX(BASE_PRODUTOS!$J$2:$J$1006,$G961))</f>
        <v/>
      </c>
      <c r="R961" s="9" t="str">
        <f ca="1">IF($G961="","",INDEX(BASE_PRODUTOS!$M$2:$M$1006,$G961))</f>
        <v/>
      </c>
      <c r="S961" s="9" t="str">
        <f ca="1">IF($G961="","",INDEX(BASE_PRODUTOS!$N$2:$N$1006,$G961))</f>
        <v/>
      </c>
      <c r="T961" s="9" t="str">
        <f ca="1">IF($G961="","",INDEX(BASE_PRODUTOS!$D$2:$D$1006,$G961))</f>
        <v/>
      </c>
    </row>
    <row r="962" spans="7:20" ht="18" customHeight="1" x14ac:dyDescent="0.35">
      <c r="G962" t="str">
        <f ca="1">IFERROR(_xludf.aggregate(15,6,(ROW(BASE_PRODUTOS!$L$2:$L$1006)-ROW(BASE_PRODUTOS!$L$2)+1)/(BASE_PRODUTOS!$L$2:$L$1006&gt;0),ROWS($G$10:G962)),"")</f>
        <v/>
      </c>
      <c r="H962" s="9" t="str">
        <f ca="1">IF($G962="","",INDEX(BASE_PRODUTOS!$B$2:$B$1006,$G962))</f>
        <v/>
      </c>
      <c r="I962" s="9" t="str">
        <f ca="1">IF($G962="","",INDEX(BASE_PRODUTOS!$L$2:$L$1006,$G962))</f>
        <v/>
      </c>
      <c r="J962" s="9" t="str">
        <f ca="1">IF($G962="","",INDEX(BASE_PRODUTOS!$A$2:$A$1006,$G962))</f>
        <v/>
      </c>
      <c r="K962" s="9" t="str">
        <f ca="1">IF($G962="","",INDEX(BASE_PRODUTOS!$C$2:$C$1006,$G962))</f>
        <v/>
      </c>
      <c r="L962" s="9" t="str">
        <f ca="1">IF($G962="","",INDEX(BASE_PRODUTOS!$E$2:$E$1006,$G962))</f>
        <v/>
      </c>
      <c r="M962" s="9" t="str">
        <f ca="1">IF($G962="","",INDEX(BASE_PRODUTOS!$F$2:$F$1006,$G962))</f>
        <v/>
      </c>
      <c r="N962" s="9" t="str">
        <f ca="1">IF($G962="","",INDEX(BASE_PRODUTOS!$G$2:$G$1006,$G962))</f>
        <v/>
      </c>
      <c r="O962" s="9" t="str">
        <f ca="1">IF($G962="","",INDEX(BASE_PRODUTOS!$H$2:$H$1006,$G962))</f>
        <v/>
      </c>
      <c r="P962" s="9" t="str">
        <f ca="1">IF($G962="","",INDEX(BASE_PRODUTOS!$I$2:$I$1006,$G962))</f>
        <v/>
      </c>
      <c r="Q962" s="9" t="str">
        <f ca="1">IF($G962="","",INDEX(BASE_PRODUTOS!$J$2:$J$1006,$G962))</f>
        <v/>
      </c>
      <c r="R962" s="9" t="str">
        <f ca="1">IF($G962="","",INDEX(BASE_PRODUTOS!$M$2:$M$1006,$G962))</f>
        <v/>
      </c>
      <c r="S962" s="9" t="str">
        <f ca="1">IF($G962="","",INDEX(BASE_PRODUTOS!$N$2:$N$1006,$G962))</f>
        <v/>
      </c>
      <c r="T962" s="9" t="str">
        <f ca="1">IF($G962="","",INDEX(BASE_PRODUTOS!$D$2:$D$1006,$G962))</f>
        <v/>
      </c>
    </row>
    <row r="963" spans="7:20" ht="18" customHeight="1" x14ac:dyDescent="0.35">
      <c r="G963" t="str">
        <f ca="1">IFERROR(_xludf.aggregate(15,6,(ROW(BASE_PRODUTOS!$L$2:$L$1006)-ROW(BASE_PRODUTOS!$L$2)+1)/(BASE_PRODUTOS!$L$2:$L$1006&gt;0),ROWS($G$10:G963)),"")</f>
        <v/>
      </c>
      <c r="H963" s="9" t="str">
        <f ca="1">IF($G963="","",INDEX(BASE_PRODUTOS!$B$2:$B$1006,$G963))</f>
        <v/>
      </c>
      <c r="I963" s="9" t="str">
        <f ca="1">IF($G963="","",INDEX(BASE_PRODUTOS!$L$2:$L$1006,$G963))</f>
        <v/>
      </c>
      <c r="J963" s="9" t="str">
        <f ca="1">IF($G963="","",INDEX(BASE_PRODUTOS!$A$2:$A$1006,$G963))</f>
        <v/>
      </c>
      <c r="K963" s="9" t="str">
        <f ca="1">IF($G963="","",INDEX(BASE_PRODUTOS!$C$2:$C$1006,$G963))</f>
        <v/>
      </c>
      <c r="L963" s="9" t="str">
        <f ca="1">IF($G963="","",INDEX(BASE_PRODUTOS!$E$2:$E$1006,$G963))</f>
        <v/>
      </c>
      <c r="M963" s="9" t="str">
        <f ca="1">IF($G963="","",INDEX(BASE_PRODUTOS!$F$2:$F$1006,$G963))</f>
        <v/>
      </c>
      <c r="N963" s="9" t="str">
        <f ca="1">IF($G963="","",INDEX(BASE_PRODUTOS!$G$2:$G$1006,$G963))</f>
        <v/>
      </c>
      <c r="O963" s="9" t="str">
        <f ca="1">IF($G963="","",INDEX(BASE_PRODUTOS!$H$2:$H$1006,$G963))</f>
        <v/>
      </c>
      <c r="P963" s="9" t="str">
        <f ca="1">IF($G963="","",INDEX(BASE_PRODUTOS!$I$2:$I$1006,$G963))</f>
        <v/>
      </c>
      <c r="Q963" s="9" t="str">
        <f ca="1">IF($G963="","",INDEX(BASE_PRODUTOS!$J$2:$J$1006,$G963))</f>
        <v/>
      </c>
      <c r="R963" s="9" t="str">
        <f ca="1">IF($G963="","",INDEX(BASE_PRODUTOS!$M$2:$M$1006,$G963))</f>
        <v/>
      </c>
      <c r="S963" s="9" t="str">
        <f ca="1">IF($G963="","",INDEX(BASE_PRODUTOS!$N$2:$N$1006,$G963))</f>
        <v/>
      </c>
      <c r="T963" s="9" t="str">
        <f ca="1">IF($G963="","",INDEX(BASE_PRODUTOS!$D$2:$D$1006,$G963))</f>
        <v/>
      </c>
    </row>
    <row r="964" spans="7:20" ht="18" customHeight="1" x14ac:dyDescent="0.35">
      <c r="G964" t="str">
        <f ca="1">IFERROR(_xludf.aggregate(15,6,(ROW(BASE_PRODUTOS!$L$2:$L$1006)-ROW(BASE_PRODUTOS!$L$2)+1)/(BASE_PRODUTOS!$L$2:$L$1006&gt;0),ROWS($G$10:G964)),"")</f>
        <v/>
      </c>
      <c r="H964" s="9" t="str">
        <f ca="1">IF($G964="","",INDEX(BASE_PRODUTOS!$B$2:$B$1006,$G964))</f>
        <v/>
      </c>
      <c r="I964" s="9" t="str">
        <f ca="1">IF($G964="","",INDEX(BASE_PRODUTOS!$L$2:$L$1006,$G964))</f>
        <v/>
      </c>
      <c r="J964" s="9" t="str">
        <f ca="1">IF($G964="","",INDEX(BASE_PRODUTOS!$A$2:$A$1006,$G964))</f>
        <v/>
      </c>
      <c r="K964" s="9" t="str">
        <f ca="1">IF($G964="","",INDEX(BASE_PRODUTOS!$C$2:$C$1006,$G964))</f>
        <v/>
      </c>
      <c r="L964" s="9" t="str">
        <f ca="1">IF($G964="","",INDEX(BASE_PRODUTOS!$E$2:$E$1006,$G964))</f>
        <v/>
      </c>
      <c r="M964" s="9" t="str">
        <f ca="1">IF($G964="","",INDEX(BASE_PRODUTOS!$F$2:$F$1006,$G964))</f>
        <v/>
      </c>
      <c r="N964" s="9" t="str">
        <f ca="1">IF($G964="","",INDEX(BASE_PRODUTOS!$G$2:$G$1006,$G964))</f>
        <v/>
      </c>
      <c r="O964" s="9" t="str">
        <f ca="1">IF($G964="","",INDEX(BASE_PRODUTOS!$H$2:$H$1006,$G964))</f>
        <v/>
      </c>
      <c r="P964" s="9" t="str">
        <f ca="1">IF($G964="","",INDEX(BASE_PRODUTOS!$I$2:$I$1006,$G964))</f>
        <v/>
      </c>
      <c r="Q964" s="9" t="str">
        <f ca="1">IF($G964="","",INDEX(BASE_PRODUTOS!$J$2:$J$1006,$G964))</f>
        <v/>
      </c>
      <c r="R964" s="9" t="str">
        <f ca="1">IF($G964="","",INDEX(BASE_PRODUTOS!$M$2:$M$1006,$G964))</f>
        <v/>
      </c>
      <c r="S964" s="9" t="str">
        <f ca="1">IF($G964="","",INDEX(BASE_PRODUTOS!$N$2:$N$1006,$G964))</f>
        <v/>
      </c>
      <c r="T964" s="9" t="str">
        <f ca="1">IF($G964="","",INDEX(BASE_PRODUTOS!$D$2:$D$1006,$G964))</f>
        <v/>
      </c>
    </row>
    <row r="965" spans="7:20" ht="18" customHeight="1" x14ac:dyDescent="0.35">
      <c r="G965" t="str">
        <f ca="1">IFERROR(_xludf.aggregate(15,6,(ROW(BASE_PRODUTOS!$L$2:$L$1006)-ROW(BASE_PRODUTOS!$L$2)+1)/(BASE_PRODUTOS!$L$2:$L$1006&gt;0),ROWS($G$10:G965)),"")</f>
        <v/>
      </c>
      <c r="H965" s="9" t="str">
        <f ca="1">IF($G965="","",INDEX(BASE_PRODUTOS!$B$2:$B$1006,$G965))</f>
        <v/>
      </c>
      <c r="I965" s="9" t="str">
        <f ca="1">IF($G965="","",INDEX(BASE_PRODUTOS!$L$2:$L$1006,$G965))</f>
        <v/>
      </c>
      <c r="J965" s="9" t="str">
        <f ca="1">IF($G965="","",INDEX(BASE_PRODUTOS!$A$2:$A$1006,$G965))</f>
        <v/>
      </c>
      <c r="K965" s="9" t="str">
        <f ca="1">IF($G965="","",INDEX(BASE_PRODUTOS!$C$2:$C$1006,$G965))</f>
        <v/>
      </c>
      <c r="L965" s="9" t="str">
        <f ca="1">IF($G965="","",INDEX(BASE_PRODUTOS!$E$2:$E$1006,$G965))</f>
        <v/>
      </c>
      <c r="M965" s="9" t="str">
        <f ca="1">IF($G965="","",INDEX(BASE_PRODUTOS!$F$2:$F$1006,$G965))</f>
        <v/>
      </c>
      <c r="N965" s="9" t="str">
        <f ca="1">IF($G965="","",INDEX(BASE_PRODUTOS!$G$2:$G$1006,$G965))</f>
        <v/>
      </c>
      <c r="O965" s="9" t="str">
        <f ca="1">IF($G965="","",INDEX(BASE_PRODUTOS!$H$2:$H$1006,$G965))</f>
        <v/>
      </c>
      <c r="P965" s="9" t="str">
        <f ca="1">IF($G965="","",INDEX(BASE_PRODUTOS!$I$2:$I$1006,$G965))</f>
        <v/>
      </c>
      <c r="Q965" s="9" t="str">
        <f ca="1">IF($G965="","",INDEX(BASE_PRODUTOS!$J$2:$J$1006,$G965))</f>
        <v/>
      </c>
      <c r="R965" s="9" t="str">
        <f ca="1">IF($G965="","",INDEX(BASE_PRODUTOS!$M$2:$M$1006,$G965))</f>
        <v/>
      </c>
      <c r="S965" s="9" t="str">
        <f ca="1">IF($G965="","",INDEX(BASE_PRODUTOS!$N$2:$N$1006,$G965))</f>
        <v/>
      </c>
      <c r="T965" s="9" t="str">
        <f ca="1">IF($G965="","",INDEX(BASE_PRODUTOS!$D$2:$D$1006,$G965))</f>
        <v/>
      </c>
    </row>
    <row r="966" spans="7:20" ht="18" customHeight="1" x14ac:dyDescent="0.35">
      <c r="G966" t="str">
        <f ca="1">IFERROR(_xludf.aggregate(15,6,(ROW(BASE_PRODUTOS!$L$2:$L$1006)-ROW(BASE_PRODUTOS!$L$2)+1)/(BASE_PRODUTOS!$L$2:$L$1006&gt;0),ROWS($G$10:G966)),"")</f>
        <v/>
      </c>
      <c r="H966" s="9" t="str">
        <f ca="1">IF($G966="","",INDEX(BASE_PRODUTOS!$B$2:$B$1006,$G966))</f>
        <v/>
      </c>
      <c r="I966" s="9" t="str">
        <f ca="1">IF($G966="","",INDEX(BASE_PRODUTOS!$L$2:$L$1006,$G966))</f>
        <v/>
      </c>
      <c r="J966" s="9" t="str">
        <f ca="1">IF($G966="","",INDEX(BASE_PRODUTOS!$A$2:$A$1006,$G966))</f>
        <v/>
      </c>
      <c r="K966" s="9" t="str">
        <f ca="1">IF($G966="","",INDEX(BASE_PRODUTOS!$C$2:$C$1006,$G966))</f>
        <v/>
      </c>
      <c r="L966" s="9" t="str">
        <f ca="1">IF($G966="","",INDEX(BASE_PRODUTOS!$E$2:$E$1006,$G966))</f>
        <v/>
      </c>
      <c r="M966" s="9" t="str">
        <f ca="1">IF($G966="","",INDEX(BASE_PRODUTOS!$F$2:$F$1006,$G966))</f>
        <v/>
      </c>
      <c r="N966" s="9" t="str">
        <f ca="1">IF($G966="","",INDEX(BASE_PRODUTOS!$G$2:$G$1006,$G966))</f>
        <v/>
      </c>
      <c r="O966" s="9" t="str">
        <f ca="1">IF($G966="","",INDEX(BASE_PRODUTOS!$H$2:$H$1006,$G966))</f>
        <v/>
      </c>
      <c r="P966" s="9" t="str">
        <f ca="1">IF($G966="","",INDEX(BASE_PRODUTOS!$I$2:$I$1006,$G966))</f>
        <v/>
      </c>
      <c r="Q966" s="9" t="str">
        <f ca="1">IF($G966="","",INDEX(BASE_PRODUTOS!$J$2:$J$1006,$G966))</f>
        <v/>
      </c>
      <c r="R966" s="9" t="str">
        <f ca="1">IF($G966="","",INDEX(BASE_PRODUTOS!$M$2:$M$1006,$G966))</f>
        <v/>
      </c>
      <c r="S966" s="9" t="str">
        <f ca="1">IF($G966="","",INDEX(BASE_PRODUTOS!$N$2:$N$1006,$G966))</f>
        <v/>
      </c>
      <c r="T966" s="9" t="str">
        <f ca="1">IF($G966="","",INDEX(BASE_PRODUTOS!$D$2:$D$1006,$G966))</f>
        <v/>
      </c>
    </row>
    <row r="967" spans="7:20" ht="18" customHeight="1" x14ac:dyDescent="0.35">
      <c r="G967" t="str">
        <f ca="1">IFERROR(_xludf.aggregate(15,6,(ROW(BASE_PRODUTOS!$L$2:$L$1006)-ROW(BASE_PRODUTOS!$L$2)+1)/(BASE_PRODUTOS!$L$2:$L$1006&gt;0),ROWS($G$10:G967)),"")</f>
        <v/>
      </c>
      <c r="H967" s="9" t="str">
        <f ca="1">IF($G967="","",INDEX(BASE_PRODUTOS!$B$2:$B$1006,$G967))</f>
        <v/>
      </c>
      <c r="I967" s="9" t="str">
        <f ca="1">IF($G967="","",INDEX(BASE_PRODUTOS!$L$2:$L$1006,$G967))</f>
        <v/>
      </c>
      <c r="J967" s="9" t="str">
        <f ca="1">IF($G967="","",INDEX(BASE_PRODUTOS!$A$2:$A$1006,$G967))</f>
        <v/>
      </c>
      <c r="K967" s="9" t="str">
        <f ca="1">IF($G967="","",INDEX(BASE_PRODUTOS!$C$2:$C$1006,$G967))</f>
        <v/>
      </c>
      <c r="L967" s="9" t="str">
        <f ca="1">IF($G967="","",INDEX(BASE_PRODUTOS!$E$2:$E$1006,$G967))</f>
        <v/>
      </c>
      <c r="M967" s="9" t="str">
        <f ca="1">IF($G967="","",INDEX(BASE_PRODUTOS!$F$2:$F$1006,$G967))</f>
        <v/>
      </c>
      <c r="N967" s="9" t="str">
        <f ca="1">IF($G967="","",INDEX(BASE_PRODUTOS!$G$2:$G$1006,$G967))</f>
        <v/>
      </c>
      <c r="O967" s="9" t="str">
        <f ca="1">IF($G967="","",INDEX(BASE_PRODUTOS!$H$2:$H$1006,$G967))</f>
        <v/>
      </c>
      <c r="P967" s="9" t="str">
        <f ca="1">IF($G967="","",INDEX(BASE_PRODUTOS!$I$2:$I$1006,$G967))</f>
        <v/>
      </c>
      <c r="Q967" s="9" t="str">
        <f ca="1">IF($G967="","",INDEX(BASE_PRODUTOS!$J$2:$J$1006,$G967))</f>
        <v/>
      </c>
      <c r="R967" s="9" t="str">
        <f ca="1">IF($G967="","",INDEX(BASE_PRODUTOS!$M$2:$M$1006,$G967))</f>
        <v/>
      </c>
      <c r="S967" s="9" t="str">
        <f ca="1">IF($G967="","",INDEX(BASE_PRODUTOS!$N$2:$N$1006,$G967))</f>
        <v/>
      </c>
      <c r="T967" s="9" t="str">
        <f ca="1">IF($G967="","",INDEX(BASE_PRODUTOS!$D$2:$D$1006,$G967))</f>
        <v/>
      </c>
    </row>
    <row r="968" spans="7:20" ht="18" customHeight="1" x14ac:dyDescent="0.35">
      <c r="G968" t="str">
        <f ca="1">IFERROR(_xludf.aggregate(15,6,(ROW(BASE_PRODUTOS!$L$2:$L$1006)-ROW(BASE_PRODUTOS!$L$2)+1)/(BASE_PRODUTOS!$L$2:$L$1006&gt;0),ROWS($G$10:G968)),"")</f>
        <v/>
      </c>
      <c r="H968" s="9" t="str">
        <f ca="1">IF($G968="","",INDEX(BASE_PRODUTOS!$B$2:$B$1006,$G968))</f>
        <v/>
      </c>
      <c r="I968" s="9" t="str">
        <f ca="1">IF($G968="","",INDEX(BASE_PRODUTOS!$L$2:$L$1006,$G968))</f>
        <v/>
      </c>
      <c r="J968" s="9" t="str">
        <f ca="1">IF($G968="","",INDEX(BASE_PRODUTOS!$A$2:$A$1006,$G968))</f>
        <v/>
      </c>
      <c r="K968" s="9" t="str">
        <f ca="1">IF($G968="","",INDEX(BASE_PRODUTOS!$C$2:$C$1006,$G968))</f>
        <v/>
      </c>
      <c r="L968" s="9" t="str">
        <f ca="1">IF($G968="","",INDEX(BASE_PRODUTOS!$E$2:$E$1006,$G968))</f>
        <v/>
      </c>
      <c r="M968" s="9" t="str">
        <f ca="1">IF($G968="","",INDEX(BASE_PRODUTOS!$F$2:$F$1006,$G968))</f>
        <v/>
      </c>
      <c r="N968" s="9" t="str">
        <f ca="1">IF($G968="","",INDEX(BASE_PRODUTOS!$G$2:$G$1006,$G968))</f>
        <v/>
      </c>
      <c r="O968" s="9" t="str">
        <f ca="1">IF($G968="","",INDEX(BASE_PRODUTOS!$H$2:$H$1006,$G968))</f>
        <v/>
      </c>
      <c r="P968" s="9" t="str">
        <f ca="1">IF($G968="","",INDEX(BASE_PRODUTOS!$I$2:$I$1006,$G968))</f>
        <v/>
      </c>
      <c r="Q968" s="9" t="str">
        <f ca="1">IF($G968="","",INDEX(BASE_PRODUTOS!$J$2:$J$1006,$G968))</f>
        <v/>
      </c>
      <c r="R968" s="9" t="str">
        <f ca="1">IF($G968="","",INDEX(BASE_PRODUTOS!$M$2:$M$1006,$G968))</f>
        <v/>
      </c>
      <c r="S968" s="9" t="str">
        <f ca="1">IF($G968="","",INDEX(BASE_PRODUTOS!$N$2:$N$1006,$G968))</f>
        <v/>
      </c>
      <c r="T968" s="9" t="str">
        <f ca="1">IF($G968="","",INDEX(BASE_PRODUTOS!$D$2:$D$1006,$G968))</f>
        <v/>
      </c>
    </row>
    <row r="969" spans="7:20" ht="18" customHeight="1" x14ac:dyDescent="0.35">
      <c r="G969" t="str">
        <f ca="1">IFERROR(_xludf.aggregate(15,6,(ROW(BASE_PRODUTOS!$L$2:$L$1006)-ROW(BASE_PRODUTOS!$L$2)+1)/(BASE_PRODUTOS!$L$2:$L$1006&gt;0),ROWS($G$10:G969)),"")</f>
        <v/>
      </c>
      <c r="H969" s="9" t="str">
        <f ca="1">IF($G969="","",INDEX(BASE_PRODUTOS!$B$2:$B$1006,$G969))</f>
        <v/>
      </c>
      <c r="I969" s="9" t="str">
        <f ca="1">IF($G969="","",INDEX(BASE_PRODUTOS!$L$2:$L$1006,$G969))</f>
        <v/>
      </c>
      <c r="J969" s="9" t="str">
        <f ca="1">IF($G969="","",INDEX(BASE_PRODUTOS!$A$2:$A$1006,$G969))</f>
        <v/>
      </c>
      <c r="K969" s="9" t="str">
        <f ca="1">IF($G969="","",INDEX(BASE_PRODUTOS!$C$2:$C$1006,$G969))</f>
        <v/>
      </c>
      <c r="L969" s="9" t="str">
        <f ca="1">IF($G969="","",INDEX(BASE_PRODUTOS!$E$2:$E$1006,$G969))</f>
        <v/>
      </c>
      <c r="M969" s="9" t="str">
        <f ca="1">IF($G969="","",INDEX(BASE_PRODUTOS!$F$2:$F$1006,$G969))</f>
        <v/>
      </c>
      <c r="N969" s="9" t="str">
        <f ca="1">IF($G969="","",INDEX(BASE_PRODUTOS!$G$2:$G$1006,$G969))</f>
        <v/>
      </c>
      <c r="O969" s="9" t="str">
        <f ca="1">IF($G969="","",INDEX(BASE_PRODUTOS!$H$2:$H$1006,$G969))</f>
        <v/>
      </c>
      <c r="P969" s="9" t="str">
        <f ca="1">IF($G969="","",INDEX(BASE_PRODUTOS!$I$2:$I$1006,$G969))</f>
        <v/>
      </c>
      <c r="Q969" s="9" t="str">
        <f ca="1">IF($G969="","",INDEX(BASE_PRODUTOS!$J$2:$J$1006,$G969))</f>
        <v/>
      </c>
      <c r="R969" s="9" t="str">
        <f ca="1">IF($G969="","",INDEX(BASE_PRODUTOS!$M$2:$M$1006,$G969))</f>
        <v/>
      </c>
      <c r="S969" s="9" t="str">
        <f ca="1">IF($G969="","",INDEX(BASE_PRODUTOS!$N$2:$N$1006,$G969))</f>
        <v/>
      </c>
      <c r="T969" s="9" t="str">
        <f ca="1">IF($G969="","",INDEX(BASE_PRODUTOS!$D$2:$D$1006,$G969))</f>
        <v/>
      </c>
    </row>
    <row r="970" spans="7:20" ht="18" customHeight="1" x14ac:dyDescent="0.35">
      <c r="G970" t="str">
        <f ca="1">IFERROR(_xludf.aggregate(15,6,(ROW(BASE_PRODUTOS!$L$2:$L$1006)-ROW(BASE_PRODUTOS!$L$2)+1)/(BASE_PRODUTOS!$L$2:$L$1006&gt;0),ROWS($G$10:G970)),"")</f>
        <v/>
      </c>
      <c r="H970" s="9" t="str">
        <f ca="1">IF($G970="","",INDEX(BASE_PRODUTOS!$B$2:$B$1006,$G970))</f>
        <v/>
      </c>
      <c r="I970" s="9" t="str">
        <f ca="1">IF($G970="","",INDEX(BASE_PRODUTOS!$L$2:$L$1006,$G970))</f>
        <v/>
      </c>
      <c r="J970" s="9" t="str">
        <f ca="1">IF($G970="","",INDEX(BASE_PRODUTOS!$A$2:$A$1006,$G970))</f>
        <v/>
      </c>
      <c r="K970" s="9" t="str">
        <f ca="1">IF($G970="","",INDEX(BASE_PRODUTOS!$C$2:$C$1006,$G970))</f>
        <v/>
      </c>
      <c r="L970" s="9" t="str">
        <f ca="1">IF($G970="","",INDEX(BASE_PRODUTOS!$E$2:$E$1006,$G970))</f>
        <v/>
      </c>
      <c r="M970" s="9" t="str">
        <f ca="1">IF($G970="","",INDEX(BASE_PRODUTOS!$F$2:$F$1006,$G970))</f>
        <v/>
      </c>
      <c r="N970" s="9" t="str">
        <f ca="1">IF($G970="","",INDEX(BASE_PRODUTOS!$G$2:$G$1006,$G970))</f>
        <v/>
      </c>
      <c r="O970" s="9" t="str">
        <f ca="1">IF($G970="","",INDEX(BASE_PRODUTOS!$H$2:$H$1006,$G970))</f>
        <v/>
      </c>
      <c r="P970" s="9" t="str">
        <f ca="1">IF($G970="","",INDEX(BASE_PRODUTOS!$I$2:$I$1006,$G970))</f>
        <v/>
      </c>
      <c r="Q970" s="9" t="str">
        <f ca="1">IF($G970="","",INDEX(BASE_PRODUTOS!$J$2:$J$1006,$G970))</f>
        <v/>
      </c>
      <c r="R970" s="9" t="str">
        <f ca="1">IF($G970="","",INDEX(BASE_PRODUTOS!$M$2:$M$1006,$G970))</f>
        <v/>
      </c>
      <c r="S970" s="9" t="str">
        <f ca="1">IF($G970="","",INDEX(BASE_PRODUTOS!$N$2:$N$1006,$G970))</f>
        <v/>
      </c>
      <c r="T970" s="9" t="str">
        <f ca="1">IF($G970="","",INDEX(BASE_PRODUTOS!$D$2:$D$1006,$G970))</f>
        <v/>
      </c>
    </row>
    <row r="971" spans="7:20" ht="18" customHeight="1" x14ac:dyDescent="0.35">
      <c r="G971" t="str">
        <f ca="1">IFERROR(_xludf.aggregate(15,6,(ROW(BASE_PRODUTOS!$L$2:$L$1006)-ROW(BASE_PRODUTOS!$L$2)+1)/(BASE_PRODUTOS!$L$2:$L$1006&gt;0),ROWS($G$10:G971)),"")</f>
        <v/>
      </c>
      <c r="H971" s="9" t="str">
        <f ca="1">IF($G971="","",INDEX(BASE_PRODUTOS!$B$2:$B$1006,$G971))</f>
        <v/>
      </c>
      <c r="I971" s="9" t="str">
        <f ca="1">IF($G971="","",INDEX(BASE_PRODUTOS!$L$2:$L$1006,$G971))</f>
        <v/>
      </c>
      <c r="J971" s="9" t="str">
        <f ca="1">IF($G971="","",INDEX(BASE_PRODUTOS!$A$2:$A$1006,$G971))</f>
        <v/>
      </c>
      <c r="K971" s="9" t="str">
        <f ca="1">IF($G971="","",INDEX(BASE_PRODUTOS!$C$2:$C$1006,$G971))</f>
        <v/>
      </c>
      <c r="L971" s="9" t="str">
        <f ca="1">IF($G971="","",INDEX(BASE_PRODUTOS!$E$2:$E$1006,$G971))</f>
        <v/>
      </c>
      <c r="M971" s="9" t="str">
        <f ca="1">IF($G971="","",INDEX(BASE_PRODUTOS!$F$2:$F$1006,$G971))</f>
        <v/>
      </c>
      <c r="N971" s="9" t="str">
        <f ca="1">IF($G971="","",INDEX(BASE_PRODUTOS!$G$2:$G$1006,$G971))</f>
        <v/>
      </c>
      <c r="O971" s="9" t="str">
        <f ca="1">IF($G971="","",INDEX(BASE_PRODUTOS!$H$2:$H$1006,$G971))</f>
        <v/>
      </c>
      <c r="P971" s="9" t="str">
        <f ca="1">IF($G971="","",INDEX(BASE_PRODUTOS!$I$2:$I$1006,$G971))</f>
        <v/>
      </c>
      <c r="Q971" s="9" t="str">
        <f ca="1">IF($G971="","",INDEX(BASE_PRODUTOS!$J$2:$J$1006,$G971))</f>
        <v/>
      </c>
      <c r="R971" s="9" t="str">
        <f ca="1">IF($G971="","",INDEX(BASE_PRODUTOS!$M$2:$M$1006,$G971))</f>
        <v/>
      </c>
      <c r="S971" s="9" t="str">
        <f ca="1">IF($G971="","",INDEX(BASE_PRODUTOS!$N$2:$N$1006,$G971))</f>
        <v/>
      </c>
      <c r="T971" s="9" t="str">
        <f ca="1">IF($G971="","",INDEX(BASE_PRODUTOS!$D$2:$D$1006,$G971))</f>
        <v/>
      </c>
    </row>
    <row r="972" spans="7:20" ht="18" customHeight="1" x14ac:dyDescent="0.35">
      <c r="G972" t="str">
        <f ca="1">IFERROR(_xludf.aggregate(15,6,(ROW(BASE_PRODUTOS!$L$2:$L$1006)-ROW(BASE_PRODUTOS!$L$2)+1)/(BASE_PRODUTOS!$L$2:$L$1006&gt;0),ROWS($G$10:G972)),"")</f>
        <v/>
      </c>
      <c r="H972" s="9" t="str">
        <f ca="1">IF($G972="","",INDEX(BASE_PRODUTOS!$B$2:$B$1006,$G972))</f>
        <v/>
      </c>
      <c r="I972" s="9" t="str">
        <f ca="1">IF($G972="","",INDEX(BASE_PRODUTOS!$L$2:$L$1006,$G972))</f>
        <v/>
      </c>
      <c r="J972" s="9" t="str">
        <f ca="1">IF($G972="","",INDEX(BASE_PRODUTOS!$A$2:$A$1006,$G972))</f>
        <v/>
      </c>
      <c r="K972" s="9" t="str">
        <f ca="1">IF($G972="","",INDEX(BASE_PRODUTOS!$C$2:$C$1006,$G972))</f>
        <v/>
      </c>
      <c r="L972" s="9" t="str">
        <f ca="1">IF($G972="","",INDEX(BASE_PRODUTOS!$E$2:$E$1006,$G972))</f>
        <v/>
      </c>
      <c r="M972" s="9" t="str">
        <f ca="1">IF($G972="","",INDEX(BASE_PRODUTOS!$F$2:$F$1006,$G972))</f>
        <v/>
      </c>
      <c r="N972" s="9" t="str">
        <f ca="1">IF($G972="","",INDEX(BASE_PRODUTOS!$G$2:$G$1006,$G972))</f>
        <v/>
      </c>
      <c r="O972" s="9" t="str">
        <f ca="1">IF($G972="","",INDEX(BASE_PRODUTOS!$H$2:$H$1006,$G972))</f>
        <v/>
      </c>
      <c r="P972" s="9" t="str">
        <f ca="1">IF($G972="","",INDEX(BASE_PRODUTOS!$I$2:$I$1006,$G972))</f>
        <v/>
      </c>
      <c r="Q972" s="9" t="str">
        <f ca="1">IF($G972="","",INDEX(BASE_PRODUTOS!$J$2:$J$1006,$G972))</f>
        <v/>
      </c>
      <c r="R972" s="9" t="str">
        <f ca="1">IF($G972="","",INDEX(BASE_PRODUTOS!$M$2:$M$1006,$G972))</f>
        <v/>
      </c>
      <c r="S972" s="9" t="str">
        <f ca="1">IF($G972="","",INDEX(BASE_PRODUTOS!$N$2:$N$1006,$G972))</f>
        <v/>
      </c>
      <c r="T972" s="9" t="str">
        <f ca="1">IF($G972="","",INDEX(BASE_PRODUTOS!$D$2:$D$1006,$G972))</f>
        <v/>
      </c>
    </row>
    <row r="973" spans="7:20" ht="18" customHeight="1" x14ac:dyDescent="0.35">
      <c r="G973" t="str">
        <f ca="1">IFERROR(_xludf.aggregate(15,6,(ROW(BASE_PRODUTOS!$L$2:$L$1006)-ROW(BASE_PRODUTOS!$L$2)+1)/(BASE_PRODUTOS!$L$2:$L$1006&gt;0),ROWS($G$10:G973)),"")</f>
        <v/>
      </c>
      <c r="H973" s="9" t="str">
        <f ca="1">IF($G973="","",INDEX(BASE_PRODUTOS!$B$2:$B$1006,$G973))</f>
        <v/>
      </c>
      <c r="I973" s="9" t="str">
        <f ca="1">IF($G973="","",INDEX(BASE_PRODUTOS!$L$2:$L$1006,$G973))</f>
        <v/>
      </c>
      <c r="J973" s="9" t="str">
        <f ca="1">IF($G973="","",INDEX(BASE_PRODUTOS!$A$2:$A$1006,$G973))</f>
        <v/>
      </c>
      <c r="K973" s="9" t="str">
        <f ca="1">IF($G973="","",INDEX(BASE_PRODUTOS!$C$2:$C$1006,$G973))</f>
        <v/>
      </c>
      <c r="L973" s="9" t="str">
        <f ca="1">IF($G973="","",INDEX(BASE_PRODUTOS!$E$2:$E$1006,$G973))</f>
        <v/>
      </c>
      <c r="M973" s="9" t="str">
        <f ca="1">IF($G973="","",INDEX(BASE_PRODUTOS!$F$2:$F$1006,$G973))</f>
        <v/>
      </c>
      <c r="N973" s="9" t="str">
        <f ca="1">IF($G973="","",INDEX(BASE_PRODUTOS!$G$2:$G$1006,$G973))</f>
        <v/>
      </c>
      <c r="O973" s="9" t="str">
        <f ca="1">IF($G973="","",INDEX(BASE_PRODUTOS!$H$2:$H$1006,$G973))</f>
        <v/>
      </c>
      <c r="P973" s="9" t="str">
        <f ca="1">IF($G973="","",INDEX(BASE_PRODUTOS!$I$2:$I$1006,$G973))</f>
        <v/>
      </c>
      <c r="Q973" s="9" t="str">
        <f ca="1">IF($G973="","",INDEX(BASE_PRODUTOS!$J$2:$J$1006,$G973))</f>
        <v/>
      </c>
      <c r="R973" s="9" t="str">
        <f ca="1">IF($G973="","",INDEX(BASE_PRODUTOS!$M$2:$M$1006,$G973))</f>
        <v/>
      </c>
      <c r="S973" s="9" t="str">
        <f ca="1">IF($G973="","",INDEX(BASE_PRODUTOS!$N$2:$N$1006,$G973))</f>
        <v/>
      </c>
      <c r="T973" s="9" t="str">
        <f ca="1">IF($G973="","",INDEX(BASE_PRODUTOS!$D$2:$D$1006,$G973))</f>
        <v/>
      </c>
    </row>
    <row r="974" spans="7:20" ht="18" customHeight="1" x14ac:dyDescent="0.35">
      <c r="G974" t="str">
        <f ca="1">IFERROR(_xludf.aggregate(15,6,(ROW(BASE_PRODUTOS!$L$2:$L$1006)-ROW(BASE_PRODUTOS!$L$2)+1)/(BASE_PRODUTOS!$L$2:$L$1006&gt;0),ROWS($G$10:G974)),"")</f>
        <v/>
      </c>
      <c r="H974" s="9" t="str">
        <f ca="1">IF($G974="","",INDEX(BASE_PRODUTOS!$B$2:$B$1006,$G974))</f>
        <v/>
      </c>
      <c r="I974" s="9" t="str">
        <f ca="1">IF($G974="","",INDEX(BASE_PRODUTOS!$L$2:$L$1006,$G974))</f>
        <v/>
      </c>
      <c r="J974" s="9" t="str">
        <f ca="1">IF($G974="","",INDEX(BASE_PRODUTOS!$A$2:$A$1006,$G974))</f>
        <v/>
      </c>
      <c r="K974" s="9" t="str">
        <f ca="1">IF($G974="","",INDEX(BASE_PRODUTOS!$C$2:$C$1006,$G974))</f>
        <v/>
      </c>
      <c r="L974" s="9" t="str">
        <f ca="1">IF($G974="","",INDEX(BASE_PRODUTOS!$E$2:$E$1006,$G974))</f>
        <v/>
      </c>
      <c r="M974" s="9" t="str">
        <f ca="1">IF($G974="","",INDEX(BASE_PRODUTOS!$F$2:$F$1006,$G974))</f>
        <v/>
      </c>
      <c r="N974" s="9" t="str">
        <f ca="1">IF($G974="","",INDEX(BASE_PRODUTOS!$G$2:$G$1006,$G974))</f>
        <v/>
      </c>
      <c r="O974" s="9" t="str">
        <f ca="1">IF($G974="","",INDEX(BASE_PRODUTOS!$H$2:$H$1006,$G974))</f>
        <v/>
      </c>
      <c r="P974" s="9" t="str">
        <f ca="1">IF($G974="","",INDEX(BASE_PRODUTOS!$I$2:$I$1006,$G974))</f>
        <v/>
      </c>
      <c r="Q974" s="9" t="str">
        <f ca="1">IF($G974="","",INDEX(BASE_PRODUTOS!$J$2:$J$1006,$G974))</f>
        <v/>
      </c>
      <c r="R974" s="9" t="str">
        <f ca="1">IF($G974="","",INDEX(BASE_PRODUTOS!$M$2:$M$1006,$G974))</f>
        <v/>
      </c>
      <c r="S974" s="9" t="str">
        <f ca="1">IF($G974="","",INDEX(BASE_PRODUTOS!$N$2:$N$1006,$G974))</f>
        <v/>
      </c>
      <c r="T974" s="9" t="str">
        <f ca="1">IF($G974="","",INDEX(BASE_PRODUTOS!$D$2:$D$1006,$G974))</f>
        <v/>
      </c>
    </row>
    <row r="975" spans="7:20" ht="18" customHeight="1" x14ac:dyDescent="0.35">
      <c r="G975" t="str">
        <f ca="1">IFERROR(_xludf.aggregate(15,6,(ROW(BASE_PRODUTOS!$L$2:$L$1006)-ROW(BASE_PRODUTOS!$L$2)+1)/(BASE_PRODUTOS!$L$2:$L$1006&gt;0),ROWS($G$10:G975)),"")</f>
        <v/>
      </c>
      <c r="H975" s="9" t="str">
        <f ca="1">IF($G975="","",INDEX(BASE_PRODUTOS!$B$2:$B$1006,$G975))</f>
        <v/>
      </c>
      <c r="I975" s="9" t="str">
        <f ca="1">IF($G975="","",INDEX(BASE_PRODUTOS!$L$2:$L$1006,$G975))</f>
        <v/>
      </c>
      <c r="J975" s="9" t="str">
        <f ca="1">IF($G975="","",INDEX(BASE_PRODUTOS!$A$2:$A$1006,$G975))</f>
        <v/>
      </c>
      <c r="K975" s="9" t="str">
        <f ca="1">IF($G975="","",INDEX(BASE_PRODUTOS!$C$2:$C$1006,$G975))</f>
        <v/>
      </c>
      <c r="L975" s="9" t="str">
        <f ca="1">IF($G975="","",INDEX(BASE_PRODUTOS!$E$2:$E$1006,$G975))</f>
        <v/>
      </c>
      <c r="M975" s="9" t="str">
        <f ca="1">IF($G975="","",INDEX(BASE_PRODUTOS!$F$2:$F$1006,$G975))</f>
        <v/>
      </c>
      <c r="N975" s="9" t="str">
        <f ca="1">IF($G975="","",INDEX(BASE_PRODUTOS!$G$2:$G$1006,$G975))</f>
        <v/>
      </c>
      <c r="O975" s="9" t="str">
        <f ca="1">IF($G975="","",INDEX(BASE_PRODUTOS!$H$2:$H$1006,$G975))</f>
        <v/>
      </c>
      <c r="P975" s="9" t="str">
        <f ca="1">IF($G975="","",INDEX(BASE_PRODUTOS!$I$2:$I$1006,$G975))</f>
        <v/>
      </c>
      <c r="Q975" s="9" t="str">
        <f ca="1">IF($G975="","",INDEX(BASE_PRODUTOS!$J$2:$J$1006,$G975))</f>
        <v/>
      </c>
      <c r="R975" s="9" t="str">
        <f ca="1">IF($G975="","",INDEX(BASE_PRODUTOS!$M$2:$M$1006,$G975))</f>
        <v/>
      </c>
      <c r="S975" s="9" t="str">
        <f ca="1">IF($G975="","",INDEX(BASE_PRODUTOS!$N$2:$N$1006,$G975))</f>
        <v/>
      </c>
      <c r="T975" s="9" t="str">
        <f ca="1">IF($G975="","",INDEX(BASE_PRODUTOS!$D$2:$D$1006,$G975))</f>
        <v/>
      </c>
    </row>
    <row r="976" spans="7:20" ht="18" customHeight="1" x14ac:dyDescent="0.35">
      <c r="G976" t="str">
        <f ca="1">IFERROR(_xludf.aggregate(15,6,(ROW(BASE_PRODUTOS!$L$2:$L$1006)-ROW(BASE_PRODUTOS!$L$2)+1)/(BASE_PRODUTOS!$L$2:$L$1006&gt;0),ROWS($G$10:G976)),"")</f>
        <v/>
      </c>
      <c r="H976" s="9" t="str">
        <f ca="1">IF($G976="","",INDEX(BASE_PRODUTOS!$B$2:$B$1006,$G976))</f>
        <v/>
      </c>
      <c r="I976" s="9" t="str">
        <f ca="1">IF($G976="","",INDEX(BASE_PRODUTOS!$L$2:$L$1006,$G976))</f>
        <v/>
      </c>
      <c r="J976" s="9" t="str">
        <f ca="1">IF($G976="","",INDEX(BASE_PRODUTOS!$A$2:$A$1006,$G976))</f>
        <v/>
      </c>
      <c r="K976" s="9" t="str">
        <f ca="1">IF($G976="","",INDEX(BASE_PRODUTOS!$C$2:$C$1006,$G976))</f>
        <v/>
      </c>
      <c r="L976" s="9" t="str">
        <f ca="1">IF($G976="","",INDEX(BASE_PRODUTOS!$E$2:$E$1006,$G976))</f>
        <v/>
      </c>
      <c r="M976" s="9" t="str">
        <f ca="1">IF($G976="","",INDEX(BASE_PRODUTOS!$F$2:$F$1006,$G976))</f>
        <v/>
      </c>
      <c r="N976" s="9" t="str">
        <f ca="1">IF($G976="","",INDEX(BASE_PRODUTOS!$G$2:$G$1006,$G976))</f>
        <v/>
      </c>
      <c r="O976" s="9" t="str">
        <f ca="1">IF($G976="","",INDEX(BASE_PRODUTOS!$H$2:$H$1006,$G976))</f>
        <v/>
      </c>
      <c r="P976" s="9" t="str">
        <f ca="1">IF($G976="","",INDEX(BASE_PRODUTOS!$I$2:$I$1006,$G976))</f>
        <v/>
      </c>
      <c r="Q976" s="9" t="str">
        <f ca="1">IF($G976="","",INDEX(BASE_PRODUTOS!$J$2:$J$1006,$G976))</f>
        <v/>
      </c>
      <c r="R976" s="9" t="str">
        <f ca="1">IF($G976="","",INDEX(BASE_PRODUTOS!$M$2:$M$1006,$G976))</f>
        <v/>
      </c>
      <c r="S976" s="9" t="str">
        <f ca="1">IF($G976="","",INDEX(BASE_PRODUTOS!$N$2:$N$1006,$G976))</f>
        <v/>
      </c>
      <c r="T976" s="9" t="str">
        <f ca="1">IF($G976="","",INDEX(BASE_PRODUTOS!$D$2:$D$1006,$G976))</f>
        <v/>
      </c>
    </row>
    <row r="977" spans="7:20" ht="18" customHeight="1" x14ac:dyDescent="0.35">
      <c r="G977" t="str">
        <f ca="1">IFERROR(_xludf.aggregate(15,6,(ROW(BASE_PRODUTOS!$L$2:$L$1006)-ROW(BASE_PRODUTOS!$L$2)+1)/(BASE_PRODUTOS!$L$2:$L$1006&gt;0),ROWS($G$10:G977)),"")</f>
        <v/>
      </c>
      <c r="H977" s="9" t="str">
        <f ca="1">IF($G977="","",INDEX(BASE_PRODUTOS!$B$2:$B$1006,$G977))</f>
        <v/>
      </c>
      <c r="I977" s="9" t="str">
        <f ca="1">IF($G977="","",INDEX(BASE_PRODUTOS!$L$2:$L$1006,$G977))</f>
        <v/>
      </c>
      <c r="J977" s="9" t="str">
        <f ca="1">IF($G977="","",INDEX(BASE_PRODUTOS!$A$2:$A$1006,$G977))</f>
        <v/>
      </c>
      <c r="K977" s="9" t="str">
        <f ca="1">IF($G977="","",INDEX(BASE_PRODUTOS!$C$2:$C$1006,$G977))</f>
        <v/>
      </c>
      <c r="L977" s="9" t="str">
        <f ca="1">IF($G977="","",INDEX(BASE_PRODUTOS!$E$2:$E$1006,$G977))</f>
        <v/>
      </c>
      <c r="M977" s="9" t="str">
        <f ca="1">IF($G977="","",INDEX(BASE_PRODUTOS!$F$2:$F$1006,$G977))</f>
        <v/>
      </c>
      <c r="N977" s="9" t="str">
        <f ca="1">IF($G977="","",INDEX(BASE_PRODUTOS!$G$2:$G$1006,$G977))</f>
        <v/>
      </c>
      <c r="O977" s="9" t="str">
        <f ca="1">IF($G977="","",INDEX(BASE_PRODUTOS!$H$2:$H$1006,$G977))</f>
        <v/>
      </c>
      <c r="P977" s="9" t="str">
        <f ca="1">IF($G977="","",INDEX(BASE_PRODUTOS!$I$2:$I$1006,$G977))</f>
        <v/>
      </c>
      <c r="Q977" s="9" t="str">
        <f ca="1">IF($G977="","",INDEX(BASE_PRODUTOS!$J$2:$J$1006,$G977))</f>
        <v/>
      </c>
      <c r="R977" s="9" t="str">
        <f ca="1">IF($G977="","",INDEX(BASE_PRODUTOS!$M$2:$M$1006,$G977))</f>
        <v/>
      </c>
      <c r="S977" s="9" t="str">
        <f ca="1">IF($G977="","",INDEX(BASE_PRODUTOS!$N$2:$N$1006,$G977))</f>
        <v/>
      </c>
      <c r="T977" s="9" t="str">
        <f ca="1">IF($G977="","",INDEX(BASE_PRODUTOS!$D$2:$D$1006,$G977))</f>
        <v/>
      </c>
    </row>
    <row r="978" spans="7:20" ht="18" customHeight="1" x14ac:dyDescent="0.35">
      <c r="G978" t="str">
        <f ca="1">IFERROR(_xludf.aggregate(15,6,(ROW(BASE_PRODUTOS!$L$2:$L$1006)-ROW(BASE_PRODUTOS!$L$2)+1)/(BASE_PRODUTOS!$L$2:$L$1006&gt;0),ROWS($G$10:G978)),"")</f>
        <v/>
      </c>
      <c r="H978" s="9" t="str">
        <f ca="1">IF($G978="","",INDEX(BASE_PRODUTOS!$B$2:$B$1006,$G978))</f>
        <v/>
      </c>
      <c r="I978" s="9" t="str">
        <f ca="1">IF($G978="","",INDEX(BASE_PRODUTOS!$L$2:$L$1006,$G978))</f>
        <v/>
      </c>
      <c r="J978" s="9" t="str">
        <f ca="1">IF($G978="","",INDEX(BASE_PRODUTOS!$A$2:$A$1006,$G978))</f>
        <v/>
      </c>
      <c r="K978" s="9" t="str">
        <f ca="1">IF($G978="","",INDEX(BASE_PRODUTOS!$C$2:$C$1006,$G978))</f>
        <v/>
      </c>
      <c r="L978" s="9" t="str">
        <f ca="1">IF($G978="","",INDEX(BASE_PRODUTOS!$E$2:$E$1006,$G978))</f>
        <v/>
      </c>
      <c r="M978" s="9" t="str">
        <f ca="1">IF($G978="","",INDEX(BASE_PRODUTOS!$F$2:$F$1006,$G978))</f>
        <v/>
      </c>
      <c r="N978" s="9" t="str">
        <f ca="1">IF($G978="","",INDEX(BASE_PRODUTOS!$G$2:$G$1006,$G978))</f>
        <v/>
      </c>
      <c r="O978" s="9" t="str">
        <f ca="1">IF($G978="","",INDEX(BASE_PRODUTOS!$H$2:$H$1006,$G978))</f>
        <v/>
      </c>
      <c r="P978" s="9" t="str">
        <f ca="1">IF($G978="","",INDEX(BASE_PRODUTOS!$I$2:$I$1006,$G978))</f>
        <v/>
      </c>
      <c r="Q978" s="9" t="str">
        <f ca="1">IF($G978="","",INDEX(BASE_PRODUTOS!$J$2:$J$1006,$G978))</f>
        <v/>
      </c>
      <c r="R978" s="9" t="str">
        <f ca="1">IF($G978="","",INDEX(BASE_PRODUTOS!$M$2:$M$1006,$G978))</f>
        <v/>
      </c>
      <c r="S978" s="9" t="str">
        <f ca="1">IF($G978="","",INDEX(BASE_PRODUTOS!$N$2:$N$1006,$G978))</f>
        <v/>
      </c>
      <c r="T978" s="9" t="str">
        <f ca="1">IF($G978="","",INDEX(BASE_PRODUTOS!$D$2:$D$1006,$G978))</f>
        <v/>
      </c>
    </row>
    <row r="979" spans="7:20" ht="18" customHeight="1" x14ac:dyDescent="0.35">
      <c r="G979" t="str">
        <f ca="1">IFERROR(_xludf.aggregate(15,6,(ROW(BASE_PRODUTOS!$L$2:$L$1006)-ROW(BASE_PRODUTOS!$L$2)+1)/(BASE_PRODUTOS!$L$2:$L$1006&gt;0),ROWS($G$10:G979)),"")</f>
        <v/>
      </c>
      <c r="H979" s="9" t="str">
        <f ca="1">IF($G979="","",INDEX(BASE_PRODUTOS!$B$2:$B$1006,$G979))</f>
        <v/>
      </c>
      <c r="I979" s="9" t="str">
        <f ca="1">IF($G979="","",INDEX(BASE_PRODUTOS!$L$2:$L$1006,$G979))</f>
        <v/>
      </c>
      <c r="J979" s="9" t="str">
        <f ca="1">IF($G979="","",INDEX(BASE_PRODUTOS!$A$2:$A$1006,$G979))</f>
        <v/>
      </c>
      <c r="K979" s="9" t="str">
        <f ca="1">IF($G979="","",INDEX(BASE_PRODUTOS!$C$2:$C$1006,$G979))</f>
        <v/>
      </c>
      <c r="L979" s="9" t="str">
        <f ca="1">IF($G979="","",INDEX(BASE_PRODUTOS!$E$2:$E$1006,$G979))</f>
        <v/>
      </c>
      <c r="M979" s="9" t="str">
        <f ca="1">IF($G979="","",INDEX(BASE_PRODUTOS!$F$2:$F$1006,$G979))</f>
        <v/>
      </c>
      <c r="N979" s="9" t="str">
        <f ca="1">IF($G979="","",INDEX(BASE_PRODUTOS!$G$2:$G$1006,$G979))</f>
        <v/>
      </c>
      <c r="O979" s="9" t="str">
        <f ca="1">IF($G979="","",INDEX(BASE_PRODUTOS!$H$2:$H$1006,$G979))</f>
        <v/>
      </c>
      <c r="P979" s="9" t="str">
        <f ca="1">IF($G979="","",INDEX(BASE_PRODUTOS!$I$2:$I$1006,$G979))</f>
        <v/>
      </c>
      <c r="Q979" s="9" t="str">
        <f ca="1">IF($G979="","",INDEX(BASE_PRODUTOS!$J$2:$J$1006,$G979))</f>
        <v/>
      </c>
      <c r="R979" s="9" t="str">
        <f ca="1">IF($G979="","",INDEX(BASE_PRODUTOS!$M$2:$M$1006,$G979))</f>
        <v/>
      </c>
      <c r="S979" s="9" t="str">
        <f ca="1">IF($G979="","",INDEX(BASE_PRODUTOS!$N$2:$N$1006,$G979))</f>
        <v/>
      </c>
      <c r="T979" s="9" t="str">
        <f ca="1">IF($G979="","",INDEX(BASE_PRODUTOS!$D$2:$D$1006,$G979))</f>
        <v/>
      </c>
    </row>
    <row r="980" spans="7:20" ht="18" customHeight="1" x14ac:dyDescent="0.35">
      <c r="G980" t="str">
        <f ca="1">IFERROR(_xludf.aggregate(15,6,(ROW(BASE_PRODUTOS!$L$2:$L$1006)-ROW(BASE_PRODUTOS!$L$2)+1)/(BASE_PRODUTOS!$L$2:$L$1006&gt;0),ROWS($G$10:G980)),"")</f>
        <v/>
      </c>
      <c r="H980" s="9" t="str">
        <f ca="1">IF($G980="","",INDEX(BASE_PRODUTOS!$B$2:$B$1006,$G980))</f>
        <v/>
      </c>
      <c r="I980" s="9" t="str">
        <f ca="1">IF($G980="","",INDEX(BASE_PRODUTOS!$L$2:$L$1006,$G980))</f>
        <v/>
      </c>
      <c r="J980" s="9" t="str">
        <f ca="1">IF($G980="","",INDEX(BASE_PRODUTOS!$A$2:$A$1006,$G980))</f>
        <v/>
      </c>
      <c r="K980" s="9" t="str">
        <f ca="1">IF($G980="","",INDEX(BASE_PRODUTOS!$C$2:$C$1006,$G980))</f>
        <v/>
      </c>
      <c r="L980" s="9" t="str">
        <f ca="1">IF($G980="","",INDEX(BASE_PRODUTOS!$E$2:$E$1006,$G980))</f>
        <v/>
      </c>
      <c r="M980" s="9" t="str">
        <f ca="1">IF($G980="","",INDEX(BASE_PRODUTOS!$F$2:$F$1006,$G980))</f>
        <v/>
      </c>
      <c r="N980" s="9" t="str">
        <f ca="1">IF($G980="","",INDEX(BASE_PRODUTOS!$G$2:$G$1006,$G980))</f>
        <v/>
      </c>
      <c r="O980" s="9" t="str">
        <f ca="1">IF($G980="","",INDEX(BASE_PRODUTOS!$H$2:$H$1006,$G980))</f>
        <v/>
      </c>
      <c r="P980" s="9" t="str">
        <f ca="1">IF($G980="","",INDEX(BASE_PRODUTOS!$I$2:$I$1006,$G980))</f>
        <v/>
      </c>
      <c r="Q980" s="9" t="str">
        <f ca="1">IF($G980="","",INDEX(BASE_PRODUTOS!$J$2:$J$1006,$G980))</f>
        <v/>
      </c>
      <c r="R980" s="9" t="str">
        <f ca="1">IF($G980="","",INDEX(BASE_PRODUTOS!$M$2:$M$1006,$G980))</f>
        <v/>
      </c>
      <c r="S980" s="9" t="str">
        <f ca="1">IF($G980="","",INDEX(BASE_PRODUTOS!$N$2:$N$1006,$G980))</f>
        <v/>
      </c>
      <c r="T980" s="9" t="str">
        <f ca="1">IF($G980="","",INDEX(BASE_PRODUTOS!$D$2:$D$1006,$G980))</f>
        <v/>
      </c>
    </row>
    <row r="981" spans="7:20" ht="18" customHeight="1" x14ac:dyDescent="0.35">
      <c r="G981" t="str">
        <f ca="1">IFERROR(_xludf.aggregate(15,6,(ROW(BASE_PRODUTOS!$L$2:$L$1006)-ROW(BASE_PRODUTOS!$L$2)+1)/(BASE_PRODUTOS!$L$2:$L$1006&gt;0),ROWS($G$10:G981)),"")</f>
        <v/>
      </c>
      <c r="H981" s="9" t="str">
        <f ca="1">IF($G981="","",INDEX(BASE_PRODUTOS!$B$2:$B$1006,$G981))</f>
        <v/>
      </c>
      <c r="I981" s="9" t="str">
        <f ca="1">IF($G981="","",INDEX(BASE_PRODUTOS!$L$2:$L$1006,$G981))</f>
        <v/>
      </c>
      <c r="J981" s="9" t="str">
        <f ca="1">IF($G981="","",INDEX(BASE_PRODUTOS!$A$2:$A$1006,$G981))</f>
        <v/>
      </c>
      <c r="K981" s="9" t="str">
        <f ca="1">IF($G981="","",INDEX(BASE_PRODUTOS!$C$2:$C$1006,$G981))</f>
        <v/>
      </c>
      <c r="L981" s="9" t="str">
        <f ca="1">IF($G981="","",INDEX(BASE_PRODUTOS!$E$2:$E$1006,$G981))</f>
        <v/>
      </c>
      <c r="M981" s="9" t="str">
        <f ca="1">IF($G981="","",INDEX(BASE_PRODUTOS!$F$2:$F$1006,$G981))</f>
        <v/>
      </c>
      <c r="N981" s="9" t="str">
        <f ca="1">IF($G981="","",INDEX(BASE_PRODUTOS!$G$2:$G$1006,$G981))</f>
        <v/>
      </c>
      <c r="O981" s="9" t="str">
        <f ca="1">IF($G981="","",INDEX(BASE_PRODUTOS!$H$2:$H$1006,$G981))</f>
        <v/>
      </c>
      <c r="P981" s="9" t="str">
        <f ca="1">IF($G981="","",INDEX(BASE_PRODUTOS!$I$2:$I$1006,$G981))</f>
        <v/>
      </c>
      <c r="Q981" s="9" t="str">
        <f ca="1">IF($G981="","",INDEX(BASE_PRODUTOS!$J$2:$J$1006,$G981))</f>
        <v/>
      </c>
      <c r="R981" s="9" t="str">
        <f ca="1">IF($G981="","",INDEX(BASE_PRODUTOS!$M$2:$M$1006,$G981))</f>
        <v/>
      </c>
      <c r="S981" s="9" t="str">
        <f ca="1">IF($G981="","",INDEX(BASE_PRODUTOS!$N$2:$N$1006,$G981))</f>
        <v/>
      </c>
      <c r="T981" s="9" t="str">
        <f ca="1">IF($G981="","",INDEX(BASE_PRODUTOS!$D$2:$D$1006,$G981))</f>
        <v/>
      </c>
    </row>
    <row r="982" spans="7:20" ht="18" customHeight="1" x14ac:dyDescent="0.35">
      <c r="G982" t="str">
        <f ca="1">IFERROR(_xludf.aggregate(15,6,(ROW(BASE_PRODUTOS!$L$2:$L$1006)-ROW(BASE_PRODUTOS!$L$2)+1)/(BASE_PRODUTOS!$L$2:$L$1006&gt;0),ROWS($G$10:G982)),"")</f>
        <v/>
      </c>
      <c r="H982" s="9" t="str">
        <f ca="1">IF($G982="","",INDEX(BASE_PRODUTOS!$B$2:$B$1006,$G982))</f>
        <v/>
      </c>
      <c r="I982" s="9" t="str">
        <f ca="1">IF($G982="","",INDEX(BASE_PRODUTOS!$L$2:$L$1006,$G982))</f>
        <v/>
      </c>
      <c r="J982" s="9" t="str">
        <f ca="1">IF($G982="","",INDEX(BASE_PRODUTOS!$A$2:$A$1006,$G982))</f>
        <v/>
      </c>
      <c r="K982" s="9" t="str">
        <f ca="1">IF($G982="","",INDEX(BASE_PRODUTOS!$C$2:$C$1006,$G982))</f>
        <v/>
      </c>
      <c r="L982" s="9" t="str">
        <f ca="1">IF($G982="","",INDEX(BASE_PRODUTOS!$E$2:$E$1006,$G982))</f>
        <v/>
      </c>
      <c r="M982" s="9" t="str">
        <f ca="1">IF($G982="","",INDEX(BASE_PRODUTOS!$F$2:$F$1006,$G982))</f>
        <v/>
      </c>
      <c r="N982" s="9" t="str">
        <f ca="1">IF($G982="","",INDEX(BASE_PRODUTOS!$G$2:$G$1006,$G982))</f>
        <v/>
      </c>
      <c r="O982" s="9" t="str">
        <f ca="1">IF($G982="","",INDEX(BASE_PRODUTOS!$H$2:$H$1006,$G982))</f>
        <v/>
      </c>
      <c r="P982" s="9" t="str">
        <f ca="1">IF($G982="","",INDEX(BASE_PRODUTOS!$I$2:$I$1006,$G982))</f>
        <v/>
      </c>
      <c r="Q982" s="9" t="str">
        <f ca="1">IF($G982="","",INDEX(BASE_PRODUTOS!$J$2:$J$1006,$G982))</f>
        <v/>
      </c>
      <c r="R982" s="9" t="str">
        <f ca="1">IF($G982="","",INDEX(BASE_PRODUTOS!$M$2:$M$1006,$G982))</f>
        <v/>
      </c>
      <c r="S982" s="9" t="str">
        <f ca="1">IF($G982="","",INDEX(BASE_PRODUTOS!$N$2:$N$1006,$G982))</f>
        <v/>
      </c>
      <c r="T982" s="9" t="str">
        <f ca="1">IF($G982="","",INDEX(BASE_PRODUTOS!$D$2:$D$1006,$G982))</f>
        <v/>
      </c>
    </row>
    <row r="983" spans="7:20" ht="18" customHeight="1" x14ac:dyDescent="0.35">
      <c r="G983" t="str">
        <f ca="1">IFERROR(_xludf.aggregate(15,6,(ROW(BASE_PRODUTOS!$L$2:$L$1006)-ROW(BASE_PRODUTOS!$L$2)+1)/(BASE_PRODUTOS!$L$2:$L$1006&gt;0),ROWS($G$10:G983)),"")</f>
        <v/>
      </c>
      <c r="H983" s="9" t="str">
        <f ca="1">IF($G983="","",INDEX(BASE_PRODUTOS!$B$2:$B$1006,$G983))</f>
        <v/>
      </c>
      <c r="I983" s="9" t="str">
        <f ca="1">IF($G983="","",INDEX(BASE_PRODUTOS!$L$2:$L$1006,$G983))</f>
        <v/>
      </c>
      <c r="J983" s="9" t="str">
        <f ca="1">IF($G983="","",INDEX(BASE_PRODUTOS!$A$2:$A$1006,$G983))</f>
        <v/>
      </c>
      <c r="K983" s="9" t="str">
        <f ca="1">IF($G983="","",INDEX(BASE_PRODUTOS!$C$2:$C$1006,$G983))</f>
        <v/>
      </c>
      <c r="L983" s="9" t="str">
        <f ca="1">IF($G983="","",INDEX(BASE_PRODUTOS!$E$2:$E$1006,$G983))</f>
        <v/>
      </c>
      <c r="M983" s="9" t="str">
        <f ca="1">IF($G983="","",INDEX(BASE_PRODUTOS!$F$2:$F$1006,$G983))</f>
        <v/>
      </c>
      <c r="N983" s="9" t="str">
        <f ca="1">IF($G983="","",INDEX(BASE_PRODUTOS!$G$2:$G$1006,$G983))</f>
        <v/>
      </c>
      <c r="O983" s="9" t="str">
        <f ca="1">IF($G983="","",INDEX(BASE_PRODUTOS!$H$2:$H$1006,$G983))</f>
        <v/>
      </c>
      <c r="P983" s="9" t="str">
        <f ca="1">IF($G983="","",INDEX(BASE_PRODUTOS!$I$2:$I$1006,$G983))</f>
        <v/>
      </c>
      <c r="Q983" s="9" t="str">
        <f ca="1">IF($G983="","",INDEX(BASE_PRODUTOS!$J$2:$J$1006,$G983))</f>
        <v/>
      </c>
      <c r="R983" s="9" t="str">
        <f ca="1">IF($G983="","",INDEX(BASE_PRODUTOS!$M$2:$M$1006,$G983))</f>
        <v/>
      </c>
      <c r="S983" s="9" t="str">
        <f ca="1">IF($G983="","",INDEX(BASE_PRODUTOS!$N$2:$N$1006,$G983))</f>
        <v/>
      </c>
      <c r="T983" s="9" t="str">
        <f ca="1">IF($G983="","",INDEX(BASE_PRODUTOS!$D$2:$D$1006,$G983))</f>
        <v/>
      </c>
    </row>
    <row r="984" spans="7:20" ht="18" customHeight="1" x14ac:dyDescent="0.35">
      <c r="G984" t="str">
        <f ca="1">IFERROR(_xludf.aggregate(15,6,(ROW(BASE_PRODUTOS!$L$2:$L$1006)-ROW(BASE_PRODUTOS!$L$2)+1)/(BASE_PRODUTOS!$L$2:$L$1006&gt;0),ROWS($G$10:G984)),"")</f>
        <v/>
      </c>
      <c r="H984" s="9" t="str">
        <f ca="1">IF($G984="","",INDEX(BASE_PRODUTOS!$B$2:$B$1006,$G984))</f>
        <v/>
      </c>
      <c r="I984" s="9" t="str">
        <f ca="1">IF($G984="","",INDEX(BASE_PRODUTOS!$L$2:$L$1006,$G984))</f>
        <v/>
      </c>
      <c r="J984" s="9" t="str">
        <f ca="1">IF($G984="","",INDEX(BASE_PRODUTOS!$A$2:$A$1006,$G984))</f>
        <v/>
      </c>
      <c r="K984" s="9" t="str">
        <f ca="1">IF($G984="","",INDEX(BASE_PRODUTOS!$C$2:$C$1006,$G984))</f>
        <v/>
      </c>
      <c r="L984" s="9" t="str">
        <f ca="1">IF($G984="","",INDEX(BASE_PRODUTOS!$E$2:$E$1006,$G984))</f>
        <v/>
      </c>
      <c r="M984" s="9" t="str">
        <f ca="1">IF($G984="","",INDEX(BASE_PRODUTOS!$F$2:$F$1006,$G984))</f>
        <v/>
      </c>
      <c r="N984" s="9" t="str">
        <f ca="1">IF($G984="","",INDEX(BASE_PRODUTOS!$G$2:$G$1006,$G984))</f>
        <v/>
      </c>
      <c r="O984" s="9" t="str">
        <f ca="1">IF($G984="","",INDEX(BASE_PRODUTOS!$H$2:$H$1006,$G984))</f>
        <v/>
      </c>
      <c r="P984" s="9" t="str">
        <f ca="1">IF($G984="","",INDEX(BASE_PRODUTOS!$I$2:$I$1006,$G984))</f>
        <v/>
      </c>
      <c r="Q984" s="9" t="str">
        <f ca="1">IF($G984="","",INDEX(BASE_PRODUTOS!$J$2:$J$1006,$G984))</f>
        <v/>
      </c>
      <c r="R984" s="9" t="str">
        <f ca="1">IF($G984="","",INDEX(BASE_PRODUTOS!$M$2:$M$1006,$G984))</f>
        <v/>
      </c>
      <c r="S984" s="9" t="str">
        <f ca="1">IF($G984="","",INDEX(BASE_PRODUTOS!$N$2:$N$1006,$G984))</f>
        <v/>
      </c>
      <c r="T984" s="9" t="str">
        <f ca="1">IF($G984="","",INDEX(BASE_PRODUTOS!$D$2:$D$1006,$G984))</f>
        <v/>
      </c>
    </row>
    <row r="985" spans="7:20" ht="18" customHeight="1" x14ac:dyDescent="0.35">
      <c r="G985" t="str">
        <f ca="1">IFERROR(_xludf.aggregate(15,6,(ROW(BASE_PRODUTOS!$L$2:$L$1006)-ROW(BASE_PRODUTOS!$L$2)+1)/(BASE_PRODUTOS!$L$2:$L$1006&gt;0),ROWS($G$10:G985)),"")</f>
        <v/>
      </c>
      <c r="H985" s="9" t="str">
        <f ca="1">IF($G985="","",INDEX(BASE_PRODUTOS!$B$2:$B$1006,$G985))</f>
        <v/>
      </c>
      <c r="I985" s="9" t="str">
        <f ca="1">IF($G985="","",INDEX(BASE_PRODUTOS!$L$2:$L$1006,$G985))</f>
        <v/>
      </c>
      <c r="J985" s="9" t="str">
        <f ca="1">IF($G985="","",INDEX(BASE_PRODUTOS!$A$2:$A$1006,$G985))</f>
        <v/>
      </c>
      <c r="K985" s="9" t="str">
        <f ca="1">IF($G985="","",INDEX(BASE_PRODUTOS!$C$2:$C$1006,$G985))</f>
        <v/>
      </c>
      <c r="L985" s="9" t="str">
        <f ca="1">IF($G985="","",INDEX(BASE_PRODUTOS!$E$2:$E$1006,$G985))</f>
        <v/>
      </c>
      <c r="M985" s="9" t="str">
        <f ca="1">IF($G985="","",INDEX(BASE_PRODUTOS!$F$2:$F$1006,$G985))</f>
        <v/>
      </c>
      <c r="N985" s="9" t="str">
        <f ca="1">IF($G985="","",INDEX(BASE_PRODUTOS!$G$2:$G$1006,$G985))</f>
        <v/>
      </c>
      <c r="O985" s="9" t="str">
        <f ca="1">IF($G985="","",INDEX(BASE_PRODUTOS!$H$2:$H$1006,$G985))</f>
        <v/>
      </c>
      <c r="P985" s="9" t="str">
        <f ca="1">IF($G985="","",INDEX(BASE_PRODUTOS!$I$2:$I$1006,$G985))</f>
        <v/>
      </c>
      <c r="Q985" s="9" t="str">
        <f ca="1">IF($G985="","",INDEX(BASE_PRODUTOS!$J$2:$J$1006,$G985))</f>
        <v/>
      </c>
      <c r="R985" s="9" t="str">
        <f ca="1">IF($G985="","",INDEX(BASE_PRODUTOS!$M$2:$M$1006,$G985))</f>
        <v/>
      </c>
      <c r="S985" s="9" t="str">
        <f ca="1">IF($G985="","",INDEX(BASE_PRODUTOS!$N$2:$N$1006,$G985))</f>
        <v/>
      </c>
      <c r="T985" s="9" t="str">
        <f ca="1">IF($G985="","",INDEX(BASE_PRODUTOS!$D$2:$D$1006,$G985))</f>
        <v/>
      </c>
    </row>
    <row r="986" spans="7:20" ht="18" customHeight="1" x14ac:dyDescent="0.35">
      <c r="G986" t="str">
        <f ca="1">IFERROR(_xludf.aggregate(15,6,(ROW(BASE_PRODUTOS!$L$2:$L$1006)-ROW(BASE_PRODUTOS!$L$2)+1)/(BASE_PRODUTOS!$L$2:$L$1006&gt;0),ROWS($G$10:G986)),"")</f>
        <v/>
      </c>
      <c r="H986" s="9" t="str">
        <f ca="1">IF($G986="","",INDEX(BASE_PRODUTOS!$B$2:$B$1006,$G986))</f>
        <v/>
      </c>
      <c r="I986" s="9" t="str">
        <f ca="1">IF($G986="","",INDEX(BASE_PRODUTOS!$L$2:$L$1006,$G986))</f>
        <v/>
      </c>
      <c r="J986" s="9" t="str">
        <f ca="1">IF($G986="","",INDEX(BASE_PRODUTOS!$A$2:$A$1006,$G986))</f>
        <v/>
      </c>
      <c r="K986" s="9" t="str">
        <f ca="1">IF($G986="","",INDEX(BASE_PRODUTOS!$C$2:$C$1006,$G986))</f>
        <v/>
      </c>
      <c r="L986" s="9" t="str">
        <f ca="1">IF($G986="","",INDEX(BASE_PRODUTOS!$E$2:$E$1006,$G986))</f>
        <v/>
      </c>
      <c r="M986" s="9" t="str">
        <f ca="1">IF($G986="","",INDEX(BASE_PRODUTOS!$F$2:$F$1006,$G986))</f>
        <v/>
      </c>
      <c r="N986" s="9" t="str">
        <f ca="1">IF($G986="","",INDEX(BASE_PRODUTOS!$G$2:$G$1006,$G986))</f>
        <v/>
      </c>
      <c r="O986" s="9" t="str">
        <f ca="1">IF($G986="","",INDEX(BASE_PRODUTOS!$H$2:$H$1006,$G986))</f>
        <v/>
      </c>
      <c r="P986" s="9" t="str">
        <f ca="1">IF($G986="","",INDEX(BASE_PRODUTOS!$I$2:$I$1006,$G986))</f>
        <v/>
      </c>
      <c r="Q986" s="9" t="str">
        <f ca="1">IF($G986="","",INDEX(BASE_PRODUTOS!$J$2:$J$1006,$G986))</f>
        <v/>
      </c>
      <c r="R986" s="9" t="str">
        <f ca="1">IF($G986="","",INDEX(BASE_PRODUTOS!$M$2:$M$1006,$G986))</f>
        <v/>
      </c>
      <c r="S986" s="9" t="str">
        <f ca="1">IF($G986="","",INDEX(BASE_PRODUTOS!$N$2:$N$1006,$G986))</f>
        <v/>
      </c>
      <c r="T986" s="9" t="str">
        <f ca="1">IF($G986="","",INDEX(BASE_PRODUTOS!$D$2:$D$1006,$G986))</f>
        <v/>
      </c>
    </row>
    <row r="987" spans="7:20" ht="18" customHeight="1" x14ac:dyDescent="0.35">
      <c r="G987" t="str">
        <f ca="1">IFERROR(_xludf.aggregate(15,6,(ROW(BASE_PRODUTOS!$L$2:$L$1006)-ROW(BASE_PRODUTOS!$L$2)+1)/(BASE_PRODUTOS!$L$2:$L$1006&gt;0),ROWS($G$10:G987)),"")</f>
        <v/>
      </c>
      <c r="H987" s="9" t="str">
        <f ca="1">IF($G987="","",INDEX(BASE_PRODUTOS!$B$2:$B$1006,$G987))</f>
        <v/>
      </c>
      <c r="I987" s="9" t="str">
        <f ca="1">IF($G987="","",INDEX(BASE_PRODUTOS!$L$2:$L$1006,$G987))</f>
        <v/>
      </c>
      <c r="J987" s="9" t="str">
        <f ca="1">IF($G987="","",INDEX(BASE_PRODUTOS!$A$2:$A$1006,$G987))</f>
        <v/>
      </c>
      <c r="K987" s="9" t="str">
        <f ca="1">IF($G987="","",INDEX(BASE_PRODUTOS!$C$2:$C$1006,$G987))</f>
        <v/>
      </c>
      <c r="L987" s="9" t="str">
        <f ca="1">IF($G987="","",INDEX(BASE_PRODUTOS!$E$2:$E$1006,$G987))</f>
        <v/>
      </c>
      <c r="M987" s="9" t="str">
        <f ca="1">IF($G987="","",INDEX(BASE_PRODUTOS!$F$2:$F$1006,$G987))</f>
        <v/>
      </c>
      <c r="N987" s="9" t="str">
        <f ca="1">IF($G987="","",INDEX(BASE_PRODUTOS!$G$2:$G$1006,$G987))</f>
        <v/>
      </c>
      <c r="O987" s="9" t="str">
        <f ca="1">IF($G987="","",INDEX(BASE_PRODUTOS!$H$2:$H$1006,$G987))</f>
        <v/>
      </c>
      <c r="P987" s="9" t="str">
        <f ca="1">IF($G987="","",INDEX(BASE_PRODUTOS!$I$2:$I$1006,$G987))</f>
        <v/>
      </c>
      <c r="Q987" s="9" t="str">
        <f ca="1">IF($G987="","",INDEX(BASE_PRODUTOS!$J$2:$J$1006,$G987))</f>
        <v/>
      </c>
      <c r="R987" s="9" t="str">
        <f ca="1">IF($G987="","",INDEX(BASE_PRODUTOS!$M$2:$M$1006,$G987))</f>
        <v/>
      </c>
      <c r="S987" s="9" t="str">
        <f ca="1">IF($G987="","",INDEX(BASE_PRODUTOS!$N$2:$N$1006,$G987))</f>
        <v/>
      </c>
      <c r="T987" s="9" t="str">
        <f ca="1">IF($G987="","",INDEX(BASE_PRODUTOS!$D$2:$D$1006,$G987))</f>
        <v/>
      </c>
    </row>
    <row r="988" spans="7:20" ht="18" customHeight="1" x14ac:dyDescent="0.35">
      <c r="G988" t="str">
        <f ca="1">IFERROR(_xludf.aggregate(15,6,(ROW(BASE_PRODUTOS!$L$2:$L$1006)-ROW(BASE_PRODUTOS!$L$2)+1)/(BASE_PRODUTOS!$L$2:$L$1006&gt;0),ROWS($G$10:G988)),"")</f>
        <v/>
      </c>
      <c r="H988" s="9" t="str">
        <f ca="1">IF($G988="","",INDEX(BASE_PRODUTOS!$B$2:$B$1006,$G988))</f>
        <v/>
      </c>
      <c r="I988" s="9" t="str">
        <f ca="1">IF($G988="","",INDEX(BASE_PRODUTOS!$L$2:$L$1006,$G988))</f>
        <v/>
      </c>
      <c r="J988" s="9" t="str">
        <f ca="1">IF($G988="","",INDEX(BASE_PRODUTOS!$A$2:$A$1006,$G988))</f>
        <v/>
      </c>
      <c r="K988" s="9" t="str">
        <f ca="1">IF($G988="","",INDEX(BASE_PRODUTOS!$C$2:$C$1006,$G988))</f>
        <v/>
      </c>
      <c r="L988" s="9" t="str">
        <f ca="1">IF($G988="","",INDEX(BASE_PRODUTOS!$E$2:$E$1006,$G988))</f>
        <v/>
      </c>
      <c r="M988" s="9" t="str">
        <f ca="1">IF($G988="","",INDEX(BASE_PRODUTOS!$F$2:$F$1006,$G988))</f>
        <v/>
      </c>
      <c r="N988" s="9" t="str">
        <f ca="1">IF($G988="","",INDEX(BASE_PRODUTOS!$G$2:$G$1006,$G988))</f>
        <v/>
      </c>
      <c r="O988" s="9" t="str">
        <f ca="1">IF($G988="","",INDEX(BASE_PRODUTOS!$H$2:$H$1006,$G988))</f>
        <v/>
      </c>
      <c r="P988" s="9" t="str">
        <f ca="1">IF($G988="","",INDEX(BASE_PRODUTOS!$I$2:$I$1006,$G988))</f>
        <v/>
      </c>
      <c r="Q988" s="9" t="str">
        <f ca="1">IF($G988="","",INDEX(BASE_PRODUTOS!$J$2:$J$1006,$G988))</f>
        <v/>
      </c>
      <c r="R988" s="9" t="str">
        <f ca="1">IF($G988="","",INDEX(BASE_PRODUTOS!$M$2:$M$1006,$G988))</f>
        <v/>
      </c>
      <c r="S988" s="9" t="str">
        <f ca="1">IF($G988="","",INDEX(BASE_PRODUTOS!$N$2:$N$1006,$G988))</f>
        <v/>
      </c>
      <c r="T988" s="9" t="str">
        <f ca="1">IF($G988="","",INDEX(BASE_PRODUTOS!$D$2:$D$1006,$G988))</f>
        <v/>
      </c>
    </row>
    <row r="989" spans="7:20" ht="18" customHeight="1" x14ac:dyDescent="0.35">
      <c r="G989" t="str">
        <f ca="1">IFERROR(_xludf.aggregate(15,6,(ROW(BASE_PRODUTOS!$L$2:$L$1006)-ROW(BASE_PRODUTOS!$L$2)+1)/(BASE_PRODUTOS!$L$2:$L$1006&gt;0),ROWS($G$10:G989)),"")</f>
        <v/>
      </c>
      <c r="H989" s="9" t="str">
        <f ca="1">IF($G989="","",INDEX(BASE_PRODUTOS!$B$2:$B$1006,$G989))</f>
        <v/>
      </c>
      <c r="I989" s="9" t="str">
        <f ca="1">IF($G989="","",INDEX(BASE_PRODUTOS!$L$2:$L$1006,$G989))</f>
        <v/>
      </c>
      <c r="J989" s="9" t="str">
        <f ca="1">IF($G989="","",INDEX(BASE_PRODUTOS!$A$2:$A$1006,$G989))</f>
        <v/>
      </c>
      <c r="K989" s="9" t="str">
        <f ca="1">IF($G989="","",INDEX(BASE_PRODUTOS!$C$2:$C$1006,$G989))</f>
        <v/>
      </c>
      <c r="L989" s="9" t="str">
        <f ca="1">IF($G989="","",INDEX(BASE_PRODUTOS!$E$2:$E$1006,$G989))</f>
        <v/>
      </c>
      <c r="M989" s="9" t="str">
        <f ca="1">IF($G989="","",INDEX(BASE_PRODUTOS!$F$2:$F$1006,$G989))</f>
        <v/>
      </c>
      <c r="N989" s="9" t="str">
        <f ca="1">IF($G989="","",INDEX(BASE_PRODUTOS!$G$2:$G$1006,$G989))</f>
        <v/>
      </c>
      <c r="O989" s="9" t="str">
        <f ca="1">IF($G989="","",INDEX(BASE_PRODUTOS!$H$2:$H$1006,$G989))</f>
        <v/>
      </c>
      <c r="P989" s="9" t="str">
        <f ca="1">IF($G989="","",INDEX(BASE_PRODUTOS!$I$2:$I$1006,$G989))</f>
        <v/>
      </c>
      <c r="Q989" s="9" t="str">
        <f ca="1">IF($G989="","",INDEX(BASE_PRODUTOS!$J$2:$J$1006,$G989))</f>
        <v/>
      </c>
      <c r="R989" s="9" t="str">
        <f ca="1">IF($G989="","",INDEX(BASE_PRODUTOS!$M$2:$M$1006,$G989))</f>
        <v/>
      </c>
      <c r="S989" s="9" t="str">
        <f ca="1">IF($G989="","",INDEX(BASE_PRODUTOS!$N$2:$N$1006,$G989))</f>
        <v/>
      </c>
      <c r="T989" s="9" t="str">
        <f ca="1">IF($G989="","",INDEX(BASE_PRODUTOS!$D$2:$D$1006,$G989))</f>
        <v/>
      </c>
    </row>
    <row r="990" spans="7:20" ht="18" customHeight="1" x14ac:dyDescent="0.35">
      <c r="G990" t="str">
        <f ca="1">IFERROR(_xludf.aggregate(15,6,(ROW(BASE_PRODUTOS!$L$2:$L$1006)-ROW(BASE_PRODUTOS!$L$2)+1)/(BASE_PRODUTOS!$L$2:$L$1006&gt;0),ROWS($G$10:G990)),"")</f>
        <v/>
      </c>
      <c r="H990" s="9" t="str">
        <f ca="1">IF($G990="","",INDEX(BASE_PRODUTOS!$B$2:$B$1006,$G990))</f>
        <v/>
      </c>
      <c r="I990" s="9" t="str">
        <f ca="1">IF($G990="","",INDEX(BASE_PRODUTOS!$L$2:$L$1006,$G990))</f>
        <v/>
      </c>
      <c r="J990" s="9" t="str">
        <f ca="1">IF($G990="","",INDEX(BASE_PRODUTOS!$A$2:$A$1006,$G990))</f>
        <v/>
      </c>
      <c r="K990" s="9" t="str">
        <f ca="1">IF($G990="","",INDEX(BASE_PRODUTOS!$C$2:$C$1006,$G990))</f>
        <v/>
      </c>
      <c r="L990" s="9" t="str">
        <f ca="1">IF($G990="","",INDEX(BASE_PRODUTOS!$E$2:$E$1006,$G990))</f>
        <v/>
      </c>
      <c r="M990" s="9" t="str">
        <f ca="1">IF($G990="","",INDEX(BASE_PRODUTOS!$F$2:$F$1006,$G990))</f>
        <v/>
      </c>
      <c r="N990" s="9" t="str">
        <f ca="1">IF($G990="","",INDEX(BASE_PRODUTOS!$G$2:$G$1006,$G990))</f>
        <v/>
      </c>
      <c r="O990" s="9" t="str">
        <f ca="1">IF($G990="","",INDEX(BASE_PRODUTOS!$H$2:$H$1006,$G990))</f>
        <v/>
      </c>
      <c r="P990" s="9" t="str">
        <f ca="1">IF($G990="","",INDEX(BASE_PRODUTOS!$I$2:$I$1006,$G990))</f>
        <v/>
      </c>
      <c r="Q990" s="9" t="str">
        <f ca="1">IF($G990="","",INDEX(BASE_PRODUTOS!$J$2:$J$1006,$G990))</f>
        <v/>
      </c>
      <c r="R990" s="9" t="str">
        <f ca="1">IF($G990="","",INDEX(BASE_PRODUTOS!$M$2:$M$1006,$G990))</f>
        <v/>
      </c>
      <c r="S990" s="9" t="str">
        <f ca="1">IF($G990="","",INDEX(BASE_PRODUTOS!$N$2:$N$1006,$G990))</f>
        <v/>
      </c>
      <c r="T990" s="9" t="str">
        <f ca="1">IF($G990="","",INDEX(BASE_PRODUTOS!$D$2:$D$1006,$G990))</f>
        <v/>
      </c>
    </row>
    <row r="991" spans="7:20" ht="18" customHeight="1" x14ac:dyDescent="0.35">
      <c r="G991" t="str">
        <f ca="1">IFERROR(_xludf.aggregate(15,6,(ROW(BASE_PRODUTOS!$L$2:$L$1006)-ROW(BASE_PRODUTOS!$L$2)+1)/(BASE_PRODUTOS!$L$2:$L$1006&gt;0),ROWS($G$10:G991)),"")</f>
        <v/>
      </c>
      <c r="H991" s="9" t="str">
        <f ca="1">IF($G991="","",INDEX(BASE_PRODUTOS!$B$2:$B$1006,$G991))</f>
        <v/>
      </c>
      <c r="I991" s="9" t="str">
        <f ca="1">IF($G991="","",INDEX(BASE_PRODUTOS!$L$2:$L$1006,$G991))</f>
        <v/>
      </c>
      <c r="J991" s="9" t="str">
        <f ca="1">IF($G991="","",INDEX(BASE_PRODUTOS!$A$2:$A$1006,$G991))</f>
        <v/>
      </c>
      <c r="K991" s="9" t="str">
        <f ca="1">IF($G991="","",INDEX(BASE_PRODUTOS!$C$2:$C$1006,$G991))</f>
        <v/>
      </c>
      <c r="L991" s="9" t="str">
        <f ca="1">IF($G991="","",INDEX(BASE_PRODUTOS!$E$2:$E$1006,$G991))</f>
        <v/>
      </c>
      <c r="M991" s="9" t="str">
        <f ca="1">IF($G991="","",INDEX(BASE_PRODUTOS!$F$2:$F$1006,$G991))</f>
        <v/>
      </c>
      <c r="N991" s="9" t="str">
        <f ca="1">IF($G991="","",INDEX(BASE_PRODUTOS!$G$2:$G$1006,$G991))</f>
        <v/>
      </c>
      <c r="O991" s="9" t="str">
        <f ca="1">IF($G991="","",INDEX(BASE_PRODUTOS!$H$2:$H$1006,$G991))</f>
        <v/>
      </c>
      <c r="P991" s="9" t="str">
        <f ca="1">IF($G991="","",INDEX(BASE_PRODUTOS!$I$2:$I$1006,$G991))</f>
        <v/>
      </c>
      <c r="Q991" s="9" t="str">
        <f ca="1">IF($G991="","",INDEX(BASE_PRODUTOS!$J$2:$J$1006,$G991))</f>
        <v/>
      </c>
      <c r="R991" s="9" t="str">
        <f ca="1">IF($G991="","",INDEX(BASE_PRODUTOS!$M$2:$M$1006,$G991))</f>
        <v/>
      </c>
      <c r="S991" s="9" t="str">
        <f ca="1">IF($G991="","",INDEX(BASE_PRODUTOS!$N$2:$N$1006,$G991))</f>
        <v/>
      </c>
      <c r="T991" s="9" t="str">
        <f ca="1">IF($G991="","",INDEX(BASE_PRODUTOS!$D$2:$D$1006,$G991))</f>
        <v/>
      </c>
    </row>
    <row r="992" spans="7:20" ht="18" customHeight="1" x14ac:dyDescent="0.35">
      <c r="G992" t="str">
        <f ca="1">IFERROR(_xludf.aggregate(15,6,(ROW(BASE_PRODUTOS!$L$2:$L$1006)-ROW(BASE_PRODUTOS!$L$2)+1)/(BASE_PRODUTOS!$L$2:$L$1006&gt;0),ROWS($G$10:G992)),"")</f>
        <v/>
      </c>
      <c r="H992" s="9" t="str">
        <f ca="1">IF($G992="","",INDEX(BASE_PRODUTOS!$B$2:$B$1006,$G992))</f>
        <v/>
      </c>
      <c r="I992" s="9" t="str">
        <f ca="1">IF($G992="","",INDEX(BASE_PRODUTOS!$L$2:$L$1006,$G992))</f>
        <v/>
      </c>
      <c r="J992" s="9" t="str">
        <f ca="1">IF($G992="","",INDEX(BASE_PRODUTOS!$A$2:$A$1006,$G992))</f>
        <v/>
      </c>
      <c r="K992" s="9" t="str">
        <f ca="1">IF($G992="","",INDEX(BASE_PRODUTOS!$C$2:$C$1006,$G992))</f>
        <v/>
      </c>
      <c r="L992" s="9" t="str">
        <f ca="1">IF($G992="","",INDEX(BASE_PRODUTOS!$E$2:$E$1006,$G992))</f>
        <v/>
      </c>
      <c r="M992" s="9" t="str">
        <f ca="1">IF($G992="","",INDEX(BASE_PRODUTOS!$F$2:$F$1006,$G992))</f>
        <v/>
      </c>
      <c r="N992" s="9" t="str">
        <f ca="1">IF($G992="","",INDEX(BASE_PRODUTOS!$G$2:$G$1006,$G992))</f>
        <v/>
      </c>
      <c r="O992" s="9" t="str">
        <f ca="1">IF($G992="","",INDEX(BASE_PRODUTOS!$H$2:$H$1006,$G992))</f>
        <v/>
      </c>
      <c r="P992" s="9" t="str">
        <f ca="1">IF($G992="","",INDEX(BASE_PRODUTOS!$I$2:$I$1006,$G992))</f>
        <v/>
      </c>
      <c r="Q992" s="9" t="str">
        <f ca="1">IF($G992="","",INDEX(BASE_PRODUTOS!$J$2:$J$1006,$G992))</f>
        <v/>
      </c>
      <c r="R992" s="9" t="str">
        <f ca="1">IF($G992="","",INDEX(BASE_PRODUTOS!$M$2:$M$1006,$G992))</f>
        <v/>
      </c>
      <c r="S992" s="9" t="str">
        <f ca="1">IF($G992="","",INDEX(BASE_PRODUTOS!$N$2:$N$1006,$G992))</f>
        <v/>
      </c>
      <c r="T992" s="9" t="str">
        <f ca="1">IF($G992="","",INDEX(BASE_PRODUTOS!$D$2:$D$1006,$G992))</f>
        <v/>
      </c>
    </row>
    <row r="993" spans="7:20" ht="18" customHeight="1" x14ac:dyDescent="0.35">
      <c r="G993" t="str">
        <f ca="1">IFERROR(_xludf.aggregate(15,6,(ROW(BASE_PRODUTOS!$L$2:$L$1006)-ROW(BASE_PRODUTOS!$L$2)+1)/(BASE_PRODUTOS!$L$2:$L$1006&gt;0),ROWS($G$10:G993)),"")</f>
        <v/>
      </c>
      <c r="H993" s="9" t="str">
        <f ca="1">IF($G993="","",INDEX(BASE_PRODUTOS!$B$2:$B$1006,$G993))</f>
        <v/>
      </c>
      <c r="I993" s="9" t="str">
        <f ca="1">IF($G993="","",INDEX(BASE_PRODUTOS!$L$2:$L$1006,$G993))</f>
        <v/>
      </c>
      <c r="J993" s="9" t="str">
        <f ca="1">IF($G993="","",INDEX(BASE_PRODUTOS!$A$2:$A$1006,$G993))</f>
        <v/>
      </c>
      <c r="K993" s="9" t="str">
        <f ca="1">IF($G993="","",INDEX(BASE_PRODUTOS!$C$2:$C$1006,$G993))</f>
        <v/>
      </c>
      <c r="L993" s="9" t="str">
        <f ca="1">IF($G993="","",INDEX(BASE_PRODUTOS!$E$2:$E$1006,$G993))</f>
        <v/>
      </c>
      <c r="M993" s="9" t="str">
        <f ca="1">IF($G993="","",INDEX(BASE_PRODUTOS!$F$2:$F$1006,$G993))</f>
        <v/>
      </c>
      <c r="N993" s="9" t="str">
        <f ca="1">IF($G993="","",INDEX(BASE_PRODUTOS!$G$2:$G$1006,$G993))</f>
        <v/>
      </c>
      <c r="O993" s="9" t="str">
        <f ca="1">IF($G993="","",INDEX(BASE_PRODUTOS!$H$2:$H$1006,$G993))</f>
        <v/>
      </c>
      <c r="P993" s="9" t="str">
        <f ca="1">IF($G993="","",INDEX(BASE_PRODUTOS!$I$2:$I$1006,$G993))</f>
        <v/>
      </c>
      <c r="Q993" s="9" t="str">
        <f ca="1">IF($G993="","",INDEX(BASE_PRODUTOS!$J$2:$J$1006,$G993))</f>
        <v/>
      </c>
      <c r="R993" s="9" t="str">
        <f ca="1">IF($G993="","",INDEX(BASE_PRODUTOS!$M$2:$M$1006,$G993))</f>
        <v/>
      </c>
      <c r="S993" s="9" t="str">
        <f ca="1">IF($G993="","",INDEX(BASE_PRODUTOS!$N$2:$N$1006,$G993))</f>
        <v/>
      </c>
      <c r="T993" s="9" t="str">
        <f ca="1">IF($G993="","",INDEX(BASE_PRODUTOS!$D$2:$D$1006,$G993))</f>
        <v/>
      </c>
    </row>
    <row r="994" spans="7:20" ht="18" customHeight="1" x14ac:dyDescent="0.35">
      <c r="G994" t="str">
        <f ca="1">IFERROR(_xludf.aggregate(15,6,(ROW(BASE_PRODUTOS!$L$2:$L$1006)-ROW(BASE_PRODUTOS!$L$2)+1)/(BASE_PRODUTOS!$L$2:$L$1006&gt;0),ROWS($G$10:G994)),"")</f>
        <v/>
      </c>
      <c r="H994" s="9" t="str">
        <f ca="1">IF($G994="","",INDEX(BASE_PRODUTOS!$B$2:$B$1006,$G994))</f>
        <v/>
      </c>
      <c r="I994" s="9" t="str">
        <f ca="1">IF($G994="","",INDEX(BASE_PRODUTOS!$L$2:$L$1006,$G994))</f>
        <v/>
      </c>
      <c r="J994" s="9" t="str">
        <f ca="1">IF($G994="","",INDEX(BASE_PRODUTOS!$A$2:$A$1006,$G994))</f>
        <v/>
      </c>
      <c r="K994" s="9" t="str">
        <f ca="1">IF($G994="","",INDEX(BASE_PRODUTOS!$C$2:$C$1006,$G994))</f>
        <v/>
      </c>
      <c r="L994" s="9" t="str">
        <f ca="1">IF($G994="","",INDEX(BASE_PRODUTOS!$E$2:$E$1006,$G994))</f>
        <v/>
      </c>
      <c r="M994" s="9" t="str">
        <f ca="1">IF($G994="","",INDEX(BASE_PRODUTOS!$F$2:$F$1006,$G994))</f>
        <v/>
      </c>
      <c r="N994" s="9" t="str">
        <f ca="1">IF($G994="","",INDEX(BASE_PRODUTOS!$G$2:$G$1006,$G994))</f>
        <v/>
      </c>
      <c r="O994" s="9" t="str">
        <f ca="1">IF($G994="","",INDEX(BASE_PRODUTOS!$H$2:$H$1006,$G994))</f>
        <v/>
      </c>
      <c r="P994" s="9" t="str">
        <f ca="1">IF($G994="","",INDEX(BASE_PRODUTOS!$I$2:$I$1006,$G994))</f>
        <v/>
      </c>
      <c r="Q994" s="9" t="str">
        <f ca="1">IF($G994="","",INDEX(BASE_PRODUTOS!$J$2:$J$1006,$G994))</f>
        <v/>
      </c>
      <c r="R994" s="9" t="str">
        <f ca="1">IF($G994="","",INDEX(BASE_PRODUTOS!$M$2:$M$1006,$G994))</f>
        <v/>
      </c>
      <c r="S994" s="9" t="str">
        <f ca="1">IF($G994="","",INDEX(BASE_PRODUTOS!$N$2:$N$1006,$G994))</f>
        <v/>
      </c>
      <c r="T994" s="9" t="str">
        <f ca="1">IF($G994="","",INDEX(BASE_PRODUTOS!$D$2:$D$1006,$G994))</f>
        <v/>
      </c>
    </row>
    <row r="995" spans="7:20" ht="18" customHeight="1" x14ac:dyDescent="0.35">
      <c r="G995" t="str">
        <f ca="1">IFERROR(_xludf.aggregate(15,6,(ROW(BASE_PRODUTOS!$L$2:$L$1006)-ROW(BASE_PRODUTOS!$L$2)+1)/(BASE_PRODUTOS!$L$2:$L$1006&gt;0),ROWS($G$10:G995)),"")</f>
        <v/>
      </c>
      <c r="H995" s="9" t="str">
        <f ca="1">IF($G995="","",INDEX(BASE_PRODUTOS!$B$2:$B$1006,$G995))</f>
        <v/>
      </c>
      <c r="I995" s="9" t="str">
        <f ca="1">IF($G995="","",INDEX(BASE_PRODUTOS!$L$2:$L$1006,$G995))</f>
        <v/>
      </c>
      <c r="J995" s="9" t="str">
        <f ca="1">IF($G995="","",INDEX(BASE_PRODUTOS!$A$2:$A$1006,$G995))</f>
        <v/>
      </c>
      <c r="K995" s="9" t="str">
        <f ca="1">IF($G995="","",INDEX(BASE_PRODUTOS!$C$2:$C$1006,$G995))</f>
        <v/>
      </c>
      <c r="L995" s="9" t="str">
        <f ca="1">IF($G995="","",INDEX(BASE_PRODUTOS!$E$2:$E$1006,$G995))</f>
        <v/>
      </c>
      <c r="M995" s="9" t="str">
        <f ca="1">IF($G995="","",INDEX(BASE_PRODUTOS!$F$2:$F$1006,$G995))</f>
        <v/>
      </c>
      <c r="N995" s="9" t="str">
        <f ca="1">IF($G995="","",INDEX(BASE_PRODUTOS!$G$2:$G$1006,$G995))</f>
        <v/>
      </c>
      <c r="O995" s="9" t="str">
        <f ca="1">IF($G995="","",INDEX(BASE_PRODUTOS!$H$2:$H$1006,$G995))</f>
        <v/>
      </c>
      <c r="P995" s="9" t="str">
        <f ca="1">IF($G995="","",INDEX(BASE_PRODUTOS!$I$2:$I$1006,$G995))</f>
        <v/>
      </c>
      <c r="Q995" s="9" t="str">
        <f ca="1">IF($G995="","",INDEX(BASE_PRODUTOS!$J$2:$J$1006,$G995))</f>
        <v/>
      </c>
      <c r="R995" s="9" t="str">
        <f ca="1">IF($G995="","",INDEX(BASE_PRODUTOS!$M$2:$M$1006,$G995))</f>
        <v/>
      </c>
      <c r="S995" s="9" t="str">
        <f ca="1">IF($G995="","",INDEX(BASE_PRODUTOS!$N$2:$N$1006,$G995))</f>
        <v/>
      </c>
      <c r="T995" s="9" t="str">
        <f ca="1">IF($G995="","",INDEX(BASE_PRODUTOS!$D$2:$D$1006,$G995))</f>
        <v/>
      </c>
    </row>
    <row r="996" spans="7:20" ht="18" customHeight="1" x14ac:dyDescent="0.35">
      <c r="G996" t="str">
        <f ca="1">IFERROR(_xludf.aggregate(15,6,(ROW(BASE_PRODUTOS!$L$2:$L$1006)-ROW(BASE_PRODUTOS!$L$2)+1)/(BASE_PRODUTOS!$L$2:$L$1006&gt;0),ROWS($G$10:G996)),"")</f>
        <v/>
      </c>
      <c r="H996" s="9" t="str">
        <f ca="1">IF($G996="","",INDEX(BASE_PRODUTOS!$B$2:$B$1006,$G996))</f>
        <v/>
      </c>
      <c r="I996" s="9" t="str">
        <f ca="1">IF($G996="","",INDEX(BASE_PRODUTOS!$L$2:$L$1006,$G996))</f>
        <v/>
      </c>
      <c r="J996" s="9" t="str">
        <f ca="1">IF($G996="","",INDEX(BASE_PRODUTOS!$A$2:$A$1006,$G996))</f>
        <v/>
      </c>
      <c r="K996" s="9" t="str">
        <f ca="1">IF($G996="","",INDEX(BASE_PRODUTOS!$C$2:$C$1006,$G996))</f>
        <v/>
      </c>
      <c r="L996" s="9" t="str">
        <f ca="1">IF($G996="","",INDEX(BASE_PRODUTOS!$E$2:$E$1006,$G996))</f>
        <v/>
      </c>
      <c r="M996" s="9" t="str">
        <f ca="1">IF($G996="","",INDEX(BASE_PRODUTOS!$F$2:$F$1006,$G996))</f>
        <v/>
      </c>
      <c r="N996" s="9" t="str">
        <f ca="1">IF($G996="","",INDEX(BASE_PRODUTOS!$G$2:$G$1006,$G996))</f>
        <v/>
      </c>
      <c r="O996" s="9" t="str">
        <f ca="1">IF($G996="","",INDEX(BASE_PRODUTOS!$H$2:$H$1006,$G996))</f>
        <v/>
      </c>
      <c r="P996" s="9" t="str">
        <f ca="1">IF($G996="","",INDEX(BASE_PRODUTOS!$I$2:$I$1006,$G996))</f>
        <v/>
      </c>
      <c r="Q996" s="9" t="str">
        <f ca="1">IF($G996="","",INDEX(BASE_PRODUTOS!$J$2:$J$1006,$G996))</f>
        <v/>
      </c>
      <c r="R996" s="9" t="str">
        <f ca="1">IF($G996="","",INDEX(BASE_PRODUTOS!$M$2:$M$1006,$G996))</f>
        <v/>
      </c>
      <c r="S996" s="9" t="str">
        <f ca="1">IF($G996="","",INDEX(BASE_PRODUTOS!$N$2:$N$1006,$G996))</f>
        <v/>
      </c>
      <c r="T996" s="9" t="str">
        <f ca="1">IF($G996="","",INDEX(BASE_PRODUTOS!$D$2:$D$1006,$G996))</f>
        <v/>
      </c>
    </row>
    <row r="997" spans="7:20" ht="18" customHeight="1" x14ac:dyDescent="0.35">
      <c r="G997" t="str">
        <f ca="1">IFERROR(_xludf.aggregate(15,6,(ROW(BASE_PRODUTOS!$L$2:$L$1006)-ROW(BASE_PRODUTOS!$L$2)+1)/(BASE_PRODUTOS!$L$2:$L$1006&gt;0),ROWS($G$10:G997)),"")</f>
        <v/>
      </c>
      <c r="H997" s="9" t="str">
        <f ca="1">IF($G997="","",INDEX(BASE_PRODUTOS!$B$2:$B$1006,$G997))</f>
        <v/>
      </c>
      <c r="I997" s="9" t="str">
        <f ca="1">IF($G997="","",INDEX(BASE_PRODUTOS!$L$2:$L$1006,$G997))</f>
        <v/>
      </c>
      <c r="J997" s="9" t="str">
        <f ca="1">IF($G997="","",INDEX(BASE_PRODUTOS!$A$2:$A$1006,$G997))</f>
        <v/>
      </c>
      <c r="K997" s="9" t="str">
        <f ca="1">IF($G997="","",INDEX(BASE_PRODUTOS!$C$2:$C$1006,$G997))</f>
        <v/>
      </c>
      <c r="L997" s="9" t="str">
        <f ca="1">IF($G997="","",INDEX(BASE_PRODUTOS!$E$2:$E$1006,$G997))</f>
        <v/>
      </c>
      <c r="M997" s="9" t="str">
        <f ca="1">IF($G997="","",INDEX(BASE_PRODUTOS!$F$2:$F$1006,$G997))</f>
        <v/>
      </c>
      <c r="N997" s="9" t="str">
        <f ca="1">IF($G997="","",INDEX(BASE_PRODUTOS!$G$2:$G$1006,$G997))</f>
        <v/>
      </c>
      <c r="O997" s="9" t="str">
        <f ca="1">IF($G997="","",INDEX(BASE_PRODUTOS!$H$2:$H$1006,$G997))</f>
        <v/>
      </c>
      <c r="P997" s="9" t="str">
        <f ca="1">IF($G997="","",INDEX(BASE_PRODUTOS!$I$2:$I$1006,$G997))</f>
        <v/>
      </c>
      <c r="Q997" s="9" t="str">
        <f ca="1">IF($G997="","",INDEX(BASE_PRODUTOS!$J$2:$J$1006,$G997))</f>
        <v/>
      </c>
      <c r="R997" s="9" t="str">
        <f ca="1">IF($G997="","",INDEX(BASE_PRODUTOS!$M$2:$M$1006,$G997))</f>
        <v/>
      </c>
      <c r="S997" s="9" t="str">
        <f ca="1">IF($G997="","",INDEX(BASE_PRODUTOS!$N$2:$N$1006,$G997))</f>
        <v/>
      </c>
      <c r="T997" s="9" t="str">
        <f ca="1">IF($G997="","",INDEX(BASE_PRODUTOS!$D$2:$D$1006,$G997))</f>
        <v/>
      </c>
    </row>
    <row r="998" spans="7:20" ht="18" customHeight="1" x14ac:dyDescent="0.35">
      <c r="G998" t="str">
        <f ca="1">IFERROR(_xludf.aggregate(15,6,(ROW(BASE_PRODUTOS!$L$2:$L$1006)-ROW(BASE_PRODUTOS!$L$2)+1)/(BASE_PRODUTOS!$L$2:$L$1006&gt;0),ROWS($G$10:G998)),"")</f>
        <v/>
      </c>
      <c r="H998" s="9" t="str">
        <f ca="1">IF($G998="","",INDEX(BASE_PRODUTOS!$B$2:$B$1006,$G998))</f>
        <v/>
      </c>
      <c r="I998" s="9" t="str">
        <f ca="1">IF($G998="","",INDEX(BASE_PRODUTOS!$L$2:$L$1006,$G998))</f>
        <v/>
      </c>
      <c r="J998" s="9" t="str">
        <f ca="1">IF($G998="","",INDEX(BASE_PRODUTOS!$A$2:$A$1006,$G998))</f>
        <v/>
      </c>
      <c r="K998" s="9" t="str">
        <f ca="1">IF($G998="","",INDEX(BASE_PRODUTOS!$C$2:$C$1006,$G998))</f>
        <v/>
      </c>
      <c r="L998" s="9" t="str">
        <f ca="1">IF($G998="","",INDEX(BASE_PRODUTOS!$E$2:$E$1006,$G998))</f>
        <v/>
      </c>
      <c r="M998" s="9" t="str">
        <f ca="1">IF($G998="","",INDEX(BASE_PRODUTOS!$F$2:$F$1006,$G998))</f>
        <v/>
      </c>
      <c r="N998" s="9" t="str">
        <f ca="1">IF($G998="","",INDEX(BASE_PRODUTOS!$G$2:$G$1006,$G998))</f>
        <v/>
      </c>
      <c r="O998" s="9" t="str">
        <f ca="1">IF($G998="","",INDEX(BASE_PRODUTOS!$H$2:$H$1006,$G998))</f>
        <v/>
      </c>
      <c r="P998" s="9" t="str">
        <f ca="1">IF($G998="","",INDEX(BASE_PRODUTOS!$I$2:$I$1006,$G998))</f>
        <v/>
      </c>
      <c r="Q998" s="9" t="str">
        <f ca="1">IF($G998="","",INDEX(BASE_PRODUTOS!$J$2:$J$1006,$G998))</f>
        <v/>
      </c>
      <c r="R998" s="9" t="str">
        <f ca="1">IF($G998="","",INDEX(BASE_PRODUTOS!$M$2:$M$1006,$G998))</f>
        <v/>
      </c>
      <c r="S998" s="9" t="str">
        <f ca="1">IF($G998="","",INDEX(BASE_PRODUTOS!$N$2:$N$1006,$G998))</f>
        <v/>
      </c>
      <c r="T998" s="9" t="str">
        <f ca="1">IF($G998="","",INDEX(BASE_PRODUTOS!$D$2:$D$1006,$G998))</f>
        <v/>
      </c>
    </row>
    <row r="999" spans="7:20" ht="18" customHeight="1" x14ac:dyDescent="0.35">
      <c r="G999" t="str">
        <f ca="1">IFERROR(_xludf.aggregate(15,6,(ROW(BASE_PRODUTOS!$L$2:$L$1006)-ROW(BASE_PRODUTOS!$L$2)+1)/(BASE_PRODUTOS!$L$2:$L$1006&gt;0),ROWS($G$10:G999)),"")</f>
        <v/>
      </c>
      <c r="H999" s="9" t="str">
        <f ca="1">IF($G999="","",INDEX(BASE_PRODUTOS!$B$2:$B$1006,$G999))</f>
        <v/>
      </c>
      <c r="I999" s="9" t="str">
        <f ca="1">IF($G999="","",INDEX(BASE_PRODUTOS!$L$2:$L$1006,$G999))</f>
        <v/>
      </c>
      <c r="J999" s="9" t="str">
        <f ca="1">IF($G999="","",INDEX(BASE_PRODUTOS!$A$2:$A$1006,$G999))</f>
        <v/>
      </c>
      <c r="K999" s="9" t="str">
        <f ca="1">IF($G999="","",INDEX(BASE_PRODUTOS!$C$2:$C$1006,$G999))</f>
        <v/>
      </c>
      <c r="L999" s="9" t="str">
        <f ca="1">IF($G999="","",INDEX(BASE_PRODUTOS!$E$2:$E$1006,$G999))</f>
        <v/>
      </c>
      <c r="M999" s="9" t="str">
        <f ca="1">IF($G999="","",INDEX(BASE_PRODUTOS!$F$2:$F$1006,$G999))</f>
        <v/>
      </c>
      <c r="N999" s="9" t="str">
        <f ca="1">IF($G999="","",INDEX(BASE_PRODUTOS!$G$2:$G$1006,$G999))</f>
        <v/>
      </c>
      <c r="O999" s="9" t="str">
        <f ca="1">IF($G999="","",INDEX(BASE_PRODUTOS!$H$2:$H$1006,$G999))</f>
        <v/>
      </c>
      <c r="P999" s="9" t="str">
        <f ca="1">IF($G999="","",INDEX(BASE_PRODUTOS!$I$2:$I$1006,$G999))</f>
        <v/>
      </c>
      <c r="Q999" s="9" t="str">
        <f ca="1">IF($G999="","",INDEX(BASE_PRODUTOS!$J$2:$J$1006,$G999))</f>
        <v/>
      </c>
      <c r="R999" s="9" t="str">
        <f ca="1">IF($G999="","",INDEX(BASE_PRODUTOS!$M$2:$M$1006,$G999))</f>
        <v/>
      </c>
      <c r="S999" s="9" t="str">
        <f ca="1">IF($G999="","",INDEX(BASE_PRODUTOS!$N$2:$N$1006,$G999))</f>
        <v/>
      </c>
      <c r="T999" s="9" t="str">
        <f ca="1">IF($G999="","",INDEX(BASE_PRODUTOS!$D$2:$D$1006,$G999))</f>
        <v/>
      </c>
    </row>
    <row r="1000" spans="7:20" ht="18" customHeight="1" x14ac:dyDescent="0.35">
      <c r="G1000" t="str">
        <f ca="1">IFERROR(_xludf.aggregate(15,6,(ROW(BASE_PRODUTOS!$L$2:$L$1006)-ROW(BASE_PRODUTOS!$L$2)+1)/(BASE_PRODUTOS!$L$2:$L$1006&gt;0),ROWS($G$10:G1000)),"")</f>
        <v/>
      </c>
      <c r="H1000" s="9" t="str">
        <f ca="1">IF($G1000="","",INDEX(BASE_PRODUTOS!$B$2:$B$1006,$G1000))</f>
        <v/>
      </c>
      <c r="I1000" s="9" t="str">
        <f ca="1">IF($G1000="","",INDEX(BASE_PRODUTOS!$L$2:$L$1006,$G1000))</f>
        <v/>
      </c>
      <c r="J1000" s="9" t="str">
        <f ca="1">IF($G1000="","",INDEX(BASE_PRODUTOS!$A$2:$A$1006,$G1000))</f>
        <v/>
      </c>
      <c r="K1000" s="9" t="str">
        <f ca="1">IF($G1000="","",INDEX(BASE_PRODUTOS!$C$2:$C$1006,$G1000))</f>
        <v/>
      </c>
      <c r="L1000" s="9" t="str">
        <f ca="1">IF($G1000="","",INDEX(BASE_PRODUTOS!$E$2:$E$1006,$G1000))</f>
        <v/>
      </c>
      <c r="M1000" s="9" t="str">
        <f ca="1">IF($G1000="","",INDEX(BASE_PRODUTOS!$F$2:$F$1006,$G1000))</f>
        <v/>
      </c>
      <c r="N1000" s="9" t="str">
        <f ca="1">IF($G1000="","",INDEX(BASE_PRODUTOS!$G$2:$G$1006,$G1000))</f>
        <v/>
      </c>
      <c r="O1000" s="9" t="str">
        <f ca="1">IF($G1000="","",INDEX(BASE_PRODUTOS!$H$2:$H$1006,$G1000))</f>
        <v/>
      </c>
      <c r="P1000" s="9" t="str">
        <f ca="1">IF($G1000="","",INDEX(BASE_PRODUTOS!$I$2:$I$1006,$G1000))</f>
        <v/>
      </c>
      <c r="Q1000" s="9" t="str">
        <f ca="1">IF($G1000="","",INDEX(BASE_PRODUTOS!$J$2:$J$1006,$G1000))</f>
        <v/>
      </c>
      <c r="R1000" s="9" t="str">
        <f ca="1">IF($G1000="","",INDEX(BASE_PRODUTOS!$M$2:$M$1006,$G1000))</f>
        <v/>
      </c>
      <c r="S1000" s="9" t="str">
        <f ca="1">IF($G1000="","",INDEX(BASE_PRODUTOS!$N$2:$N$1006,$G1000))</f>
        <v/>
      </c>
      <c r="T1000" s="9" t="str">
        <f ca="1">IF($G1000="","",INDEX(BASE_PRODUTOS!$D$2:$D$1006,$G1000))</f>
        <v/>
      </c>
    </row>
    <row r="1001" spans="7:20" ht="18" customHeight="1" x14ac:dyDescent="0.35">
      <c r="G1001" t="str">
        <f ca="1">IFERROR(_xludf.aggregate(15,6,(ROW(BASE_PRODUTOS!$L$2:$L$1006)-ROW(BASE_PRODUTOS!$L$2)+1)/(BASE_PRODUTOS!$L$2:$L$1006&gt;0),ROWS($G$10:G1001)),"")</f>
        <v/>
      </c>
      <c r="H1001" s="9" t="str">
        <f ca="1">IF($G1001="","",INDEX(BASE_PRODUTOS!$B$2:$B$1006,$G1001))</f>
        <v/>
      </c>
      <c r="I1001" s="9" t="str">
        <f ca="1">IF($G1001="","",INDEX(BASE_PRODUTOS!$L$2:$L$1006,$G1001))</f>
        <v/>
      </c>
      <c r="J1001" s="9" t="str">
        <f ca="1">IF($G1001="","",INDEX(BASE_PRODUTOS!$A$2:$A$1006,$G1001))</f>
        <v/>
      </c>
      <c r="K1001" s="9" t="str">
        <f ca="1">IF($G1001="","",INDEX(BASE_PRODUTOS!$C$2:$C$1006,$G1001))</f>
        <v/>
      </c>
      <c r="L1001" s="9" t="str">
        <f ca="1">IF($G1001="","",INDEX(BASE_PRODUTOS!$E$2:$E$1006,$G1001))</f>
        <v/>
      </c>
      <c r="M1001" s="9" t="str">
        <f ca="1">IF($G1001="","",INDEX(BASE_PRODUTOS!$F$2:$F$1006,$G1001))</f>
        <v/>
      </c>
      <c r="N1001" s="9" t="str">
        <f ca="1">IF($G1001="","",INDEX(BASE_PRODUTOS!$G$2:$G$1006,$G1001))</f>
        <v/>
      </c>
      <c r="O1001" s="9" t="str">
        <f ca="1">IF($G1001="","",INDEX(BASE_PRODUTOS!$H$2:$H$1006,$G1001))</f>
        <v/>
      </c>
      <c r="P1001" s="9" t="str">
        <f ca="1">IF($G1001="","",INDEX(BASE_PRODUTOS!$I$2:$I$1006,$G1001))</f>
        <v/>
      </c>
      <c r="Q1001" s="9" t="str">
        <f ca="1">IF($G1001="","",INDEX(BASE_PRODUTOS!$J$2:$J$1006,$G1001))</f>
        <v/>
      </c>
      <c r="R1001" s="9" t="str">
        <f ca="1">IF($G1001="","",INDEX(BASE_PRODUTOS!$M$2:$M$1006,$G1001))</f>
        <v/>
      </c>
      <c r="S1001" s="9" t="str">
        <f ca="1">IF($G1001="","",INDEX(BASE_PRODUTOS!$N$2:$N$1006,$G1001))</f>
        <v/>
      </c>
      <c r="T1001" s="9" t="str">
        <f ca="1">IF($G1001="","",INDEX(BASE_PRODUTOS!$D$2:$D$1006,$G1001))</f>
        <v/>
      </c>
    </row>
    <row r="1002" spans="7:20" ht="18" customHeight="1" x14ac:dyDescent="0.35">
      <c r="G1002" t="str">
        <f ca="1">IFERROR(_xludf.aggregate(15,6,(ROW(BASE_PRODUTOS!$L$2:$L$1006)-ROW(BASE_PRODUTOS!$L$2)+1)/(BASE_PRODUTOS!$L$2:$L$1006&gt;0),ROWS($G$10:G1002)),"")</f>
        <v/>
      </c>
      <c r="H1002" s="9" t="str">
        <f ca="1">IF($G1002="","",INDEX(BASE_PRODUTOS!$B$2:$B$1006,$G1002))</f>
        <v/>
      </c>
      <c r="I1002" s="9" t="str">
        <f ca="1">IF($G1002="","",INDEX(BASE_PRODUTOS!$L$2:$L$1006,$G1002))</f>
        <v/>
      </c>
      <c r="J1002" s="9" t="str">
        <f ca="1">IF($G1002="","",INDEX(BASE_PRODUTOS!$A$2:$A$1006,$G1002))</f>
        <v/>
      </c>
      <c r="K1002" s="9" t="str">
        <f ca="1">IF($G1002="","",INDEX(BASE_PRODUTOS!$C$2:$C$1006,$G1002))</f>
        <v/>
      </c>
      <c r="L1002" s="9" t="str">
        <f ca="1">IF($G1002="","",INDEX(BASE_PRODUTOS!$E$2:$E$1006,$G1002))</f>
        <v/>
      </c>
      <c r="M1002" s="9" t="str">
        <f ca="1">IF($G1002="","",INDEX(BASE_PRODUTOS!$F$2:$F$1006,$G1002))</f>
        <v/>
      </c>
      <c r="N1002" s="9" t="str">
        <f ca="1">IF($G1002="","",INDEX(BASE_PRODUTOS!$G$2:$G$1006,$G1002))</f>
        <v/>
      </c>
      <c r="O1002" s="9" t="str">
        <f ca="1">IF($G1002="","",INDEX(BASE_PRODUTOS!$H$2:$H$1006,$G1002))</f>
        <v/>
      </c>
      <c r="P1002" s="9" t="str">
        <f ca="1">IF($G1002="","",INDEX(BASE_PRODUTOS!$I$2:$I$1006,$G1002))</f>
        <v/>
      </c>
      <c r="Q1002" s="9" t="str">
        <f ca="1">IF($G1002="","",INDEX(BASE_PRODUTOS!$J$2:$J$1006,$G1002))</f>
        <v/>
      </c>
      <c r="R1002" s="9" t="str">
        <f ca="1">IF($G1002="","",INDEX(BASE_PRODUTOS!$M$2:$M$1006,$G1002))</f>
        <v/>
      </c>
      <c r="S1002" s="9" t="str">
        <f ca="1">IF($G1002="","",INDEX(BASE_PRODUTOS!$N$2:$N$1006,$G1002))</f>
        <v/>
      </c>
      <c r="T1002" s="9" t="str">
        <f ca="1">IF($G1002="","",INDEX(BASE_PRODUTOS!$D$2:$D$1006,$G1002))</f>
        <v/>
      </c>
    </row>
    <row r="1003" spans="7:20" ht="18" customHeight="1" x14ac:dyDescent="0.35">
      <c r="G1003" t="str">
        <f ca="1">IFERROR(_xludf.aggregate(15,6,(ROW(BASE_PRODUTOS!$L$2:$L$1006)-ROW(BASE_PRODUTOS!$L$2)+1)/(BASE_PRODUTOS!$L$2:$L$1006&gt;0),ROWS($G$10:G1003)),"")</f>
        <v/>
      </c>
      <c r="H1003" s="9" t="str">
        <f ca="1">IF($G1003="","",INDEX(BASE_PRODUTOS!$B$2:$B$1006,$G1003))</f>
        <v/>
      </c>
      <c r="I1003" s="9" t="str">
        <f ca="1">IF($G1003="","",INDEX(BASE_PRODUTOS!$L$2:$L$1006,$G1003))</f>
        <v/>
      </c>
      <c r="J1003" s="9" t="str">
        <f ca="1">IF($G1003="","",INDEX(BASE_PRODUTOS!$A$2:$A$1006,$G1003))</f>
        <v/>
      </c>
      <c r="K1003" s="9" t="str">
        <f ca="1">IF($G1003="","",INDEX(BASE_PRODUTOS!$C$2:$C$1006,$G1003))</f>
        <v/>
      </c>
      <c r="L1003" s="9" t="str">
        <f ca="1">IF($G1003="","",INDEX(BASE_PRODUTOS!$E$2:$E$1006,$G1003))</f>
        <v/>
      </c>
      <c r="M1003" s="9" t="str">
        <f ca="1">IF($G1003="","",INDEX(BASE_PRODUTOS!$F$2:$F$1006,$G1003))</f>
        <v/>
      </c>
      <c r="N1003" s="9" t="str">
        <f ca="1">IF($G1003="","",INDEX(BASE_PRODUTOS!$G$2:$G$1006,$G1003))</f>
        <v/>
      </c>
      <c r="O1003" s="9" t="str">
        <f ca="1">IF($G1003="","",INDEX(BASE_PRODUTOS!$H$2:$H$1006,$G1003))</f>
        <v/>
      </c>
      <c r="P1003" s="9" t="str">
        <f ca="1">IF($G1003="","",INDEX(BASE_PRODUTOS!$I$2:$I$1006,$G1003))</f>
        <v/>
      </c>
      <c r="Q1003" s="9" t="str">
        <f ca="1">IF($G1003="","",INDEX(BASE_PRODUTOS!$J$2:$J$1006,$G1003))</f>
        <v/>
      </c>
      <c r="R1003" s="9" t="str">
        <f ca="1">IF($G1003="","",INDEX(BASE_PRODUTOS!$M$2:$M$1006,$G1003))</f>
        <v/>
      </c>
      <c r="S1003" s="9" t="str">
        <f ca="1">IF($G1003="","",INDEX(BASE_PRODUTOS!$N$2:$N$1006,$G1003))</f>
        <v/>
      </c>
      <c r="T1003" s="9" t="str">
        <f ca="1">IF($G1003="","",INDEX(BASE_PRODUTOS!$D$2:$D$1006,$G1003))</f>
        <v/>
      </c>
    </row>
    <row r="1004" spans="7:20" ht="18" customHeight="1" x14ac:dyDescent="0.35">
      <c r="G1004" t="str">
        <f ca="1">IFERROR(_xludf.aggregate(15,6,(ROW(BASE_PRODUTOS!$L$2:$L$1006)-ROW(BASE_PRODUTOS!$L$2)+1)/(BASE_PRODUTOS!$L$2:$L$1006&gt;0),ROWS($G$10:G1004)),"")</f>
        <v/>
      </c>
      <c r="H1004" s="9" t="str">
        <f ca="1">IF($G1004="","",INDEX(BASE_PRODUTOS!$B$2:$B$1006,$G1004))</f>
        <v/>
      </c>
      <c r="I1004" s="9" t="str">
        <f ca="1">IF($G1004="","",INDEX(BASE_PRODUTOS!$L$2:$L$1006,$G1004))</f>
        <v/>
      </c>
      <c r="J1004" s="9" t="str">
        <f ca="1">IF($G1004="","",INDEX(BASE_PRODUTOS!$A$2:$A$1006,$G1004))</f>
        <v/>
      </c>
      <c r="K1004" s="9" t="str">
        <f ca="1">IF($G1004="","",INDEX(BASE_PRODUTOS!$C$2:$C$1006,$G1004))</f>
        <v/>
      </c>
      <c r="L1004" s="9" t="str">
        <f ca="1">IF($G1004="","",INDEX(BASE_PRODUTOS!$E$2:$E$1006,$G1004))</f>
        <v/>
      </c>
      <c r="M1004" s="9" t="str">
        <f ca="1">IF($G1004="","",INDEX(BASE_PRODUTOS!$F$2:$F$1006,$G1004))</f>
        <v/>
      </c>
      <c r="N1004" s="9" t="str">
        <f ca="1">IF($G1004="","",INDEX(BASE_PRODUTOS!$G$2:$G$1006,$G1004))</f>
        <v/>
      </c>
      <c r="O1004" s="9" t="str">
        <f ca="1">IF($G1004="","",INDEX(BASE_PRODUTOS!$H$2:$H$1006,$G1004))</f>
        <v/>
      </c>
      <c r="P1004" s="9" t="str">
        <f ca="1">IF($G1004="","",INDEX(BASE_PRODUTOS!$I$2:$I$1006,$G1004))</f>
        <v/>
      </c>
      <c r="Q1004" s="9" t="str">
        <f ca="1">IF($G1004="","",INDEX(BASE_PRODUTOS!$J$2:$J$1006,$G1004))</f>
        <v/>
      </c>
      <c r="R1004" s="9" t="str">
        <f ca="1">IF($G1004="","",INDEX(BASE_PRODUTOS!$M$2:$M$1006,$G1004))</f>
        <v/>
      </c>
      <c r="S1004" s="9" t="str">
        <f ca="1">IF($G1004="","",INDEX(BASE_PRODUTOS!$N$2:$N$1006,$G1004))</f>
        <v/>
      </c>
      <c r="T1004" s="9" t="str">
        <f ca="1">IF($G1004="","",INDEX(BASE_PRODUTOS!$D$2:$D$1006,$G1004))</f>
        <v/>
      </c>
    </row>
    <row r="1005" spans="7:20" ht="18" customHeight="1" x14ac:dyDescent="0.35">
      <c r="G1005" t="str">
        <f ca="1">IFERROR(_xludf.aggregate(15,6,(ROW(BASE_PRODUTOS!$L$2:$L$1006)-ROW(BASE_PRODUTOS!$L$2)+1)/(BASE_PRODUTOS!$L$2:$L$1006&gt;0),ROWS($G$10:G1005)),"")</f>
        <v/>
      </c>
      <c r="H1005" s="9" t="str">
        <f ca="1">IF($G1005="","",INDEX(BASE_PRODUTOS!$B$2:$B$1006,$G1005))</f>
        <v/>
      </c>
      <c r="I1005" s="9" t="str">
        <f ca="1">IF($G1005="","",INDEX(BASE_PRODUTOS!$L$2:$L$1006,$G1005))</f>
        <v/>
      </c>
      <c r="J1005" s="9" t="str">
        <f ca="1">IF($G1005="","",INDEX(BASE_PRODUTOS!$A$2:$A$1006,$G1005))</f>
        <v/>
      </c>
      <c r="K1005" s="9" t="str">
        <f ca="1">IF($G1005="","",INDEX(BASE_PRODUTOS!$C$2:$C$1006,$G1005))</f>
        <v/>
      </c>
      <c r="L1005" s="9" t="str">
        <f ca="1">IF($G1005="","",INDEX(BASE_PRODUTOS!$E$2:$E$1006,$G1005))</f>
        <v/>
      </c>
      <c r="M1005" s="9" t="str">
        <f ca="1">IF($G1005="","",INDEX(BASE_PRODUTOS!$F$2:$F$1006,$G1005))</f>
        <v/>
      </c>
      <c r="N1005" s="9" t="str">
        <f ca="1">IF($G1005="","",INDEX(BASE_PRODUTOS!$G$2:$G$1006,$G1005))</f>
        <v/>
      </c>
      <c r="O1005" s="9" t="str">
        <f ca="1">IF($G1005="","",INDEX(BASE_PRODUTOS!$H$2:$H$1006,$G1005))</f>
        <v/>
      </c>
      <c r="P1005" s="9" t="str">
        <f ca="1">IF($G1005="","",INDEX(BASE_PRODUTOS!$I$2:$I$1006,$G1005))</f>
        <v/>
      </c>
      <c r="Q1005" s="9" t="str">
        <f ca="1">IF($G1005="","",INDEX(BASE_PRODUTOS!$J$2:$J$1006,$G1005))</f>
        <v/>
      </c>
      <c r="R1005" s="9" t="str">
        <f ca="1">IF($G1005="","",INDEX(BASE_PRODUTOS!$M$2:$M$1006,$G1005))</f>
        <v/>
      </c>
      <c r="S1005" s="9" t="str">
        <f ca="1">IF($G1005="","",INDEX(BASE_PRODUTOS!$N$2:$N$1006,$G1005))</f>
        <v/>
      </c>
      <c r="T1005" s="9" t="str">
        <f ca="1">IF($G1005="","",INDEX(BASE_PRODUTOS!$D$2:$D$1006,$G1005))</f>
        <v/>
      </c>
    </row>
    <row r="1006" spans="7:20" ht="18" customHeight="1" x14ac:dyDescent="0.35">
      <c r="G1006" t="str">
        <f ca="1">IFERROR(_xludf.aggregate(15,6,(ROW(BASE_PRODUTOS!$L$2:$L$1006)-ROW(BASE_PRODUTOS!$L$2)+1)/(BASE_PRODUTOS!$L$2:$L$1006&gt;0),ROWS($G$10:G1006)),"")</f>
        <v/>
      </c>
      <c r="H1006" s="9" t="str">
        <f ca="1">IF($G1006="","",INDEX(BASE_PRODUTOS!$B$2:$B$1006,$G1006))</f>
        <v/>
      </c>
      <c r="I1006" s="9" t="str">
        <f ca="1">IF($G1006="","",INDEX(BASE_PRODUTOS!$L$2:$L$1006,$G1006))</f>
        <v/>
      </c>
      <c r="J1006" s="9" t="str">
        <f ca="1">IF($G1006="","",INDEX(BASE_PRODUTOS!$A$2:$A$1006,$G1006))</f>
        <v/>
      </c>
      <c r="K1006" s="9" t="str">
        <f ca="1">IF($G1006="","",INDEX(BASE_PRODUTOS!$C$2:$C$1006,$G1006))</f>
        <v/>
      </c>
      <c r="L1006" s="9" t="str">
        <f ca="1">IF($G1006="","",INDEX(BASE_PRODUTOS!$E$2:$E$1006,$G1006))</f>
        <v/>
      </c>
      <c r="M1006" s="9" t="str">
        <f ca="1">IF($G1006="","",INDEX(BASE_PRODUTOS!$F$2:$F$1006,$G1006))</f>
        <v/>
      </c>
      <c r="N1006" s="9" t="str">
        <f ca="1">IF($G1006="","",INDEX(BASE_PRODUTOS!$G$2:$G$1006,$G1006))</f>
        <v/>
      </c>
      <c r="O1006" s="9" t="str">
        <f ca="1">IF($G1006="","",INDEX(BASE_PRODUTOS!$H$2:$H$1006,$G1006))</f>
        <v/>
      </c>
      <c r="P1006" s="9" t="str">
        <f ca="1">IF($G1006="","",INDEX(BASE_PRODUTOS!$I$2:$I$1006,$G1006))</f>
        <v/>
      </c>
      <c r="Q1006" s="9" t="str">
        <f ca="1">IF($G1006="","",INDEX(BASE_PRODUTOS!$J$2:$J$1006,$G1006))</f>
        <v/>
      </c>
      <c r="R1006" s="9" t="str">
        <f ca="1">IF($G1006="","",INDEX(BASE_PRODUTOS!$M$2:$M$1006,$G1006))</f>
        <v/>
      </c>
      <c r="S1006" s="9" t="str">
        <f ca="1">IF($G1006="","",INDEX(BASE_PRODUTOS!$N$2:$N$1006,$G1006))</f>
        <v/>
      </c>
      <c r="T1006" s="9" t="str">
        <f ca="1">IF($G1006="","",INDEX(BASE_PRODUTOS!$D$2:$D$1006,$G1006))</f>
        <v/>
      </c>
    </row>
    <row r="1007" spans="7:20" ht="18" customHeight="1" x14ac:dyDescent="0.35">
      <c r="G1007" t="str">
        <f ca="1">IFERROR(_xludf.aggregate(15,6,(ROW(BASE_PRODUTOS!$L$2:$L$1006)-ROW(BASE_PRODUTOS!$L$2)+1)/(BASE_PRODUTOS!$L$2:$L$1006&gt;0),ROWS($G$10:G1007)),"")</f>
        <v/>
      </c>
      <c r="H1007" s="9" t="str">
        <f ca="1">IF($G1007="","",INDEX(BASE_PRODUTOS!$B$2:$B$1006,$G1007))</f>
        <v/>
      </c>
      <c r="I1007" s="9" t="str">
        <f ca="1">IF($G1007="","",INDEX(BASE_PRODUTOS!$L$2:$L$1006,$G1007))</f>
        <v/>
      </c>
      <c r="J1007" s="9" t="str">
        <f ca="1">IF($G1007="","",INDEX(BASE_PRODUTOS!$A$2:$A$1006,$G1007))</f>
        <v/>
      </c>
      <c r="K1007" s="9" t="str">
        <f ca="1">IF($G1007="","",INDEX(BASE_PRODUTOS!$C$2:$C$1006,$G1007))</f>
        <v/>
      </c>
      <c r="L1007" s="9" t="str">
        <f ca="1">IF($G1007="","",INDEX(BASE_PRODUTOS!$E$2:$E$1006,$G1007))</f>
        <v/>
      </c>
      <c r="M1007" s="9" t="str">
        <f ca="1">IF($G1007="","",INDEX(BASE_PRODUTOS!$F$2:$F$1006,$G1007))</f>
        <v/>
      </c>
      <c r="N1007" s="9" t="str">
        <f ca="1">IF($G1007="","",INDEX(BASE_PRODUTOS!$G$2:$G$1006,$G1007))</f>
        <v/>
      </c>
      <c r="O1007" s="9" t="str">
        <f ca="1">IF($G1007="","",INDEX(BASE_PRODUTOS!$H$2:$H$1006,$G1007))</f>
        <v/>
      </c>
      <c r="P1007" s="9" t="str">
        <f ca="1">IF($G1007="","",INDEX(BASE_PRODUTOS!$I$2:$I$1006,$G1007))</f>
        <v/>
      </c>
      <c r="Q1007" s="9" t="str">
        <f ca="1">IF($G1007="","",INDEX(BASE_PRODUTOS!$J$2:$J$1006,$G1007))</f>
        <v/>
      </c>
      <c r="R1007" s="9" t="str">
        <f ca="1">IF($G1007="","",INDEX(BASE_PRODUTOS!$M$2:$M$1006,$G1007))</f>
        <v/>
      </c>
      <c r="S1007" s="9" t="str">
        <f ca="1">IF($G1007="","",INDEX(BASE_PRODUTOS!$N$2:$N$1006,$G1007))</f>
        <v/>
      </c>
      <c r="T1007" s="9" t="str">
        <f ca="1">IF($G1007="","",INDEX(BASE_PRODUTOS!$D$2:$D$1006,$G1007))</f>
        <v/>
      </c>
    </row>
    <row r="1008" spans="7:20" ht="18" customHeight="1" x14ac:dyDescent="0.35">
      <c r="G1008" t="str">
        <f ca="1">IFERROR(_xludf.aggregate(15,6,(ROW(BASE_PRODUTOS!$L$2:$L$1006)-ROW(BASE_PRODUTOS!$L$2)+1)/(BASE_PRODUTOS!$L$2:$L$1006&gt;0),ROWS($G$10:G1008)),"")</f>
        <v/>
      </c>
      <c r="H1008" s="9" t="str">
        <f ca="1">IF($G1008="","",INDEX(BASE_PRODUTOS!$B$2:$B$1006,$G1008))</f>
        <v/>
      </c>
      <c r="I1008" s="9" t="str">
        <f ca="1">IF($G1008="","",INDEX(BASE_PRODUTOS!$L$2:$L$1006,$G1008))</f>
        <v/>
      </c>
      <c r="J1008" s="9" t="str">
        <f ca="1">IF($G1008="","",INDEX(BASE_PRODUTOS!$A$2:$A$1006,$G1008))</f>
        <v/>
      </c>
      <c r="K1008" s="9" t="str">
        <f ca="1">IF($G1008="","",INDEX(BASE_PRODUTOS!$C$2:$C$1006,$G1008))</f>
        <v/>
      </c>
      <c r="L1008" s="9" t="str">
        <f ca="1">IF($G1008="","",INDEX(BASE_PRODUTOS!$E$2:$E$1006,$G1008))</f>
        <v/>
      </c>
      <c r="M1008" s="9" t="str">
        <f ca="1">IF($G1008="","",INDEX(BASE_PRODUTOS!$F$2:$F$1006,$G1008))</f>
        <v/>
      </c>
      <c r="N1008" s="9" t="str">
        <f ca="1">IF($G1008="","",INDEX(BASE_PRODUTOS!$G$2:$G$1006,$G1008))</f>
        <v/>
      </c>
      <c r="O1008" s="9" t="str">
        <f ca="1">IF($G1008="","",INDEX(BASE_PRODUTOS!$H$2:$H$1006,$G1008))</f>
        <v/>
      </c>
      <c r="P1008" s="9" t="str">
        <f ca="1">IF($G1008="","",INDEX(BASE_PRODUTOS!$I$2:$I$1006,$G1008))</f>
        <v/>
      </c>
      <c r="Q1008" s="9" t="str">
        <f ca="1">IF($G1008="","",INDEX(BASE_PRODUTOS!$J$2:$J$1006,$G1008))</f>
        <v/>
      </c>
      <c r="R1008" s="9" t="str">
        <f ca="1">IF($G1008="","",INDEX(BASE_PRODUTOS!$M$2:$M$1006,$G1008))</f>
        <v/>
      </c>
      <c r="S1008" s="9" t="str">
        <f ca="1">IF($G1008="","",INDEX(BASE_PRODUTOS!$N$2:$N$1006,$G1008))</f>
        <v/>
      </c>
      <c r="T1008" s="9" t="str">
        <f ca="1">IF($G1008="","",INDEX(BASE_PRODUTOS!$D$2:$D$1006,$G1008))</f>
        <v/>
      </c>
    </row>
    <row r="1009" spans="7:20" ht="18" customHeight="1" x14ac:dyDescent="0.35">
      <c r="G1009" t="str">
        <f ca="1">IFERROR(_xludf.aggregate(15,6,(ROW(BASE_PRODUTOS!$L$2:$L$1006)-ROW(BASE_PRODUTOS!$L$2)+1)/(BASE_PRODUTOS!$L$2:$L$1006&gt;0),ROWS($G$10:G1009)),"")</f>
        <v/>
      </c>
      <c r="H1009" s="9" t="str">
        <f ca="1">IF($G1009="","",INDEX(BASE_PRODUTOS!$B$2:$B$1006,$G1009))</f>
        <v/>
      </c>
      <c r="I1009" s="9" t="str">
        <f ca="1">IF($G1009="","",INDEX(BASE_PRODUTOS!$L$2:$L$1006,$G1009))</f>
        <v/>
      </c>
      <c r="J1009" s="9" t="str">
        <f ca="1">IF($G1009="","",INDEX(BASE_PRODUTOS!$A$2:$A$1006,$G1009))</f>
        <v/>
      </c>
      <c r="K1009" s="9" t="str">
        <f ca="1">IF($G1009="","",INDEX(BASE_PRODUTOS!$C$2:$C$1006,$G1009))</f>
        <v/>
      </c>
      <c r="L1009" s="9" t="str">
        <f ca="1">IF($G1009="","",INDEX(BASE_PRODUTOS!$E$2:$E$1006,$G1009))</f>
        <v/>
      </c>
      <c r="M1009" s="9" t="str">
        <f ca="1">IF($G1009="","",INDEX(BASE_PRODUTOS!$F$2:$F$1006,$G1009))</f>
        <v/>
      </c>
      <c r="N1009" s="9" t="str">
        <f ca="1">IF($G1009="","",INDEX(BASE_PRODUTOS!$G$2:$G$1006,$G1009))</f>
        <v/>
      </c>
      <c r="O1009" s="9" t="str">
        <f ca="1">IF($G1009="","",INDEX(BASE_PRODUTOS!$H$2:$H$1006,$G1009))</f>
        <v/>
      </c>
      <c r="P1009" s="9" t="str">
        <f ca="1">IF($G1009="","",INDEX(BASE_PRODUTOS!$I$2:$I$1006,$G1009))</f>
        <v/>
      </c>
      <c r="Q1009" s="9" t="str">
        <f ca="1">IF($G1009="","",INDEX(BASE_PRODUTOS!$J$2:$J$1006,$G1009))</f>
        <v/>
      </c>
      <c r="R1009" s="9" t="str">
        <f ca="1">IF($G1009="","",INDEX(BASE_PRODUTOS!$M$2:$M$1006,$G1009))</f>
        <v/>
      </c>
      <c r="S1009" s="9" t="str">
        <f ca="1">IF($G1009="","",INDEX(BASE_PRODUTOS!$N$2:$N$1006,$G1009))</f>
        <v/>
      </c>
      <c r="T1009" s="9" t="str">
        <f ca="1">IF($G1009="","",INDEX(BASE_PRODUTOS!$D$2:$D$1006,$G1009))</f>
        <v/>
      </c>
    </row>
    <row r="1010" spans="7:20" ht="18" customHeight="1" x14ac:dyDescent="0.35">
      <c r="G1010" t="str">
        <f ca="1">IFERROR(_xludf.aggregate(15,6,(ROW(BASE_PRODUTOS!$L$2:$L$1006)-ROW(BASE_PRODUTOS!$L$2)+1)/(BASE_PRODUTOS!$L$2:$L$1006&gt;0),ROWS($G$10:G1010)),"")</f>
        <v/>
      </c>
      <c r="H1010" s="9" t="str">
        <f ca="1">IF($G1010="","",INDEX(BASE_PRODUTOS!$B$2:$B$1006,$G1010))</f>
        <v/>
      </c>
      <c r="I1010" s="9" t="str">
        <f ca="1">IF($G1010="","",INDEX(BASE_PRODUTOS!$L$2:$L$1006,$G1010))</f>
        <v/>
      </c>
      <c r="J1010" s="9" t="str">
        <f ca="1">IF($G1010="","",INDEX(BASE_PRODUTOS!$A$2:$A$1006,$G1010))</f>
        <v/>
      </c>
      <c r="K1010" s="9" t="str">
        <f ca="1">IF($G1010="","",INDEX(BASE_PRODUTOS!$C$2:$C$1006,$G1010))</f>
        <v/>
      </c>
      <c r="L1010" s="9" t="str">
        <f ca="1">IF($G1010="","",INDEX(BASE_PRODUTOS!$E$2:$E$1006,$G1010))</f>
        <v/>
      </c>
      <c r="M1010" s="9" t="str">
        <f ca="1">IF($G1010="","",INDEX(BASE_PRODUTOS!$F$2:$F$1006,$G1010))</f>
        <v/>
      </c>
      <c r="N1010" s="9" t="str">
        <f ca="1">IF($G1010="","",INDEX(BASE_PRODUTOS!$G$2:$G$1006,$G1010))</f>
        <v/>
      </c>
      <c r="O1010" s="9" t="str">
        <f ca="1">IF($G1010="","",INDEX(BASE_PRODUTOS!$H$2:$H$1006,$G1010))</f>
        <v/>
      </c>
      <c r="P1010" s="9" t="str">
        <f ca="1">IF($G1010="","",INDEX(BASE_PRODUTOS!$I$2:$I$1006,$G1010))</f>
        <v/>
      </c>
      <c r="Q1010" s="9" t="str">
        <f ca="1">IF($G1010="","",INDEX(BASE_PRODUTOS!$J$2:$J$1006,$G1010))</f>
        <v/>
      </c>
      <c r="R1010" s="9" t="str">
        <f ca="1">IF($G1010="","",INDEX(BASE_PRODUTOS!$M$2:$M$1006,$G1010))</f>
        <v/>
      </c>
      <c r="S1010" s="9" t="str">
        <f ca="1">IF($G1010="","",INDEX(BASE_PRODUTOS!$N$2:$N$1006,$G1010))</f>
        <v/>
      </c>
      <c r="T1010" s="9" t="str">
        <f ca="1">IF($G1010="","",INDEX(BASE_PRODUTOS!$D$2:$D$1006,$G1010))</f>
        <v/>
      </c>
    </row>
    <row r="1011" spans="7:20" ht="18" customHeight="1" x14ac:dyDescent="0.35">
      <c r="G1011" t="str">
        <f ca="1">IFERROR(_xludf.aggregate(15,6,(ROW(BASE_PRODUTOS!$L$2:$L$1006)-ROW(BASE_PRODUTOS!$L$2)+1)/(BASE_PRODUTOS!$L$2:$L$1006&gt;0),ROWS($G$10:G1011)),"")</f>
        <v/>
      </c>
      <c r="H1011" s="9" t="str">
        <f ca="1">IF($G1011="","",INDEX(BASE_PRODUTOS!$B$2:$B$1006,$G1011))</f>
        <v/>
      </c>
      <c r="I1011" s="9" t="str">
        <f ca="1">IF($G1011="","",INDEX(BASE_PRODUTOS!$L$2:$L$1006,$G1011))</f>
        <v/>
      </c>
      <c r="J1011" s="9" t="str">
        <f ca="1">IF($G1011="","",INDEX(BASE_PRODUTOS!$A$2:$A$1006,$G1011))</f>
        <v/>
      </c>
      <c r="K1011" s="9" t="str">
        <f ca="1">IF($G1011="","",INDEX(BASE_PRODUTOS!$C$2:$C$1006,$G1011))</f>
        <v/>
      </c>
      <c r="L1011" s="9" t="str">
        <f ca="1">IF($G1011="","",INDEX(BASE_PRODUTOS!$E$2:$E$1006,$G1011))</f>
        <v/>
      </c>
      <c r="M1011" s="9" t="str">
        <f ca="1">IF($G1011="","",INDEX(BASE_PRODUTOS!$F$2:$F$1006,$G1011))</f>
        <v/>
      </c>
      <c r="N1011" s="9" t="str">
        <f ca="1">IF($G1011="","",INDEX(BASE_PRODUTOS!$G$2:$G$1006,$G1011))</f>
        <v/>
      </c>
      <c r="O1011" s="9" t="str">
        <f ca="1">IF($G1011="","",INDEX(BASE_PRODUTOS!$H$2:$H$1006,$G1011))</f>
        <v/>
      </c>
      <c r="P1011" s="9" t="str">
        <f ca="1">IF($G1011="","",INDEX(BASE_PRODUTOS!$I$2:$I$1006,$G1011))</f>
        <v/>
      </c>
      <c r="Q1011" s="9" t="str">
        <f ca="1">IF($G1011="","",INDEX(BASE_PRODUTOS!$J$2:$J$1006,$G1011))</f>
        <v/>
      </c>
      <c r="R1011" s="9" t="str">
        <f ca="1">IF($G1011="","",INDEX(BASE_PRODUTOS!$M$2:$M$1006,$G1011))</f>
        <v/>
      </c>
      <c r="S1011" s="9" t="str">
        <f ca="1">IF($G1011="","",INDEX(BASE_PRODUTOS!$N$2:$N$1006,$G1011))</f>
        <v/>
      </c>
      <c r="T1011" s="9" t="str">
        <f ca="1">IF($G1011="","",INDEX(BASE_PRODUTOS!$D$2:$D$1006,$G1011))</f>
        <v/>
      </c>
    </row>
    <row r="1012" spans="7:20" ht="18" customHeight="1" x14ac:dyDescent="0.35">
      <c r="G1012" t="str">
        <f ca="1">IFERROR(_xludf.aggregate(15,6,(ROW(BASE_PRODUTOS!$L$2:$L$1006)-ROW(BASE_PRODUTOS!$L$2)+1)/(BASE_PRODUTOS!$L$2:$L$1006&gt;0),ROWS($G$10:G1012)),"")</f>
        <v/>
      </c>
      <c r="H1012" s="9" t="str">
        <f ca="1">IF($G1012="","",INDEX(BASE_PRODUTOS!$B$2:$B$1006,$G1012))</f>
        <v/>
      </c>
      <c r="I1012" s="9" t="str">
        <f ca="1">IF($G1012="","",INDEX(BASE_PRODUTOS!$L$2:$L$1006,$G1012))</f>
        <v/>
      </c>
      <c r="J1012" s="9" t="str">
        <f ca="1">IF($G1012="","",INDEX(BASE_PRODUTOS!$A$2:$A$1006,$G1012))</f>
        <v/>
      </c>
      <c r="K1012" s="9" t="str">
        <f ca="1">IF($G1012="","",INDEX(BASE_PRODUTOS!$C$2:$C$1006,$G1012))</f>
        <v/>
      </c>
      <c r="L1012" s="9" t="str">
        <f ca="1">IF($G1012="","",INDEX(BASE_PRODUTOS!$E$2:$E$1006,$G1012))</f>
        <v/>
      </c>
      <c r="M1012" s="9" t="str">
        <f ca="1">IF($G1012="","",INDEX(BASE_PRODUTOS!$F$2:$F$1006,$G1012))</f>
        <v/>
      </c>
      <c r="N1012" s="9" t="str">
        <f ca="1">IF($G1012="","",INDEX(BASE_PRODUTOS!$G$2:$G$1006,$G1012))</f>
        <v/>
      </c>
      <c r="O1012" s="9" t="str">
        <f ca="1">IF($G1012="","",INDEX(BASE_PRODUTOS!$H$2:$H$1006,$G1012))</f>
        <v/>
      </c>
      <c r="P1012" s="9" t="str">
        <f ca="1">IF($G1012="","",INDEX(BASE_PRODUTOS!$I$2:$I$1006,$G1012))</f>
        <v/>
      </c>
      <c r="Q1012" s="9" t="str">
        <f ca="1">IF($G1012="","",INDEX(BASE_PRODUTOS!$J$2:$J$1006,$G1012))</f>
        <v/>
      </c>
      <c r="R1012" s="9" t="str">
        <f ca="1">IF($G1012="","",INDEX(BASE_PRODUTOS!$M$2:$M$1006,$G1012))</f>
        <v/>
      </c>
      <c r="S1012" s="9" t="str">
        <f ca="1">IF($G1012="","",INDEX(BASE_PRODUTOS!$N$2:$N$1006,$G1012))</f>
        <v/>
      </c>
      <c r="T1012" s="9" t="str">
        <f ca="1">IF($G1012="","",INDEX(BASE_PRODUTOS!$D$2:$D$1006,$G1012))</f>
        <v/>
      </c>
    </row>
    <row r="1013" spans="7:20" ht="18" customHeight="1" x14ac:dyDescent="0.35">
      <c r="G1013" t="str">
        <f ca="1">IFERROR(_xludf.aggregate(15,6,(ROW(BASE_PRODUTOS!$L$2:$L$1006)-ROW(BASE_PRODUTOS!$L$2)+1)/(BASE_PRODUTOS!$L$2:$L$1006&gt;0),ROWS($G$10:G1013)),"")</f>
        <v/>
      </c>
      <c r="H1013" s="9" t="str">
        <f ca="1">IF($G1013="","",INDEX(BASE_PRODUTOS!$B$2:$B$1006,$G1013))</f>
        <v/>
      </c>
      <c r="I1013" s="9" t="str">
        <f ca="1">IF($G1013="","",INDEX(BASE_PRODUTOS!$L$2:$L$1006,$G1013))</f>
        <v/>
      </c>
      <c r="J1013" s="9" t="str">
        <f ca="1">IF($G1013="","",INDEX(BASE_PRODUTOS!$A$2:$A$1006,$G1013))</f>
        <v/>
      </c>
      <c r="K1013" s="9" t="str">
        <f ca="1">IF($G1013="","",INDEX(BASE_PRODUTOS!$C$2:$C$1006,$G1013))</f>
        <v/>
      </c>
      <c r="L1013" s="9" t="str">
        <f ca="1">IF($G1013="","",INDEX(BASE_PRODUTOS!$E$2:$E$1006,$G1013))</f>
        <v/>
      </c>
      <c r="M1013" s="9" t="str">
        <f ca="1">IF($G1013="","",INDEX(BASE_PRODUTOS!$F$2:$F$1006,$G1013))</f>
        <v/>
      </c>
      <c r="N1013" s="9" t="str">
        <f ca="1">IF($G1013="","",INDEX(BASE_PRODUTOS!$G$2:$G$1006,$G1013))</f>
        <v/>
      </c>
      <c r="O1013" s="9" t="str">
        <f ca="1">IF($G1013="","",INDEX(BASE_PRODUTOS!$H$2:$H$1006,$G1013))</f>
        <v/>
      </c>
      <c r="P1013" s="9" t="str">
        <f ca="1">IF($G1013="","",INDEX(BASE_PRODUTOS!$I$2:$I$1006,$G1013))</f>
        <v/>
      </c>
      <c r="Q1013" s="9" t="str">
        <f ca="1">IF($G1013="","",INDEX(BASE_PRODUTOS!$J$2:$J$1006,$G1013))</f>
        <v/>
      </c>
      <c r="R1013" s="9" t="str">
        <f ca="1">IF($G1013="","",INDEX(BASE_PRODUTOS!$M$2:$M$1006,$G1013))</f>
        <v/>
      </c>
      <c r="S1013" s="9" t="str">
        <f ca="1">IF($G1013="","",INDEX(BASE_PRODUTOS!$N$2:$N$1006,$G1013))</f>
        <v/>
      </c>
      <c r="T1013" s="9" t="str">
        <f ca="1">IF($G1013="","",INDEX(BASE_PRODUTOS!$D$2:$D$1006,$G1013))</f>
        <v/>
      </c>
    </row>
    <row r="1014" spans="7:20" ht="18" customHeight="1" x14ac:dyDescent="0.35">
      <c r="G1014" t="str">
        <f ca="1">IFERROR(_xludf.aggregate(15,6,(ROW(BASE_PRODUTOS!$L$2:$L$1006)-ROW(BASE_PRODUTOS!$L$2)+1)/(BASE_PRODUTOS!$L$2:$L$1006&gt;0),ROWS($G$10:G1014)),"")</f>
        <v/>
      </c>
      <c r="H1014" s="9" t="str">
        <f ca="1">IF($G1014="","",INDEX(BASE_PRODUTOS!$B$2:$B$1006,$G1014))</f>
        <v/>
      </c>
      <c r="I1014" s="9" t="str">
        <f ca="1">IF($G1014="","",INDEX(BASE_PRODUTOS!$L$2:$L$1006,$G1014))</f>
        <v/>
      </c>
      <c r="J1014" s="9" t="str">
        <f ca="1">IF($G1014="","",INDEX(BASE_PRODUTOS!$A$2:$A$1006,$G1014))</f>
        <v/>
      </c>
      <c r="K1014" s="9" t="str">
        <f ca="1">IF($G1014="","",INDEX(BASE_PRODUTOS!$C$2:$C$1006,$G1014))</f>
        <v/>
      </c>
      <c r="L1014" s="9" t="str">
        <f ca="1">IF($G1014="","",INDEX(BASE_PRODUTOS!$E$2:$E$1006,$G1014))</f>
        <v/>
      </c>
      <c r="M1014" s="9" t="str">
        <f ca="1">IF($G1014="","",INDEX(BASE_PRODUTOS!$F$2:$F$1006,$G1014))</f>
        <v/>
      </c>
      <c r="N1014" s="9" t="str">
        <f ca="1">IF($G1014="","",INDEX(BASE_PRODUTOS!$G$2:$G$1006,$G1014))</f>
        <v/>
      </c>
      <c r="O1014" s="9" t="str">
        <f ca="1">IF($G1014="","",INDEX(BASE_PRODUTOS!$H$2:$H$1006,$G1014))</f>
        <v/>
      </c>
      <c r="P1014" s="9" t="str">
        <f ca="1">IF($G1014="","",INDEX(BASE_PRODUTOS!$I$2:$I$1006,$G1014))</f>
        <v/>
      </c>
      <c r="Q1014" s="9" t="str">
        <f ca="1">IF($G1014="","",INDEX(BASE_PRODUTOS!$J$2:$J$1006,$G1014))</f>
        <v/>
      </c>
      <c r="R1014" s="9" t="str">
        <f ca="1">IF($G1014="","",INDEX(BASE_PRODUTOS!$M$2:$M$1006,$G1014))</f>
        <v/>
      </c>
      <c r="S1014" s="9" t="str">
        <f ca="1">IF($G1014="","",INDEX(BASE_PRODUTOS!$N$2:$N$1006,$G1014))</f>
        <v/>
      </c>
      <c r="T1014" s="9" t="str">
        <f ca="1">IF($G1014="","",INDEX(BASE_PRODUTOS!$D$2:$D$1006,$G1014))</f>
        <v/>
      </c>
    </row>
    <row r="1015" spans="7:20" ht="18" customHeight="1" x14ac:dyDescent="0.35">
      <c r="G1015" t="str">
        <f ca="1">IFERROR(_xludf.aggregate(15,6,(ROW(BASE_PRODUTOS!$L$2:$L$1006)-ROW(BASE_PRODUTOS!$L$2)+1)/(BASE_PRODUTOS!$L$2:$L$1006&gt;0),ROWS($G$10:G1015)),"")</f>
        <v/>
      </c>
      <c r="H1015" s="9" t="str">
        <f ca="1">IF($G1015="","",INDEX(BASE_PRODUTOS!$B$2:$B$1006,$G1015))</f>
        <v/>
      </c>
      <c r="I1015" s="9" t="str">
        <f ca="1">IF($G1015="","",INDEX(BASE_PRODUTOS!$L$2:$L$1006,$G1015))</f>
        <v/>
      </c>
      <c r="J1015" s="9" t="str">
        <f ca="1">IF($G1015="","",INDEX(BASE_PRODUTOS!$A$2:$A$1006,$G1015))</f>
        <v/>
      </c>
      <c r="K1015" s="9" t="str">
        <f ca="1">IF($G1015="","",INDEX(BASE_PRODUTOS!$C$2:$C$1006,$G1015))</f>
        <v/>
      </c>
      <c r="L1015" s="9" t="str">
        <f ca="1">IF($G1015="","",INDEX(BASE_PRODUTOS!$E$2:$E$1006,$G1015))</f>
        <v/>
      </c>
      <c r="M1015" s="9" t="str">
        <f ca="1">IF($G1015="","",INDEX(BASE_PRODUTOS!$F$2:$F$1006,$G1015))</f>
        <v/>
      </c>
      <c r="N1015" s="9" t="str">
        <f ca="1">IF($G1015="","",INDEX(BASE_PRODUTOS!$G$2:$G$1006,$G1015))</f>
        <v/>
      </c>
      <c r="O1015" s="9" t="str">
        <f ca="1">IF($G1015="","",INDEX(BASE_PRODUTOS!$H$2:$H$1006,$G1015))</f>
        <v/>
      </c>
      <c r="P1015" s="9" t="str">
        <f ca="1">IF($G1015="","",INDEX(BASE_PRODUTOS!$I$2:$I$1006,$G1015))</f>
        <v/>
      </c>
      <c r="Q1015" s="9" t="str">
        <f ca="1">IF($G1015="","",INDEX(BASE_PRODUTOS!$J$2:$J$1006,$G1015))</f>
        <v/>
      </c>
      <c r="R1015" s="9" t="str">
        <f ca="1">IF($G1015="","",INDEX(BASE_PRODUTOS!$M$2:$M$1006,$G1015))</f>
        <v/>
      </c>
      <c r="S1015" s="9" t="str">
        <f ca="1">IF($G1015="","",INDEX(BASE_PRODUTOS!$N$2:$N$1006,$G1015))</f>
        <v/>
      </c>
      <c r="T1015" s="9" t="str">
        <f ca="1">IF($G1015="","",INDEX(BASE_PRODUTOS!$D$2:$D$1006,$G1015))</f>
        <v/>
      </c>
    </row>
    <row r="1016" spans="7:20" ht="18" customHeight="1" x14ac:dyDescent="0.35">
      <c r="G1016" t="str">
        <f ca="1">IFERROR(_xludf.aggregate(15,6,(ROW(BASE_PRODUTOS!$L$2:$L$1006)-ROW(BASE_PRODUTOS!$L$2)+1)/(BASE_PRODUTOS!$L$2:$L$1006&gt;0),ROWS($G$10:G1016)),"")</f>
        <v/>
      </c>
      <c r="H1016" s="9" t="str">
        <f ca="1">IF($G1016="","",INDEX(BASE_PRODUTOS!$B$2:$B$1006,$G1016))</f>
        <v/>
      </c>
      <c r="I1016" s="9" t="str">
        <f ca="1">IF($G1016="","",INDEX(BASE_PRODUTOS!$L$2:$L$1006,$G1016))</f>
        <v/>
      </c>
      <c r="J1016" s="9" t="str">
        <f ca="1">IF($G1016="","",INDEX(BASE_PRODUTOS!$A$2:$A$1006,$G1016))</f>
        <v/>
      </c>
      <c r="K1016" s="9" t="str">
        <f ca="1">IF($G1016="","",INDEX(BASE_PRODUTOS!$C$2:$C$1006,$G1016))</f>
        <v/>
      </c>
      <c r="L1016" s="9" t="str">
        <f ca="1">IF($G1016="","",INDEX(BASE_PRODUTOS!$E$2:$E$1006,$G1016))</f>
        <v/>
      </c>
      <c r="M1016" s="9" t="str">
        <f ca="1">IF($G1016="","",INDEX(BASE_PRODUTOS!$F$2:$F$1006,$G1016))</f>
        <v/>
      </c>
      <c r="N1016" s="9" t="str">
        <f ca="1">IF($G1016="","",INDEX(BASE_PRODUTOS!$G$2:$G$1006,$G1016))</f>
        <v/>
      </c>
      <c r="O1016" s="9" t="str">
        <f ca="1">IF($G1016="","",INDEX(BASE_PRODUTOS!$H$2:$H$1006,$G1016))</f>
        <v/>
      </c>
      <c r="P1016" s="9" t="str">
        <f ca="1">IF($G1016="","",INDEX(BASE_PRODUTOS!$I$2:$I$1006,$G1016))</f>
        <v/>
      </c>
      <c r="Q1016" s="9" t="str">
        <f ca="1">IF($G1016="","",INDEX(BASE_PRODUTOS!$J$2:$J$1006,$G1016))</f>
        <v/>
      </c>
      <c r="R1016" s="9" t="str">
        <f ca="1">IF($G1016="","",INDEX(BASE_PRODUTOS!$M$2:$M$1006,$G1016))</f>
        <v/>
      </c>
      <c r="S1016" s="9" t="str">
        <f ca="1">IF($G1016="","",INDEX(BASE_PRODUTOS!$N$2:$N$1006,$G1016))</f>
        <v/>
      </c>
      <c r="T1016" s="9" t="str">
        <f ca="1">IF($G1016="","",INDEX(BASE_PRODUTOS!$D$2:$D$1006,$G1016))</f>
        <v/>
      </c>
    </row>
    <row r="1017" spans="7:20" ht="18" customHeight="1" x14ac:dyDescent="0.35">
      <c r="G1017" t="str">
        <f ca="1">IFERROR(_xludf.aggregate(15,6,(ROW(BASE_PRODUTOS!$L$2:$L$1006)-ROW(BASE_PRODUTOS!$L$2)+1)/(BASE_PRODUTOS!$L$2:$L$1006&gt;0),ROWS($G$10:G1017)),"")</f>
        <v/>
      </c>
      <c r="H1017" s="9" t="str">
        <f ca="1">IF($G1017="","",INDEX(BASE_PRODUTOS!$B$2:$B$1006,$G1017))</f>
        <v/>
      </c>
      <c r="I1017" s="9" t="str">
        <f ca="1">IF($G1017="","",INDEX(BASE_PRODUTOS!$L$2:$L$1006,$G1017))</f>
        <v/>
      </c>
      <c r="J1017" s="9" t="str">
        <f ca="1">IF($G1017="","",INDEX(BASE_PRODUTOS!$A$2:$A$1006,$G1017))</f>
        <v/>
      </c>
      <c r="K1017" s="9" t="str">
        <f ca="1">IF($G1017="","",INDEX(BASE_PRODUTOS!$C$2:$C$1006,$G1017))</f>
        <v/>
      </c>
      <c r="L1017" s="9" t="str">
        <f ca="1">IF($G1017="","",INDEX(BASE_PRODUTOS!$E$2:$E$1006,$G1017))</f>
        <v/>
      </c>
      <c r="M1017" s="9" t="str">
        <f ca="1">IF($G1017="","",INDEX(BASE_PRODUTOS!$F$2:$F$1006,$G1017))</f>
        <v/>
      </c>
      <c r="N1017" s="9" t="str">
        <f ca="1">IF($G1017="","",INDEX(BASE_PRODUTOS!$G$2:$G$1006,$G1017))</f>
        <v/>
      </c>
      <c r="O1017" s="9" t="str">
        <f ca="1">IF($G1017="","",INDEX(BASE_PRODUTOS!$H$2:$H$1006,$G1017))</f>
        <v/>
      </c>
      <c r="P1017" s="9" t="str">
        <f ca="1">IF($G1017="","",INDEX(BASE_PRODUTOS!$I$2:$I$1006,$G1017))</f>
        <v/>
      </c>
      <c r="Q1017" s="9" t="str">
        <f ca="1">IF($G1017="","",INDEX(BASE_PRODUTOS!$J$2:$J$1006,$G1017))</f>
        <v/>
      </c>
      <c r="R1017" s="9" t="str">
        <f ca="1">IF($G1017="","",INDEX(BASE_PRODUTOS!$M$2:$M$1006,$G1017))</f>
        <v/>
      </c>
      <c r="S1017" s="9" t="str">
        <f ca="1">IF($G1017="","",INDEX(BASE_PRODUTOS!$N$2:$N$1006,$G1017))</f>
        <v/>
      </c>
      <c r="T1017" s="9" t="str">
        <f ca="1">IF($G1017="","",INDEX(BASE_PRODUTOS!$D$2:$D$1006,$G1017))</f>
        <v/>
      </c>
    </row>
    <row r="1018" spans="7:20" ht="18" customHeight="1" x14ac:dyDescent="0.35">
      <c r="G1018" t="str">
        <f ca="1">IFERROR(_xludf.aggregate(15,6,(ROW(BASE_PRODUTOS!$L$2:$L$1006)-ROW(BASE_PRODUTOS!$L$2)+1)/(BASE_PRODUTOS!$L$2:$L$1006&gt;0),ROWS($G$10:G1018)),"")</f>
        <v/>
      </c>
      <c r="H1018" s="9" t="str">
        <f ca="1">IF($G1018="","",INDEX(BASE_PRODUTOS!$B$2:$B$1006,$G1018))</f>
        <v/>
      </c>
      <c r="I1018" s="9" t="str">
        <f ca="1">IF($G1018="","",INDEX(BASE_PRODUTOS!$L$2:$L$1006,$G1018))</f>
        <v/>
      </c>
      <c r="J1018" s="9" t="str">
        <f ca="1">IF($G1018="","",INDEX(BASE_PRODUTOS!$A$2:$A$1006,$G1018))</f>
        <v/>
      </c>
      <c r="K1018" s="9" t="str">
        <f ca="1">IF($G1018="","",INDEX(BASE_PRODUTOS!$C$2:$C$1006,$G1018))</f>
        <v/>
      </c>
      <c r="L1018" s="9" t="str">
        <f ca="1">IF($G1018="","",INDEX(BASE_PRODUTOS!$E$2:$E$1006,$G1018))</f>
        <v/>
      </c>
      <c r="M1018" s="9" t="str">
        <f ca="1">IF($G1018="","",INDEX(BASE_PRODUTOS!$F$2:$F$1006,$G1018))</f>
        <v/>
      </c>
      <c r="N1018" s="9" t="str">
        <f ca="1">IF($G1018="","",INDEX(BASE_PRODUTOS!$G$2:$G$1006,$G1018))</f>
        <v/>
      </c>
      <c r="O1018" s="9" t="str">
        <f ca="1">IF($G1018="","",INDEX(BASE_PRODUTOS!$H$2:$H$1006,$G1018))</f>
        <v/>
      </c>
      <c r="P1018" s="9" t="str">
        <f ca="1">IF($G1018="","",INDEX(BASE_PRODUTOS!$I$2:$I$1006,$G1018))</f>
        <v/>
      </c>
      <c r="Q1018" s="9" t="str">
        <f ca="1">IF($G1018="","",INDEX(BASE_PRODUTOS!$J$2:$J$1006,$G1018))</f>
        <v/>
      </c>
      <c r="R1018" s="9" t="str">
        <f ca="1">IF($G1018="","",INDEX(BASE_PRODUTOS!$M$2:$M$1006,$G1018))</f>
        <v/>
      </c>
      <c r="S1018" s="9" t="str">
        <f ca="1">IF($G1018="","",INDEX(BASE_PRODUTOS!$N$2:$N$1006,$G1018))</f>
        <v/>
      </c>
      <c r="T1018" s="9" t="str">
        <f ca="1">IF($G1018="","",INDEX(BASE_PRODUTOS!$D$2:$D$1006,$G1018))</f>
        <v/>
      </c>
    </row>
    <row r="1019" spans="7:20" ht="18" customHeight="1" x14ac:dyDescent="0.35">
      <c r="G1019" t="str">
        <f ca="1">IFERROR(_xludf.aggregate(15,6,(ROW(BASE_PRODUTOS!$L$2:$L$1006)-ROW(BASE_PRODUTOS!$L$2)+1)/(BASE_PRODUTOS!$L$2:$L$1006&gt;0),ROWS($G$10:G1019)),"")</f>
        <v/>
      </c>
      <c r="H1019" s="9" t="str">
        <f ca="1">IF($G1019="","",INDEX(BASE_PRODUTOS!$B$2:$B$1006,$G1019))</f>
        <v/>
      </c>
      <c r="I1019" s="9" t="str">
        <f ca="1">IF($G1019="","",INDEX(BASE_PRODUTOS!$L$2:$L$1006,$G1019))</f>
        <v/>
      </c>
      <c r="J1019" s="9" t="str">
        <f ca="1">IF($G1019="","",INDEX(BASE_PRODUTOS!$A$2:$A$1006,$G1019))</f>
        <v/>
      </c>
      <c r="K1019" s="9" t="str">
        <f ca="1">IF($G1019="","",INDEX(BASE_PRODUTOS!$C$2:$C$1006,$G1019))</f>
        <v/>
      </c>
      <c r="L1019" s="9" t="str">
        <f ca="1">IF($G1019="","",INDEX(BASE_PRODUTOS!$E$2:$E$1006,$G1019))</f>
        <v/>
      </c>
      <c r="M1019" s="9" t="str">
        <f ca="1">IF($G1019="","",INDEX(BASE_PRODUTOS!$F$2:$F$1006,$G1019))</f>
        <v/>
      </c>
      <c r="N1019" s="9" t="str">
        <f ca="1">IF($G1019="","",INDEX(BASE_PRODUTOS!$G$2:$G$1006,$G1019))</f>
        <v/>
      </c>
      <c r="O1019" s="9" t="str">
        <f ca="1">IF($G1019="","",INDEX(BASE_PRODUTOS!$H$2:$H$1006,$G1019))</f>
        <v/>
      </c>
      <c r="P1019" s="9" t="str">
        <f ca="1">IF($G1019="","",INDEX(BASE_PRODUTOS!$I$2:$I$1006,$G1019))</f>
        <v/>
      </c>
      <c r="Q1019" s="9" t="str">
        <f ca="1">IF($G1019="","",INDEX(BASE_PRODUTOS!$J$2:$J$1006,$G1019))</f>
        <v/>
      </c>
      <c r="R1019" s="9" t="str">
        <f ca="1">IF($G1019="","",INDEX(BASE_PRODUTOS!$M$2:$M$1006,$G1019))</f>
        <v/>
      </c>
      <c r="S1019" s="9" t="str">
        <f ca="1">IF($G1019="","",INDEX(BASE_PRODUTOS!$N$2:$N$1006,$G1019))</f>
        <v/>
      </c>
      <c r="T1019" s="9" t="str">
        <f ca="1">IF($G1019="","",INDEX(BASE_PRODUTOS!$D$2:$D$1006,$G1019))</f>
        <v/>
      </c>
    </row>
    <row r="1020" spans="7:20" ht="18" customHeight="1" x14ac:dyDescent="0.35">
      <c r="G1020" t="str">
        <f ca="1">IFERROR(_xludf.aggregate(15,6,(ROW(BASE_PRODUTOS!$L$2:$L$1006)-ROW(BASE_PRODUTOS!$L$2)+1)/(BASE_PRODUTOS!$L$2:$L$1006&gt;0),ROWS($G$10:G1020)),"")</f>
        <v/>
      </c>
      <c r="H1020" s="9" t="str">
        <f ca="1">IF($G1020="","",INDEX(BASE_PRODUTOS!$B$2:$B$1006,$G1020))</f>
        <v/>
      </c>
      <c r="I1020" s="9" t="str">
        <f ca="1">IF($G1020="","",INDEX(BASE_PRODUTOS!$L$2:$L$1006,$G1020))</f>
        <v/>
      </c>
      <c r="J1020" s="9" t="str">
        <f ca="1">IF($G1020="","",INDEX(BASE_PRODUTOS!$A$2:$A$1006,$G1020))</f>
        <v/>
      </c>
      <c r="K1020" s="9" t="str">
        <f ca="1">IF($G1020="","",INDEX(BASE_PRODUTOS!$C$2:$C$1006,$G1020))</f>
        <v/>
      </c>
      <c r="L1020" s="9" t="str">
        <f ca="1">IF($G1020="","",INDEX(BASE_PRODUTOS!$E$2:$E$1006,$G1020))</f>
        <v/>
      </c>
      <c r="M1020" s="9" t="str">
        <f ca="1">IF($G1020="","",INDEX(BASE_PRODUTOS!$F$2:$F$1006,$G1020))</f>
        <v/>
      </c>
      <c r="N1020" s="9" t="str">
        <f ca="1">IF($G1020="","",INDEX(BASE_PRODUTOS!$G$2:$G$1006,$G1020))</f>
        <v/>
      </c>
      <c r="O1020" s="9" t="str">
        <f ca="1">IF($G1020="","",INDEX(BASE_PRODUTOS!$H$2:$H$1006,$G1020))</f>
        <v/>
      </c>
      <c r="P1020" s="9" t="str">
        <f ca="1">IF($G1020="","",INDEX(BASE_PRODUTOS!$I$2:$I$1006,$G1020))</f>
        <v/>
      </c>
      <c r="Q1020" s="9" t="str">
        <f ca="1">IF($G1020="","",INDEX(BASE_PRODUTOS!$J$2:$J$1006,$G1020))</f>
        <v/>
      </c>
      <c r="R1020" s="9" t="str">
        <f ca="1">IF($G1020="","",INDEX(BASE_PRODUTOS!$M$2:$M$1006,$G1020))</f>
        <v/>
      </c>
      <c r="S1020" s="9" t="str">
        <f ca="1">IF($G1020="","",INDEX(BASE_PRODUTOS!$N$2:$N$1006,$G1020))</f>
        <v/>
      </c>
      <c r="T1020" s="9" t="str">
        <f ca="1">IF($G1020="","",INDEX(BASE_PRODUTOS!$D$2:$D$1006,$G1020))</f>
        <v/>
      </c>
    </row>
    <row r="1021" spans="7:20" ht="18" customHeight="1" x14ac:dyDescent="0.35">
      <c r="G1021" t="str">
        <f ca="1">IFERROR(_xludf.aggregate(15,6,(ROW(BASE_PRODUTOS!$L$2:$L$1006)-ROW(BASE_PRODUTOS!$L$2)+1)/(BASE_PRODUTOS!$L$2:$L$1006&gt;0),ROWS($G$10:G1021)),"")</f>
        <v/>
      </c>
      <c r="H1021" s="9" t="str">
        <f ca="1">IF($G1021="","",INDEX(BASE_PRODUTOS!$B$2:$B$1006,$G1021))</f>
        <v/>
      </c>
      <c r="I1021" s="9" t="str">
        <f ca="1">IF($G1021="","",INDEX(BASE_PRODUTOS!$L$2:$L$1006,$G1021))</f>
        <v/>
      </c>
      <c r="J1021" s="9" t="str">
        <f ca="1">IF($G1021="","",INDEX(BASE_PRODUTOS!$A$2:$A$1006,$G1021))</f>
        <v/>
      </c>
      <c r="K1021" s="9" t="str">
        <f ca="1">IF($G1021="","",INDEX(BASE_PRODUTOS!$C$2:$C$1006,$G1021))</f>
        <v/>
      </c>
      <c r="L1021" s="9" t="str">
        <f ca="1">IF($G1021="","",INDEX(BASE_PRODUTOS!$E$2:$E$1006,$G1021))</f>
        <v/>
      </c>
      <c r="M1021" s="9" t="str">
        <f ca="1">IF($G1021="","",INDEX(BASE_PRODUTOS!$F$2:$F$1006,$G1021))</f>
        <v/>
      </c>
      <c r="N1021" s="9" t="str">
        <f ca="1">IF($G1021="","",INDEX(BASE_PRODUTOS!$G$2:$G$1006,$G1021))</f>
        <v/>
      </c>
      <c r="O1021" s="9" t="str">
        <f ca="1">IF($G1021="","",INDEX(BASE_PRODUTOS!$H$2:$H$1006,$G1021))</f>
        <v/>
      </c>
      <c r="P1021" s="9" t="str">
        <f ca="1">IF($G1021="","",INDEX(BASE_PRODUTOS!$I$2:$I$1006,$G1021))</f>
        <v/>
      </c>
      <c r="Q1021" s="9" t="str">
        <f ca="1">IF($G1021="","",INDEX(BASE_PRODUTOS!$J$2:$J$1006,$G1021))</f>
        <v/>
      </c>
      <c r="R1021" s="9" t="str">
        <f ca="1">IF($G1021="","",INDEX(BASE_PRODUTOS!$M$2:$M$1006,$G1021))</f>
        <v/>
      </c>
      <c r="S1021" s="9" t="str">
        <f ca="1">IF($G1021="","",INDEX(BASE_PRODUTOS!$N$2:$N$1006,$G1021))</f>
        <v/>
      </c>
      <c r="T1021" s="9" t="str">
        <f ca="1">IF($G1021="","",INDEX(BASE_PRODUTOS!$D$2:$D$1006,$G1021))</f>
        <v/>
      </c>
    </row>
    <row r="1022" spans="7:20" ht="18" customHeight="1" x14ac:dyDescent="0.35">
      <c r="G1022" t="str">
        <f ca="1">IFERROR(_xludf.aggregate(15,6,(ROW(BASE_PRODUTOS!$L$2:$L$1006)-ROW(BASE_PRODUTOS!$L$2)+1)/(BASE_PRODUTOS!$L$2:$L$1006&gt;0),ROWS($G$10:G1022)),"")</f>
        <v/>
      </c>
      <c r="H1022" s="9" t="str">
        <f ca="1">IF($G1022="","",INDEX(BASE_PRODUTOS!$B$2:$B$1006,$G1022))</f>
        <v/>
      </c>
      <c r="I1022" s="9" t="str">
        <f ca="1">IF($G1022="","",INDEX(BASE_PRODUTOS!$L$2:$L$1006,$G1022))</f>
        <v/>
      </c>
      <c r="J1022" s="9" t="str">
        <f ca="1">IF($G1022="","",INDEX(BASE_PRODUTOS!$A$2:$A$1006,$G1022))</f>
        <v/>
      </c>
      <c r="K1022" s="9" t="str">
        <f ca="1">IF($G1022="","",INDEX(BASE_PRODUTOS!$C$2:$C$1006,$G1022))</f>
        <v/>
      </c>
      <c r="L1022" s="9" t="str">
        <f ca="1">IF($G1022="","",INDEX(BASE_PRODUTOS!$E$2:$E$1006,$G1022))</f>
        <v/>
      </c>
      <c r="M1022" s="9" t="str">
        <f ca="1">IF($G1022="","",INDEX(BASE_PRODUTOS!$F$2:$F$1006,$G1022))</f>
        <v/>
      </c>
      <c r="N1022" s="9" t="str">
        <f ca="1">IF($G1022="","",INDEX(BASE_PRODUTOS!$G$2:$G$1006,$G1022))</f>
        <v/>
      </c>
      <c r="O1022" s="9" t="str">
        <f ca="1">IF($G1022="","",INDEX(BASE_PRODUTOS!$H$2:$H$1006,$G1022))</f>
        <v/>
      </c>
      <c r="P1022" s="9" t="str">
        <f ca="1">IF($G1022="","",INDEX(BASE_PRODUTOS!$I$2:$I$1006,$G1022))</f>
        <v/>
      </c>
      <c r="Q1022" s="9" t="str">
        <f ca="1">IF($G1022="","",INDEX(BASE_PRODUTOS!$J$2:$J$1006,$G1022))</f>
        <v/>
      </c>
      <c r="R1022" s="9" t="str">
        <f ca="1">IF($G1022="","",INDEX(BASE_PRODUTOS!$M$2:$M$1006,$G1022))</f>
        <v/>
      </c>
      <c r="S1022" s="9" t="str">
        <f ca="1">IF($G1022="","",INDEX(BASE_PRODUTOS!$N$2:$N$1006,$G1022))</f>
        <v/>
      </c>
      <c r="T1022" s="9" t="str">
        <f ca="1">IF($G1022="","",INDEX(BASE_PRODUTOS!$D$2:$D$1006,$G1022))</f>
        <v/>
      </c>
    </row>
    <row r="1023" spans="7:20" ht="18" customHeight="1" x14ac:dyDescent="0.35">
      <c r="G1023" t="str">
        <f ca="1">IFERROR(_xludf.aggregate(15,6,(ROW(BASE_PRODUTOS!$L$2:$L$1006)-ROW(BASE_PRODUTOS!$L$2)+1)/(BASE_PRODUTOS!$L$2:$L$1006&gt;0),ROWS($G$10:G1023)),"")</f>
        <v/>
      </c>
      <c r="H1023" s="9" t="str">
        <f ca="1">IF($G1023="","",INDEX(BASE_PRODUTOS!$B$2:$B$1006,$G1023))</f>
        <v/>
      </c>
      <c r="I1023" s="9" t="str">
        <f ca="1">IF($G1023="","",INDEX(BASE_PRODUTOS!$L$2:$L$1006,$G1023))</f>
        <v/>
      </c>
      <c r="J1023" s="9" t="str">
        <f ca="1">IF($G1023="","",INDEX(BASE_PRODUTOS!$A$2:$A$1006,$G1023))</f>
        <v/>
      </c>
      <c r="K1023" s="9" t="str">
        <f ca="1">IF($G1023="","",INDEX(BASE_PRODUTOS!$C$2:$C$1006,$G1023))</f>
        <v/>
      </c>
      <c r="L1023" s="9" t="str">
        <f ca="1">IF($G1023="","",INDEX(BASE_PRODUTOS!$E$2:$E$1006,$G1023))</f>
        <v/>
      </c>
      <c r="M1023" s="9" t="str">
        <f ca="1">IF($G1023="","",INDEX(BASE_PRODUTOS!$F$2:$F$1006,$G1023))</f>
        <v/>
      </c>
      <c r="N1023" s="9" t="str">
        <f ca="1">IF($G1023="","",INDEX(BASE_PRODUTOS!$G$2:$G$1006,$G1023))</f>
        <v/>
      </c>
      <c r="O1023" s="9" t="str">
        <f ca="1">IF($G1023="","",INDEX(BASE_PRODUTOS!$H$2:$H$1006,$G1023))</f>
        <v/>
      </c>
      <c r="P1023" s="9" t="str">
        <f ca="1">IF($G1023="","",INDEX(BASE_PRODUTOS!$I$2:$I$1006,$G1023))</f>
        <v/>
      </c>
      <c r="Q1023" s="9" t="str">
        <f ca="1">IF($G1023="","",INDEX(BASE_PRODUTOS!$J$2:$J$1006,$G1023))</f>
        <v/>
      </c>
      <c r="R1023" s="9" t="str">
        <f ca="1">IF($G1023="","",INDEX(BASE_PRODUTOS!$M$2:$M$1006,$G1023))</f>
        <v/>
      </c>
      <c r="S1023" s="9" t="str">
        <f ca="1">IF($G1023="","",INDEX(BASE_PRODUTOS!$N$2:$N$1006,$G1023))</f>
        <v/>
      </c>
      <c r="T1023" s="9" t="str">
        <f ca="1">IF($G1023="","",INDEX(BASE_PRODUTOS!$D$2:$D$1006,$G1023))</f>
        <v/>
      </c>
    </row>
    <row r="1024" spans="7:20" ht="18" customHeight="1" x14ac:dyDescent="0.35">
      <c r="G1024" t="str">
        <f ca="1">IFERROR(_xludf.aggregate(15,6,(ROW(BASE_PRODUTOS!$L$2:$L$1006)-ROW(BASE_PRODUTOS!$L$2)+1)/(BASE_PRODUTOS!$L$2:$L$1006&gt;0),ROWS($G$10:G1024)),"")</f>
        <v/>
      </c>
      <c r="H1024" s="9" t="str">
        <f ca="1">IF($G1024="","",INDEX(BASE_PRODUTOS!$B$2:$B$1006,$G1024))</f>
        <v/>
      </c>
      <c r="I1024" s="9" t="str">
        <f ca="1">IF($G1024="","",INDEX(BASE_PRODUTOS!$L$2:$L$1006,$G1024))</f>
        <v/>
      </c>
      <c r="J1024" s="9" t="str">
        <f ca="1">IF($G1024="","",INDEX(BASE_PRODUTOS!$A$2:$A$1006,$G1024))</f>
        <v/>
      </c>
      <c r="K1024" s="9" t="str">
        <f ca="1">IF($G1024="","",INDEX(BASE_PRODUTOS!$C$2:$C$1006,$G1024))</f>
        <v/>
      </c>
      <c r="L1024" s="9" t="str">
        <f ca="1">IF($G1024="","",INDEX(BASE_PRODUTOS!$E$2:$E$1006,$G1024))</f>
        <v/>
      </c>
      <c r="M1024" s="9" t="str">
        <f ca="1">IF($G1024="","",INDEX(BASE_PRODUTOS!$F$2:$F$1006,$G1024))</f>
        <v/>
      </c>
      <c r="N1024" s="9" t="str">
        <f ca="1">IF($G1024="","",INDEX(BASE_PRODUTOS!$G$2:$G$1006,$G1024))</f>
        <v/>
      </c>
      <c r="O1024" s="9" t="str">
        <f ca="1">IF($G1024="","",INDEX(BASE_PRODUTOS!$H$2:$H$1006,$G1024))</f>
        <v/>
      </c>
      <c r="P1024" s="9" t="str">
        <f ca="1">IF($G1024="","",INDEX(BASE_PRODUTOS!$I$2:$I$1006,$G1024))</f>
        <v/>
      </c>
      <c r="Q1024" s="9" t="str">
        <f ca="1">IF($G1024="","",INDEX(BASE_PRODUTOS!$J$2:$J$1006,$G1024))</f>
        <v/>
      </c>
      <c r="R1024" s="9" t="str">
        <f ca="1">IF($G1024="","",INDEX(BASE_PRODUTOS!$M$2:$M$1006,$G1024))</f>
        <v/>
      </c>
      <c r="S1024" s="9" t="str">
        <f ca="1">IF($G1024="","",INDEX(BASE_PRODUTOS!$N$2:$N$1006,$G1024))</f>
        <v/>
      </c>
      <c r="T1024" s="9" t="str">
        <f ca="1">IF($G1024="","",INDEX(BASE_PRODUTOS!$D$2:$D$1006,$G1024))</f>
        <v/>
      </c>
    </row>
    <row r="1025" spans="7:20" ht="18" customHeight="1" x14ac:dyDescent="0.35">
      <c r="G1025" t="str">
        <f ca="1">IFERROR(_xludf.aggregate(15,6,(ROW(BASE_PRODUTOS!$L$2:$L$1006)-ROW(BASE_PRODUTOS!$L$2)+1)/(BASE_PRODUTOS!$L$2:$L$1006&gt;0),ROWS($G$10:G1025)),"")</f>
        <v/>
      </c>
      <c r="H1025" s="9" t="str">
        <f ca="1">IF($G1025="","",INDEX(BASE_PRODUTOS!$B$2:$B$1006,$G1025))</f>
        <v/>
      </c>
      <c r="I1025" s="9" t="str">
        <f ca="1">IF($G1025="","",INDEX(BASE_PRODUTOS!$L$2:$L$1006,$G1025))</f>
        <v/>
      </c>
      <c r="J1025" s="9" t="str">
        <f ca="1">IF($G1025="","",INDEX(BASE_PRODUTOS!$A$2:$A$1006,$G1025))</f>
        <v/>
      </c>
      <c r="K1025" s="9" t="str">
        <f ca="1">IF($G1025="","",INDEX(BASE_PRODUTOS!$C$2:$C$1006,$G1025))</f>
        <v/>
      </c>
      <c r="L1025" s="9" t="str">
        <f ca="1">IF($G1025="","",INDEX(BASE_PRODUTOS!$E$2:$E$1006,$G1025))</f>
        <v/>
      </c>
      <c r="M1025" s="9" t="str">
        <f ca="1">IF($G1025="","",INDEX(BASE_PRODUTOS!$F$2:$F$1006,$G1025))</f>
        <v/>
      </c>
      <c r="N1025" s="9" t="str">
        <f ca="1">IF($G1025="","",INDEX(BASE_PRODUTOS!$G$2:$G$1006,$G1025))</f>
        <v/>
      </c>
      <c r="O1025" s="9" t="str">
        <f ca="1">IF($G1025="","",INDEX(BASE_PRODUTOS!$H$2:$H$1006,$G1025))</f>
        <v/>
      </c>
      <c r="P1025" s="9" t="str">
        <f ca="1">IF($G1025="","",INDEX(BASE_PRODUTOS!$I$2:$I$1006,$G1025))</f>
        <v/>
      </c>
      <c r="Q1025" s="9" t="str">
        <f ca="1">IF($G1025="","",INDEX(BASE_PRODUTOS!$J$2:$J$1006,$G1025))</f>
        <v/>
      </c>
      <c r="R1025" s="9" t="str">
        <f ca="1">IF($G1025="","",INDEX(BASE_PRODUTOS!$M$2:$M$1006,$G1025))</f>
        <v/>
      </c>
      <c r="S1025" s="9" t="str">
        <f ca="1">IF($G1025="","",INDEX(BASE_PRODUTOS!$N$2:$N$1006,$G1025))</f>
        <v/>
      </c>
      <c r="T1025" s="9" t="str">
        <f ca="1">IF($G1025="","",INDEX(BASE_PRODUTOS!$D$2:$D$1006,$G1025))</f>
        <v/>
      </c>
    </row>
    <row r="1026" spans="7:20" ht="18" customHeight="1" x14ac:dyDescent="0.35">
      <c r="G1026" t="str">
        <f ca="1">IFERROR(_xludf.aggregate(15,6,(ROW(BASE_PRODUTOS!$L$2:$L$1006)-ROW(BASE_PRODUTOS!$L$2)+1)/(BASE_PRODUTOS!$L$2:$L$1006&gt;0),ROWS($G$10:G1026)),"")</f>
        <v/>
      </c>
      <c r="H1026" s="9" t="str">
        <f ca="1">IF($G1026="","",INDEX(BASE_PRODUTOS!$B$2:$B$1006,$G1026))</f>
        <v/>
      </c>
      <c r="I1026" s="9" t="str">
        <f ca="1">IF($G1026="","",INDEX(BASE_PRODUTOS!$L$2:$L$1006,$G1026))</f>
        <v/>
      </c>
      <c r="J1026" s="9" t="str">
        <f ca="1">IF($G1026="","",INDEX(BASE_PRODUTOS!$A$2:$A$1006,$G1026))</f>
        <v/>
      </c>
      <c r="K1026" s="9" t="str">
        <f ca="1">IF($G1026="","",INDEX(BASE_PRODUTOS!$C$2:$C$1006,$G1026))</f>
        <v/>
      </c>
      <c r="L1026" s="9" t="str">
        <f ca="1">IF($G1026="","",INDEX(BASE_PRODUTOS!$E$2:$E$1006,$G1026))</f>
        <v/>
      </c>
      <c r="M1026" s="9" t="str">
        <f ca="1">IF($G1026="","",INDEX(BASE_PRODUTOS!$F$2:$F$1006,$G1026))</f>
        <v/>
      </c>
      <c r="N1026" s="9" t="str">
        <f ca="1">IF($G1026="","",INDEX(BASE_PRODUTOS!$G$2:$G$1006,$G1026))</f>
        <v/>
      </c>
      <c r="O1026" s="9" t="str">
        <f ca="1">IF($G1026="","",INDEX(BASE_PRODUTOS!$H$2:$H$1006,$G1026))</f>
        <v/>
      </c>
      <c r="P1026" s="9" t="str">
        <f ca="1">IF($G1026="","",INDEX(BASE_PRODUTOS!$I$2:$I$1006,$G1026))</f>
        <v/>
      </c>
      <c r="Q1026" s="9" t="str">
        <f ca="1">IF($G1026="","",INDEX(BASE_PRODUTOS!$J$2:$J$1006,$G1026))</f>
        <v/>
      </c>
      <c r="R1026" s="9" t="str">
        <f ca="1">IF($G1026="","",INDEX(BASE_PRODUTOS!$M$2:$M$1006,$G1026))</f>
        <v/>
      </c>
      <c r="S1026" s="9" t="str">
        <f ca="1">IF($G1026="","",INDEX(BASE_PRODUTOS!$N$2:$N$1006,$G1026))</f>
        <v/>
      </c>
      <c r="T1026" s="9" t="str">
        <f ca="1">IF($G1026="","",INDEX(BASE_PRODUTOS!$D$2:$D$1006,$G1026))</f>
        <v/>
      </c>
    </row>
    <row r="1027" spans="7:20" ht="18" customHeight="1" x14ac:dyDescent="0.35">
      <c r="G1027" t="str">
        <f ca="1">IFERROR(_xludf.aggregate(15,6,(ROW(BASE_PRODUTOS!$L$2:$L$1006)-ROW(BASE_PRODUTOS!$L$2)+1)/(BASE_PRODUTOS!$L$2:$L$1006&gt;0),ROWS($G$10:G1027)),"")</f>
        <v/>
      </c>
      <c r="H1027" s="9" t="str">
        <f ca="1">IF($G1027="","",INDEX(BASE_PRODUTOS!$B$2:$B$1006,$G1027))</f>
        <v/>
      </c>
      <c r="I1027" s="9" t="str">
        <f ca="1">IF($G1027="","",INDEX(BASE_PRODUTOS!$L$2:$L$1006,$G1027))</f>
        <v/>
      </c>
      <c r="J1027" s="9" t="str">
        <f ca="1">IF($G1027="","",INDEX(BASE_PRODUTOS!$A$2:$A$1006,$G1027))</f>
        <v/>
      </c>
      <c r="K1027" s="9" t="str">
        <f ca="1">IF($G1027="","",INDEX(BASE_PRODUTOS!$C$2:$C$1006,$G1027))</f>
        <v/>
      </c>
      <c r="L1027" s="9" t="str">
        <f ca="1">IF($G1027="","",INDEX(BASE_PRODUTOS!$E$2:$E$1006,$G1027))</f>
        <v/>
      </c>
      <c r="M1027" s="9" t="str">
        <f ca="1">IF($G1027="","",INDEX(BASE_PRODUTOS!$F$2:$F$1006,$G1027))</f>
        <v/>
      </c>
      <c r="N1027" s="9" t="str">
        <f ca="1">IF($G1027="","",INDEX(BASE_PRODUTOS!$G$2:$G$1006,$G1027))</f>
        <v/>
      </c>
      <c r="O1027" s="9" t="str">
        <f ca="1">IF($G1027="","",INDEX(BASE_PRODUTOS!$H$2:$H$1006,$G1027))</f>
        <v/>
      </c>
      <c r="P1027" s="9" t="str">
        <f ca="1">IF($G1027="","",INDEX(BASE_PRODUTOS!$I$2:$I$1006,$G1027))</f>
        <v/>
      </c>
      <c r="Q1027" s="9" t="str">
        <f ca="1">IF($G1027="","",INDEX(BASE_PRODUTOS!$J$2:$J$1006,$G1027))</f>
        <v/>
      </c>
      <c r="R1027" s="9" t="str">
        <f ca="1">IF($G1027="","",INDEX(BASE_PRODUTOS!$M$2:$M$1006,$G1027))</f>
        <v/>
      </c>
      <c r="S1027" s="9" t="str">
        <f ca="1">IF($G1027="","",INDEX(BASE_PRODUTOS!$N$2:$N$1006,$G1027))</f>
        <v/>
      </c>
      <c r="T1027" s="9" t="str">
        <f ca="1">IF($G1027="","",INDEX(BASE_PRODUTOS!$D$2:$D$1006,$G1027))</f>
        <v/>
      </c>
    </row>
    <row r="1028" spans="7:20" ht="18" customHeight="1" x14ac:dyDescent="0.35">
      <c r="G1028" t="str">
        <f ca="1">IFERROR(_xludf.aggregate(15,6,(ROW(BASE_PRODUTOS!$L$2:$L$1006)-ROW(BASE_PRODUTOS!$L$2)+1)/(BASE_PRODUTOS!$L$2:$L$1006&gt;0),ROWS($G$10:G1028)),"")</f>
        <v/>
      </c>
      <c r="H1028" s="9" t="str">
        <f ca="1">IF($G1028="","",INDEX(BASE_PRODUTOS!$B$2:$B$1006,$G1028))</f>
        <v/>
      </c>
      <c r="I1028" s="9" t="str">
        <f ca="1">IF($G1028="","",INDEX(BASE_PRODUTOS!$L$2:$L$1006,$G1028))</f>
        <v/>
      </c>
      <c r="J1028" s="9" t="str">
        <f ca="1">IF($G1028="","",INDEX(BASE_PRODUTOS!$A$2:$A$1006,$G1028))</f>
        <v/>
      </c>
      <c r="K1028" s="9" t="str">
        <f ca="1">IF($G1028="","",INDEX(BASE_PRODUTOS!$C$2:$C$1006,$G1028))</f>
        <v/>
      </c>
      <c r="L1028" s="9" t="str">
        <f ca="1">IF($G1028="","",INDEX(BASE_PRODUTOS!$E$2:$E$1006,$G1028))</f>
        <v/>
      </c>
      <c r="M1028" s="9" t="str">
        <f ca="1">IF($G1028="","",INDEX(BASE_PRODUTOS!$F$2:$F$1006,$G1028))</f>
        <v/>
      </c>
      <c r="N1028" s="9" t="str">
        <f ca="1">IF($G1028="","",INDEX(BASE_PRODUTOS!$G$2:$G$1006,$G1028))</f>
        <v/>
      </c>
      <c r="O1028" s="9" t="str">
        <f ca="1">IF($G1028="","",INDEX(BASE_PRODUTOS!$H$2:$H$1006,$G1028))</f>
        <v/>
      </c>
      <c r="P1028" s="9" t="str">
        <f ca="1">IF($G1028="","",INDEX(BASE_PRODUTOS!$I$2:$I$1006,$G1028))</f>
        <v/>
      </c>
      <c r="Q1028" s="9" t="str">
        <f ca="1">IF($G1028="","",INDEX(BASE_PRODUTOS!$J$2:$J$1006,$G1028))</f>
        <v/>
      </c>
      <c r="R1028" s="9" t="str">
        <f ca="1">IF($G1028="","",INDEX(BASE_PRODUTOS!$M$2:$M$1006,$G1028))</f>
        <v/>
      </c>
      <c r="S1028" s="9" t="str">
        <f ca="1">IF($G1028="","",INDEX(BASE_PRODUTOS!$N$2:$N$1006,$G1028))</f>
        <v/>
      </c>
      <c r="T1028" s="9" t="str">
        <f ca="1">IF($G1028="","",INDEX(BASE_PRODUTOS!$D$2:$D$1006,$G1028))</f>
        <v/>
      </c>
    </row>
    <row r="1029" spans="7:20" ht="18" customHeight="1" x14ac:dyDescent="0.35">
      <c r="G1029" t="str">
        <f ca="1">IFERROR(_xludf.aggregate(15,6,(ROW(BASE_PRODUTOS!$L$2:$L$1006)-ROW(BASE_PRODUTOS!$L$2)+1)/(BASE_PRODUTOS!$L$2:$L$1006&gt;0),ROWS($G$10:G1029)),"")</f>
        <v/>
      </c>
      <c r="H1029" s="9" t="str">
        <f ca="1">IF($G1029="","",INDEX(BASE_PRODUTOS!$B$2:$B$1006,$G1029))</f>
        <v/>
      </c>
      <c r="I1029" s="9" t="str">
        <f ca="1">IF($G1029="","",INDEX(BASE_PRODUTOS!$L$2:$L$1006,$G1029))</f>
        <v/>
      </c>
      <c r="J1029" s="9" t="str">
        <f ca="1">IF($G1029="","",INDEX(BASE_PRODUTOS!$A$2:$A$1006,$G1029))</f>
        <v/>
      </c>
      <c r="K1029" s="9" t="str">
        <f ca="1">IF($G1029="","",INDEX(BASE_PRODUTOS!$C$2:$C$1006,$G1029))</f>
        <v/>
      </c>
      <c r="L1029" s="9" t="str">
        <f ca="1">IF($G1029="","",INDEX(BASE_PRODUTOS!$E$2:$E$1006,$G1029))</f>
        <v/>
      </c>
      <c r="M1029" s="9" t="str">
        <f ca="1">IF($G1029="","",INDEX(BASE_PRODUTOS!$F$2:$F$1006,$G1029))</f>
        <v/>
      </c>
      <c r="N1029" s="9" t="str">
        <f ca="1">IF($G1029="","",INDEX(BASE_PRODUTOS!$G$2:$G$1006,$G1029))</f>
        <v/>
      </c>
      <c r="O1029" s="9" t="str">
        <f ca="1">IF($G1029="","",INDEX(BASE_PRODUTOS!$H$2:$H$1006,$G1029))</f>
        <v/>
      </c>
      <c r="P1029" s="9" t="str">
        <f ca="1">IF($G1029="","",INDEX(BASE_PRODUTOS!$I$2:$I$1006,$G1029))</f>
        <v/>
      </c>
      <c r="Q1029" s="9" t="str">
        <f ca="1">IF($G1029="","",INDEX(BASE_PRODUTOS!$J$2:$J$1006,$G1029))</f>
        <v/>
      </c>
      <c r="R1029" s="9" t="str">
        <f ca="1">IF($G1029="","",INDEX(BASE_PRODUTOS!$M$2:$M$1006,$G1029))</f>
        <v/>
      </c>
      <c r="S1029" s="9" t="str">
        <f ca="1">IF($G1029="","",INDEX(BASE_PRODUTOS!$N$2:$N$1006,$G1029))</f>
        <v/>
      </c>
      <c r="T1029" s="9" t="str">
        <f ca="1">IF($G1029="","",INDEX(BASE_PRODUTOS!$D$2:$D$1006,$G1029))</f>
        <v/>
      </c>
    </row>
    <row r="1030" spans="7:20" ht="18" customHeight="1" x14ac:dyDescent="0.35">
      <c r="G1030" t="str">
        <f ca="1">IFERROR(_xludf.aggregate(15,6,(ROW(BASE_PRODUTOS!$L$2:$L$1006)-ROW(BASE_PRODUTOS!$L$2)+1)/(BASE_PRODUTOS!$L$2:$L$1006&gt;0),ROWS($G$10:G1030)),"")</f>
        <v/>
      </c>
      <c r="H1030" s="9" t="str">
        <f ca="1">IF($G1030="","",INDEX(BASE_PRODUTOS!$B$2:$B$1006,$G1030))</f>
        <v/>
      </c>
      <c r="I1030" s="9" t="str">
        <f ca="1">IF($G1030="","",INDEX(BASE_PRODUTOS!$L$2:$L$1006,$G1030))</f>
        <v/>
      </c>
      <c r="J1030" s="9" t="str">
        <f ca="1">IF($G1030="","",INDEX(BASE_PRODUTOS!$A$2:$A$1006,$G1030))</f>
        <v/>
      </c>
      <c r="K1030" s="9" t="str">
        <f ca="1">IF($G1030="","",INDEX(BASE_PRODUTOS!$C$2:$C$1006,$G1030))</f>
        <v/>
      </c>
      <c r="L1030" s="9" t="str">
        <f ca="1">IF($G1030="","",INDEX(BASE_PRODUTOS!$E$2:$E$1006,$G1030))</f>
        <v/>
      </c>
      <c r="M1030" s="9" t="str">
        <f ca="1">IF($G1030="","",INDEX(BASE_PRODUTOS!$F$2:$F$1006,$G1030))</f>
        <v/>
      </c>
      <c r="N1030" s="9" t="str">
        <f ca="1">IF($G1030="","",INDEX(BASE_PRODUTOS!$G$2:$G$1006,$G1030))</f>
        <v/>
      </c>
      <c r="O1030" s="9" t="str">
        <f ca="1">IF($G1030="","",INDEX(BASE_PRODUTOS!$H$2:$H$1006,$G1030))</f>
        <v/>
      </c>
      <c r="P1030" s="9" t="str">
        <f ca="1">IF($G1030="","",INDEX(BASE_PRODUTOS!$I$2:$I$1006,$G1030))</f>
        <v/>
      </c>
      <c r="Q1030" s="9" t="str">
        <f ca="1">IF($G1030="","",INDEX(BASE_PRODUTOS!$J$2:$J$1006,$G1030))</f>
        <v/>
      </c>
      <c r="R1030" s="9" t="str">
        <f ca="1">IF($G1030="","",INDEX(BASE_PRODUTOS!$M$2:$M$1006,$G1030))</f>
        <v/>
      </c>
      <c r="S1030" s="9" t="str">
        <f ca="1">IF($G1030="","",INDEX(BASE_PRODUTOS!$N$2:$N$1006,$G1030))</f>
        <v/>
      </c>
      <c r="T1030" s="9" t="str">
        <f ca="1">IF($G1030="","",INDEX(BASE_PRODUTOS!$D$2:$D$1006,$G1030))</f>
        <v/>
      </c>
    </row>
    <row r="1031" spans="7:20" ht="18" customHeight="1" x14ac:dyDescent="0.35">
      <c r="G1031" t="str">
        <f ca="1">IFERROR(_xludf.aggregate(15,6,(ROW(BASE_PRODUTOS!$L$2:$L$1006)-ROW(BASE_PRODUTOS!$L$2)+1)/(BASE_PRODUTOS!$L$2:$L$1006&gt;0),ROWS($G$10:G1031)),"")</f>
        <v/>
      </c>
      <c r="H1031" s="9" t="str">
        <f ca="1">IF($G1031="","",INDEX(BASE_PRODUTOS!$B$2:$B$1006,$G1031))</f>
        <v/>
      </c>
      <c r="I1031" s="9" t="str">
        <f ca="1">IF($G1031="","",INDEX(BASE_PRODUTOS!$L$2:$L$1006,$G1031))</f>
        <v/>
      </c>
      <c r="J1031" s="9" t="str">
        <f ca="1">IF($G1031="","",INDEX(BASE_PRODUTOS!$A$2:$A$1006,$G1031))</f>
        <v/>
      </c>
      <c r="K1031" s="9" t="str">
        <f ca="1">IF($G1031="","",INDEX(BASE_PRODUTOS!$C$2:$C$1006,$G1031))</f>
        <v/>
      </c>
      <c r="L1031" s="9" t="str">
        <f ca="1">IF($G1031="","",INDEX(BASE_PRODUTOS!$E$2:$E$1006,$G1031))</f>
        <v/>
      </c>
      <c r="M1031" s="9" t="str">
        <f ca="1">IF($G1031="","",INDEX(BASE_PRODUTOS!$F$2:$F$1006,$G1031))</f>
        <v/>
      </c>
      <c r="N1031" s="9" t="str">
        <f ca="1">IF($G1031="","",INDEX(BASE_PRODUTOS!$G$2:$G$1006,$G1031))</f>
        <v/>
      </c>
      <c r="O1031" s="9" t="str">
        <f ca="1">IF($G1031="","",INDEX(BASE_PRODUTOS!$H$2:$H$1006,$G1031))</f>
        <v/>
      </c>
      <c r="P1031" s="9" t="str">
        <f ca="1">IF($G1031="","",INDEX(BASE_PRODUTOS!$I$2:$I$1006,$G1031))</f>
        <v/>
      </c>
      <c r="Q1031" s="9" t="str">
        <f ca="1">IF($G1031="","",INDEX(BASE_PRODUTOS!$J$2:$J$1006,$G1031))</f>
        <v/>
      </c>
      <c r="R1031" s="9" t="str">
        <f ca="1">IF($G1031="","",INDEX(BASE_PRODUTOS!$M$2:$M$1006,$G1031))</f>
        <v/>
      </c>
      <c r="S1031" s="9" t="str">
        <f ca="1">IF($G1031="","",INDEX(BASE_PRODUTOS!$N$2:$N$1006,$G1031))</f>
        <v/>
      </c>
      <c r="T1031" s="9" t="str">
        <f ca="1">IF($G1031="","",INDEX(BASE_PRODUTOS!$D$2:$D$1006,$G1031))</f>
        <v/>
      </c>
    </row>
    <row r="1032" spans="7:20" ht="18" customHeight="1" x14ac:dyDescent="0.35">
      <c r="G1032" t="str">
        <f ca="1">IFERROR(_xludf.aggregate(15,6,(ROW(BASE_PRODUTOS!$L$2:$L$1006)-ROW(BASE_PRODUTOS!$L$2)+1)/(BASE_PRODUTOS!$L$2:$L$1006&gt;0),ROWS($G$10:G1032)),"")</f>
        <v/>
      </c>
      <c r="H1032" s="9" t="str">
        <f ca="1">IF($G1032="","",INDEX(BASE_PRODUTOS!$B$2:$B$1006,$G1032))</f>
        <v/>
      </c>
      <c r="I1032" s="9" t="str">
        <f ca="1">IF($G1032="","",INDEX(BASE_PRODUTOS!$L$2:$L$1006,$G1032))</f>
        <v/>
      </c>
      <c r="J1032" s="9" t="str">
        <f ca="1">IF($G1032="","",INDEX(BASE_PRODUTOS!$A$2:$A$1006,$G1032))</f>
        <v/>
      </c>
      <c r="K1032" s="9" t="str">
        <f ca="1">IF($G1032="","",INDEX(BASE_PRODUTOS!$C$2:$C$1006,$G1032))</f>
        <v/>
      </c>
      <c r="L1032" s="9" t="str">
        <f ca="1">IF($G1032="","",INDEX(BASE_PRODUTOS!$E$2:$E$1006,$G1032))</f>
        <v/>
      </c>
      <c r="M1032" s="9" t="str">
        <f ca="1">IF($G1032="","",INDEX(BASE_PRODUTOS!$F$2:$F$1006,$G1032))</f>
        <v/>
      </c>
      <c r="N1032" s="9" t="str">
        <f ca="1">IF($G1032="","",INDEX(BASE_PRODUTOS!$G$2:$G$1006,$G1032))</f>
        <v/>
      </c>
      <c r="O1032" s="9" t="str">
        <f ca="1">IF($G1032="","",INDEX(BASE_PRODUTOS!$H$2:$H$1006,$G1032))</f>
        <v/>
      </c>
      <c r="P1032" s="9" t="str">
        <f ca="1">IF($G1032="","",INDEX(BASE_PRODUTOS!$I$2:$I$1006,$G1032))</f>
        <v/>
      </c>
      <c r="Q1032" s="9" t="str">
        <f ca="1">IF($G1032="","",INDEX(BASE_PRODUTOS!$J$2:$J$1006,$G1032))</f>
        <v/>
      </c>
      <c r="R1032" s="9" t="str">
        <f ca="1">IF($G1032="","",INDEX(BASE_PRODUTOS!$M$2:$M$1006,$G1032))</f>
        <v/>
      </c>
      <c r="S1032" s="9" t="str">
        <f ca="1">IF($G1032="","",INDEX(BASE_PRODUTOS!$N$2:$N$1006,$G1032))</f>
        <v/>
      </c>
      <c r="T1032" s="9" t="str">
        <f ca="1">IF($G1032="","",INDEX(BASE_PRODUTOS!$D$2:$D$1006,$G1032))</f>
        <v/>
      </c>
    </row>
    <row r="1033" spans="7:20" ht="18" customHeight="1" x14ac:dyDescent="0.35">
      <c r="G1033" t="str">
        <f ca="1">IFERROR(_xludf.aggregate(15,6,(ROW(BASE_PRODUTOS!$L$2:$L$1006)-ROW(BASE_PRODUTOS!$L$2)+1)/(BASE_PRODUTOS!$L$2:$L$1006&gt;0),ROWS($G$10:G1033)),"")</f>
        <v/>
      </c>
      <c r="H1033" s="9" t="str">
        <f ca="1">IF($G1033="","",INDEX(BASE_PRODUTOS!$B$2:$B$1006,$G1033))</f>
        <v/>
      </c>
      <c r="I1033" s="9" t="str">
        <f ca="1">IF($G1033="","",INDEX(BASE_PRODUTOS!$L$2:$L$1006,$G1033))</f>
        <v/>
      </c>
      <c r="J1033" s="9" t="str">
        <f ca="1">IF($G1033="","",INDEX(BASE_PRODUTOS!$A$2:$A$1006,$G1033))</f>
        <v/>
      </c>
      <c r="K1033" s="9" t="str">
        <f ca="1">IF($G1033="","",INDEX(BASE_PRODUTOS!$C$2:$C$1006,$G1033))</f>
        <v/>
      </c>
      <c r="L1033" s="9" t="str">
        <f ca="1">IF($G1033="","",INDEX(BASE_PRODUTOS!$E$2:$E$1006,$G1033))</f>
        <v/>
      </c>
      <c r="M1033" s="9" t="str">
        <f ca="1">IF($G1033="","",INDEX(BASE_PRODUTOS!$F$2:$F$1006,$G1033))</f>
        <v/>
      </c>
      <c r="N1033" s="9" t="str">
        <f ca="1">IF($G1033="","",INDEX(BASE_PRODUTOS!$G$2:$G$1006,$G1033))</f>
        <v/>
      </c>
      <c r="O1033" s="9" t="str">
        <f ca="1">IF($G1033="","",INDEX(BASE_PRODUTOS!$H$2:$H$1006,$G1033))</f>
        <v/>
      </c>
      <c r="P1033" s="9" t="str">
        <f ca="1">IF($G1033="","",INDEX(BASE_PRODUTOS!$I$2:$I$1006,$G1033))</f>
        <v/>
      </c>
      <c r="Q1033" s="9" t="str">
        <f ca="1">IF($G1033="","",INDEX(BASE_PRODUTOS!$J$2:$J$1006,$G1033))</f>
        <v/>
      </c>
      <c r="R1033" s="9" t="str">
        <f ca="1">IF($G1033="","",INDEX(BASE_PRODUTOS!$M$2:$M$1006,$G1033))</f>
        <v/>
      </c>
      <c r="S1033" s="9" t="str">
        <f ca="1">IF($G1033="","",INDEX(BASE_PRODUTOS!$N$2:$N$1006,$G1033))</f>
        <v/>
      </c>
      <c r="T1033" s="9" t="str">
        <f ca="1">IF($G1033="","",INDEX(BASE_PRODUTOS!$D$2:$D$1006,$G1033))</f>
        <v/>
      </c>
    </row>
    <row r="1034" spans="7:20" ht="18" customHeight="1" x14ac:dyDescent="0.35">
      <c r="G1034" t="str">
        <f ca="1">IFERROR(_xludf.aggregate(15,6,(ROW(BASE_PRODUTOS!$L$2:$L$1006)-ROW(BASE_PRODUTOS!$L$2)+1)/(BASE_PRODUTOS!$L$2:$L$1006&gt;0),ROWS($G$10:G1034)),"")</f>
        <v/>
      </c>
      <c r="H1034" s="9" t="str">
        <f ca="1">IF($G1034="","",INDEX(BASE_PRODUTOS!$B$2:$B$1006,$G1034))</f>
        <v/>
      </c>
      <c r="I1034" s="9" t="str">
        <f ca="1">IF($G1034="","",INDEX(BASE_PRODUTOS!$L$2:$L$1006,$G1034))</f>
        <v/>
      </c>
      <c r="J1034" s="9" t="str">
        <f ca="1">IF($G1034="","",INDEX(BASE_PRODUTOS!$A$2:$A$1006,$G1034))</f>
        <v/>
      </c>
      <c r="K1034" s="9" t="str">
        <f ca="1">IF($G1034="","",INDEX(BASE_PRODUTOS!$C$2:$C$1006,$G1034))</f>
        <v/>
      </c>
      <c r="L1034" s="9" t="str">
        <f ca="1">IF($G1034="","",INDEX(BASE_PRODUTOS!$E$2:$E$1006,$G1034))</f>
        <v/>
      </c>
      <c r="M1034" s="9" t="str">
        <f ca="1">IF($G1034="","",INDEX(BASE_PRODUTOS!$F$2:$F$1006,$G1034))</f>
        <v/>
      </c>
      <c r="N1034" s="9" t="str">
        <f ca="1">IF($G1034="","",INDEX(BASE_PRODUTOS!$G$2:$G$1006,$G1034))</f>
        <v/>
      </c>
      <c r="O1034" s="9" t="str">
        <f ca="1">IF($G1034="","",INDEX(BASE_PRODUTOS!$H$2:$H$1006,$G1034))</f>
        <v/>
      </c>
      <c r="P1034" s="9" t="str">
        <f ca="1">IF($G1034="","",INDEX(BASE_PRODUTOS!$I$2:$I$1006,$G1034))</f>
        <v/>
      </c>
      <c r="Q1034" s="9" t="str">
        <f ca="1">IF($G1034="","",INDEX(BASE_PRODUTOS!$J$2:$J$1006,$G1034))</f>
        <v/>
      </c>
      <c r="R1034" s="9" t="str">
        <f ca="1">IF($G1034="","",INDEX(BASE_PRODUTOS!$M$2:$M$1006,$G1034))</f>
        <v/>
      </c>
      <c r="S1034" s="9" t="str">
        <f ca="1">IF($G1034="","",INDEX(BASE_PRODUTOS!$N$2:$N$1006,$G1034))</f>
        <v/>
      </c>
      <c r="T1034" s="9" t="str">
        <f ca="1">IF($G1034="","",INDEX(BASE_PRODUTOS!$D$2:$D$1006,$G1034))</f>
        <v/>
      </c>
    </row>
    <row r="1035" spans="7:20" ht="18" customHeight="1" x14ac:dyDescent="0.35">
      <c r="G1035" t="str">
        <f ca="1">IFERROR(_xludf.aggregate(15,6,(ROW(BASE_PRODUTOS!$L$2:$L$1006)-ROW(BASE_PRODUTOS!$L$2)+1)/(BASE_PRODUTOS!$L$2:$L$1006&gt;0),ROWS($G$10:G1035)),"")</f>
        <v/>
      </c>
      <c r="H1035" s="9" t="str">
        <f ca="1">IF($G1035="","",INDEX(BASE_PRODUTOS!$B$2:$B$1006,$G1035))</f>
        <v/>
      </c>
      <c r="I1035" s="9" t="str">
        <f ca="1">IF($G1035="","",INDEX(BASE_PRODUTOS!$L$2:$L$1006,$G1035))</f>
        <v/>
      </c>
      <c r="J1035" s="9" t="str">
        <f ca="1">IF($G1035="","",INDEX(BASE_PRODUTOS!$A$2:$A$1006,$G1035))</f>
        <v/>
      </c>
      <c r="K1035" s="9" t="str">
        <f ca="1">IF($G1035="","",INDEX(BASE_PRODUTOS!$C$2:$C$1006,$G1035))</f>
        <v/>
      </c>
      <c r="L1035" s="9" t="str">
        <f ca="1">IF($G1035="","",INDEX(BASE_PRODUTOS!$E$2:$E$1006,$G1035))</f>
        <v/>
      </c>
      <c r="M1035" s="9" t="str">
        <f ca="1">IF($G1035="","",INDEX(BASE_PRODUTOS!$F$2:$F$1006,$G1035))</f>
        <v/>
      </c>
      <c r="N1035" s="9" t="str">
        <f ca="1">IF($G1035="","",INDEX(BASE_PRODUTOS!$G$2:$G$1006,$G1035))</f>
        <v/>
      </c>
      <c r="O1035" s="9" t="str">
        <f ca="1">IF($G1035="","",INDEX(BASE_PRODUTOS!$H$2:$H$1006,$G1035))</f>
        <v/>
      </c>
      <c r="P1035" s="9" t="str">
        <f ca="1">IF($G1035="","",INDEX(BASE_PRODUTOS!$I$2:$I$1006,$G1035))</f>
        <v/>
      </c>
      <c r="Q1035" s="9" t="str">
        <f ca="1">IF($G1035="","",INDEX(BASE_PRODUTOS!$J$2:$J$1006,$G1035))</f>
        <v/>
      </c>
      <c r="R1035" s="9" t="str">
        <f ca="1">IF($G1035="","",INDEX(BASE_PRODUTOS!$M$2:$M$1006,$G1035))</f>
        <v/>
      </c>
      <c r="S1035" s="9" t="str">
        <f ca="1">IF($G1035="","",INDEX(BASE_PRODUTOS!$N$2:$N$1006,$G1035))</f>
        <v/>
      </c>
      <c r="T1035" s="9" t="str">
        <f ca="1">IF($G1035="","",INDEX(BASE_PRODUTOS!$D$2:$D$1006,$G1035))</f>
        <v/>
      </c>
    </row>
    <row r="1036" spans="7:20" ht="18" customHeight="1" x14ac:dyDescent="0.35">
      <c r="G1036" t="str">
        <f ca="1">IFERROR(_xludf.aggregate(15,6,(ROW(BASE_PRODUTOS!$L$2:$L$1006)-ROW(BASE_PRODUTOS!$L$2)+1)/(BASE_PRODUTOS!$L$2:$L$1006&gt;0),ROWS($G$10:G1036)),"")</f>
        <v/>
      </c>
      <c r="H1036" s="9" t="str">
        <f ca="1">IF($G1036="","",INDEX(BASE_PRODUTOS!$B$2:$B$1006,$G1036))</f>
        <v/>
      </c>
      <c r="I1036" s="9" t="str">
        <f ca="1">IF($G1036="","",INDEX(BASE_PRODUTOS!$L$2:$L$1006,$G1036))</f>
        <v/>
      </c>
      <c r="J1036" s="9" t="str">
        <f ca="1">IF($G1036="","",INDEX(BASE_PRODUTOS!$A$2:$A$1006,$G1036))</f>
        <v/>
      </c>
      <c r="K1036" s="9" t="str">
        <f ca="1">IF($G1036="","",INDEX(BASE_PRODUTOS!$C$2:$C$1006,$G1036))</f>
        <v/>
      </c>
      <c r="L1036" s="9" t="str">
        <f ca="1">IF($G1036="","",INDEX(BASE_PRODUTOS!$E$2:$E$1006,$G1036))</f>
        <v/>
      </c>
      <c r="M1036" s="9" t="str">
        <f ca="1">IF($G1036="","",INDEX(BASE_PRODUTOS!$F$2:$F$1006,$G1036))</f>
        <v/>
      </c>
      <c r="N1036" s="9" t="str">
        <f ca="1">IF($G1036="","",INDEX(BASE_PRODUTOS!$G$2:$G$1006,$G1036))</f>
        <v/>
      </c>
      <c r="O1036" s="9" t="str">
        <f ca="1">IF($G1036="","",INDEX(BASE_PRODUTOS!$H$2:$H$1006,$G1036))</f>
        <v/>
      </c>
      <c r="P1036" s="9" t="str">
        <f ca="1">IF($G1036="","",INDEX(BASE_PRODUTOS!$I$2:$I$1006,$G1036))</f>
        <v/>
      </c>
      <c r="Q1036" s="9" t="str">
        <f ca="1">IF($G1036="","",INDEX(BASE_PRODUTOS!$J$2:$J$1006,$G1036))</f>
        <v/>
      </c>
      <c r="R1036" s="9" t="str">
        <f ca="1">IF($G1036="","",INDEX(BASE_PRODUTOS!$M$2:$M$1006,$G1036))</f>
        <v/>
      </c>
      <c r="S1036" s="9" t="str">
        <f ca="1">IF($G1036="","",INDEX(BASE_PRODUTOS!$N$2:$N$1006,$G1036))</f>
        <v/>
      </c>
      <c r="T1036" s="9" t="str">
        <f ca="1">IF($G1036="","",INDEX(BASE_PRODUTOS!$D$2:$D$1006,$G1036))</f>
        <v/>
      </c>
    </row>
    <row r="1037" spans="7:20" ht="18" customHeight="1" x14ac:dyDescent="0.35">
      <c r="G1037" t="str">
        <f ca="1">IFERROR(_xludf.aggregate(15,6,(ROW(BASE_PRODUTOS!$L$2:$L$1006)-ROW(BASE_PRODUTOS!$L$2)+1)/(BASE_PRODUTOS!$L$2:$L$1006&gt;0),ROWS($G$10:G1037)),"")</f>
        <v/>
      </c>
      <c r="H1037" s="9" t="str">
        <f ca="1">IF($G1037="","",INDEX(BASE_PRODUTOS!$B$2:$B$1006,$G1037))</f>
        <v/>
      </c>
      <c r="I1037" s="9" t="str">
        <f ca="1">IF($G1037="","",INDEX(BASE_PRODUTOS!$L$2:$L$1006,$G1037))</f>
        <v/>
      </c>
      <c r="J1037" s="9" t="str">
        <f ca="1">IF($G1037="","",INDEX(BASE_PRODUTOS!$A$2:$A$1006,$G1037))</f>
        <v/>
      </c>
      <c r="K1037" s="9" t="str">
        <f ca="1">IF($G1037="","",INDEX(BASE_PRODUTOS!$C$2:$C$1006,$G1037))</f>
        <v/>
      </c>
      <c r="L1037" s="9" t="str">
        <f ca="1">IF($G1037="","",INDEX(BASE_PRODUTOS!$E$2:$E$1006,$G1037))</f>
        <v/>
      </c>
      <c r="M1037" s="9" t="str">
        <f ca="1">IF($G1037="","",INDEX(BASE_PRODUTOS!$F$2:$F$1006,$G1037))</f>
        <v/>
      </c>
      <c r="N1037" s="9" t="str">
        <f ca="1">IF($G1037="","",INDEX(BASE_PRODUTOS!$G$2:$G$1006,$G1037))</f>
        <v/>
      </c>
      <c r="O1037" s="9" t="str">
        <f ca="1">IF($G1037="","",INDEX(BASE_PRODUTOS!$H$2:$H$1006,$G1037))</f>
        <v/>
      </c>
      <c r="P1037" s="9" t="str">
        <f ca="1">IF($G1037="","",INDEX(BASE_PRODUTOS!$I$2:$I$1006,$G1037))</f>
        <v/>
      </c>
      <c r="Q1037" s="9" t="str">
        <f ca="1">IF($G1037="","",INDEX(BASE_PRODUTOS!$J$2:$J$1006,$G1037))</f>
        <v/>
      </c>
      <c r="R1037" s="9" t="str">
        <f ca="1">IF($G1037="","",INDEX(BASE_PRODUTOS!$M$2:$M$1006,$G1037))</f>
        <v/>
      </c>
      <c r="S1037" s="9" t="str">
        <f ca="1">IF($G1037="","",INDEX(BASE_PRODUTOS!$N$2:$N$1006,$G1037))</f>
        <v/>
      </c>
      <c r="T1037" s="9" t="str">
        <f ca="1">IF($G1037="","",INDEX(BASE_PRODUTOS!$D$2:$D$1006,$G1037))</f>
        <v/>
      </c>
    </row>
    <row r="1038" spans="7:20" ht="18" customHeight="1" x14ac:dyDescent="0.35">
      <c r="G1038" t="str">
        <f ca="1">IFERROR(_xludf.aggregate(15,6,(ROW(BASE_PRODUTOS!$L$2:$L$1006)-ROW(BASE_PRODUTOS!$L$2)+1)/(BASE_PRODUTOS!$L$2:$L$1006&gt;0),ROWS($G$10:G1038)),"")</f>
        <v/>
      </c>
      <c r="H1038" s="9" t="str">
        <f ca="1">IF($G1038="","",INDEX(BASE_PRODUTOS!$B$2:$B$1006,$G1038))</f>
        <v/>
      </c>
      <c r="I1038" s="9" t="str">
        <f ca="1">IF($G1038="","",INDEX(BASE_PRODUTOS!$L$2:$L$1006,$G1038))</f>
        <v/>
      </c>
      <c r="J1038" s="9" t="str">
        <f ca="1">IF($G1038="","",INDEX(BASE_PRODUTOS!$A$2:$A$1006,$G1038))</f>
        <v/>
      </c>
      <c r="K1038" s="9" t="str">
        <f ca="1">IF($G1038="","",INDEX(BASE_PRODUTOS!$C$2:$C$1006,$G1038))</f>
        <v/>
      </c>
      <c r="L1038" s="9" t="str">
        <f ca="1">IF($G1038="","",INDEX(BASE_PRODUTOS!$E$2:$E$1006,$G1038))</f>
        <v/>
      </c>
      <c r="M1038" s="9" t="str">
        <f ca="1">IF($G1038="","",INDEX(BASE_PRODUTOS!$F$2:$F$1006,$G1038))</f>
        <v/>
      </c>
      <c r="N1038" s="9" t="str">
        <f ca="1">IF($G1038="","",INDEX(BASE_PRODUTOS!$G$2:$G$1006,$G1038))</f>
        <v/>
      </c>
      <c r="O1038" s="9" t="str">
        <f ca="1">IF($G1038="","",INDEX(BASE_PRODUTOS!$H$2:$H$1006,$G1038))</f>
        <v/>
      </c>
      <c r="P1038" s="9" t="str">
        <f ca="1">IF($G1038="","",INDEX(BASE_PRODUTOS!$I$2:$I$1006,$G1038))</f>
        <v/>
      </c>
      <c r="Q1038" s="9" t="str">
        <f ca="1">IF($G1038="","",INDEX(BASE_PRODUTOS!$J$2:$J$1006,$G1038))</f>
        <v/>
      </c>
      <c r="R1038" s="9" t="str">
        <f ca="1">IF($G1038="","",INDEX(BASE_PRODUTOS!$M$2:$M$1006,$G1038))</f>
        <v/>
      </c>
      <c r="S1038" s="9" t="str">
        <f ca="1">IF($G1038="","",INDEX(BASE_PRODUTOS!$N$2:$N$1006,$G1038))</f>
        <v/>
      </c>
      <c r="T1038" s="9" t="str">
        <f ca="1">IF($G1038="","",INDEX(BASE_PRODUTOS!$D$2:$D$1006,$G1038))</f>
        <v/>
      </c>
    </row>
    <row r="1039" spans="7:20" ht="18" customHeight="1" x14ac:dyDescent="0.35">
      <c r="G1039" t="str">
        <f ca="1">IFERROR(_xludf.aggregate(15,6,(ROW(BASE_PRODUTOS!$L$2:$L$1006)-ROW(BASE_PRODUTOS!$L$2)+1)/(BASE_PRODUTOS!$L$2:$L$1006&gt;0),ROWS($G$10:G1039)),"")</f>
        <v/>
      </c>
      <c r="H1039" s="9" t="str">
        <f ca="1">IF($G1039="","",INDEX(BASE_PRODUTOS!$B$2:$B$1006,$G1039))</f>
        <v/>
      </c>
      <c r="I1039" s="9" t="str">
        <f ca="1">IF($G1039="","",INDEX(BASE_PRODUTOS!$L$2:$L$1006,$G1039))</f>
        <v/>
      </c>
      <c r="J1039" s="9" t="str">
        <f ca="1">IF($G1039="","",INDEX(BASE_PRODUTOS!$A$2:$A$1006,$G1039))</f>
        <v/>
      </c>
      <c r="K1039" s="9" t="str">
        <f ca="1">IF($G1039="","",INDEX(BASE_PRODUTOS!$C$2:$C$1006,$G1039))</f>
        <v/>
      </c>
      <c r="L1039" s="9" t="str">
        <f ca="1">IF($G1039="","",INDEX(BASE_PRODUTOS!$E$2:$E$1006,$G1039))</f>
        <v/>
      </c>
      <c r="M1039" s="9" t="str">
        <f ca="1">IF($G1039="","",INDEX(BASE_PRODUTOS!$F$2:$F$1006,$G1039))</f>
        <v/>
      </c>
      <c r="N1039" s="9" t="str">
        <f ca="1">IF($G1039="","",INDEX(BASE_PRODUTOS!$G$2:$G$1006,$G1039))</f>
        <v/>
      </c>
      <c r="O1039" s="9" t="str">
        <f ca="1">IF($G1039="","",INDEX(BASE_PRODUTOS!$H$2:$H$1006,$G1039))</f>
        <v/>
      </c>
      <c r="P1039" s="9" t="str">
        <f ca="1">IF($G1039="","",INDEX(BASE_PRODUTOS!$I$2:$I$1006,$G1039))</f>
        <v/>
      </c>
      <c r="Q1039" s="9" t="str">
        <f ca="1">IF($G1039="","",INDEX(BASE_PRODUTOS!$J$2:$J$1006,$G1039))</f>
        <v/>
      </c>
      <c r="R1039" s="9" t="str">
        <f ca="1">IF($G1039="","",INDEX(BASE_PRODUTOS!$M$2:$M$1006,$G1039))</f>
        <v/>
      </c>
      <c r="S1039" s="9" t="str">
        <f ca="1">IF($G1039="","",INDEX(BASE_PRODUTOS!$N$2:$N$1006,$G1039))</f>
        <v/>
      </c>
      <c r="T1039" s="9" t="str">
        <f ca="1">IF($G1039="","",INDEX(BASE_PRODUTOS!$D$2:$D$1006,$G1039))</f>
        <v/>
      </c>
    </row>
    <row r="1040" spans="7:20" ht="18" customHeight="1" x14ac:dyDescent="0.35">
      <c r="G1040" t="str">
        <f ca="1">IFERROR(_xludf.aggregate(15,6,(ROW(BASE_PRODUTOS!$L$2:$L$1006)-ROW(BASE_PRODUTOS!$L$2)+1)/(BASE_PRODUTOS!$L$2:$L$1006&gt;0),ROWS($G$10:G1040)),"")</f>
        <v/>
      </c>
      <c r="H1040" s="9" t="str">
        <f ca="1">IF($G1040="","",INDEX(BASE_PRODUTOS!$B$2:$B$1006,$G1040))</f>
        <v/>
      </c>
      <c r="I1040" s="9" t="str">
        <f ca="1">IF($G1040="","",INDEX(BASE_PRODUTOS!$L$2:$L$1006,$G1040))</f>
        <v/>
      </c>
      <c r="J1040" s="9" t="str">
        <f ca="1">IF($G1040="","",INDEX(BASE_PRODUTOS!$A$2:$A$1006,$G1040))</f>
        <v/>
      </c>
      <c r="K1040" s="9" t="str">
        <f ca="1">IF($G1040="","",INDEX(BASE_PRODUTOS!$C$2:$C$1006,$G1040))</f>
        <v/>
      </c>
      <c r="L1040" s="9" t="str">
        <f ca="1">IF($G1040="","",INDEX(BASE_PRODUTOS!$E$2:$E$1006,$G1040))</f>
        <v/>
      </c>
      <c r="M1040" s="9" t="str">
        <f ca="1">IF($G1040="","",INDEX(BASE_PRODUTOS!$F$2:$F$1006,$G1040))</f>
        <v/>
      </c>
      <c r="N1040" s="9" t="str">
        <f ca="1">IF($G1040="","",INDEX(BASE_PRODUTOS!$G$2:$G$1006,$G1040))</f>
        <v/>
      </c>
      <c r="O1040" s="9" t="str">
        <f ca="1">IF($G1040="","",INDEX(BASE_PRODUTOS!$H$2:$H$1006,$G1040))</f>
        <v/>
      </c>
      <c r="P1040" s="9" t="str">
        <f ca="1">IF($G1040="","",INDEX(BASE_PRODUTOS!$I$2:$I$1006,$G1040))</f>
        <v/>
      </c>
      <c r="Q1040" s="9" t="str">
        <f ca="1">IF($G1040="","",INDEX(BASE_PRODUTOS!$J$2:$J$1006,$G1040))</f>
        <v/>
      </c>
      <c r="R1040" s="9" t="str">
        <f ca="1">IF($G1040="","",INDEX(BASE_PRODUTOS!$M$2:$M$1006,$G1040))</f>
        <v/>
      </c>
      <c r="S1040" s="9" t="str">
        <f ca="1">IF($G1040="","",INDEX(BASE_PRODUTOS!$N$2:$N$1006,$G1040))</f>
        <v/>
      </c>
      <c r="T1040" s="9" t="str">
        <f ca="1">IF($G1040="","",INDEX(BASE_PRODUTOS!$D$2:$D$1006,$G1040))</f>
        <v/>
      </c>
    </row>
    <row r="1041" spans="7:20" ht="18" customHeight="1" x14ac:dyDescent="0.35">
      <c r="G1041" t="str">
        <f ca="1">IFERROR(_xludf.aggregate(15,6,(ROW(BASE_PRODUTOS!$L$2:$L$1006)-ROW(BASE_PRODUTOS!$L$2)+1)/(BASE_PRODUTOS!$L$2:$L$1006&gt;0),ROWS($G$10:G1041)),"")</f>
        <v/>
      </c>
      <c r="H1041" s="9" t="str">
        <f ca="1">IF($G1041="","",INDEX(BASE_PRODUTOS!$B$2:$B$1006,$G1041))</f>
        <v/>
      </c>
      <c r="I1041" s="9" t="str">
        <f ca="1">IF($G1041="","",INDEX(BASE_PRODUTOS!$L$2:$L$1006,$G1041))</f>
        <v/>
      </c>
      <c r="J1041" s="9" t="str">
        <f ca="1">IF($G1041="","",INDEX(BASE_PRODUTOS!$A$2:$A$1006,$G1041))</f>
        <v/>
      </c>
      <c r="K1041" s="9" t="str">
        <f ca="1">IF($G1041="","",INDEX(BASE_PRODUTOS!$C$2:$C$1006,$G1041))</f>
        <v/>
      </c>
      <c r="L1041" s="9" t="str">
        <f ca="1">IF($G1041="","",INDEX(BASE_PRODUTOS!$E$2:$E$1006,$G1041))</f>
        <v/>
      </c>
      <c r="M1041" s="9" t="str">
        <f ca="1">IF($G1041="","",INDEX(BASE_PRODUTOS!$F$2:$F$1006,$G1041))</f>
        <v/>
      </c>
      <c r="N1041" s="9" t="str">
        <f ca="1">IF($G1041="","",INDEX(BASE_PRODUTOS!$G$2:$G$1006,$G1041))</f>
        <v/>
      </c>
      <c r="O1041" s="9" t="str">
        <f ca="1">IF($G1041="","",INDEX(BASE_PRODUTOS!$H$2:$H$1006,$G1041))</f>
        <v/>
      </c>
      <c r="P1041" s="9" t="str">
        <f ca="1">IF($G1041="","",INDEX(BASE_PRODUTOS!$I$2:$I$1006,$G1041))</f>
        <v/>
      </c>
      <c r="Q1041" s="9" t="str">
        <f ca="1">IF($G1041="","",INDEX(BASE_PRODUTOS!$J$2:$J$1006,$G1041))</f>
        <v/>
      </c>
      <c r="R1041" s="9" t="str">
        <f ca="1">IF($G1041="","",INDEX(BASE_PRODUTOS!$M$2:$M$1006,$G1041))</f>
        <v/>
      </c>
      <c r="S1041" s="9" t="str">
        <f ca="1">IF($G1041="","",INDEX(BASE_PRODUTOS!$N$2:$N$1006,$G1041))</f>
        <v/>
      </c>
      <c r="T1041" s="9" t="str">
        <f ca="1">IF($G1041="","",INDEX(BASE_PRODUTOS!$D$2:$D$1006,$G1041))</f>
        <v/>
      </c>
    </row>
    <row r="1042" spans="7:20" ht="18" customHeight="1" x14ac:dyDescent="0.35">
      <c r="G1042" t="str">
        <f ca="1">IFERROR(_xludf.aggregate(15,6,(ROW(BASE_PRODUTOS!$L$2:$L$1006)-ROW(BASE_PRODUTOS!$L$2)+1)/(BASE_PRODUTOS!$L$2:$L$1006&gt;0),ROWS($G$10:G1042)),"")</f>
        <v/>
      </c>
      <c r="H1042" s="9" t="str">
        <f ca="1">IF($G1042="","",INDEX(BASE_PRODUTOS!$B$2:$B$1006,$G1042))</f>
        <v/>
      </c>
      <c r="I1042" s="9" t="str">
        <f ca="1">IF($G1042="","",INDEX(BASE_PRODUTOS!$L$2:$L$1006,$G1042))</f>
        <v/>
      </c>
      <c r="J1042" s="9" t="str">
        <f ca="1">IF($G1042="","",INDEX(BASE_PRODUTOS!$A$2:$A$1006,$G1042))</f>
        <v/>
      </c>
      <c r="K1042" s="9" t="str">
        <f ca="1">IF($G1042="","",INDEX(BASE_PRODUTOS!$C$2:$C$1006,$G1042))</f>
        <v/>
      </c>
      <c r="L1042" s="9" t="str">
        <f ca="1">IF($G1042="","",INDEX(BASE_PRODUTOS!$E$2:$E$1006,$G1042))</f>
        <v/>
      </c>
      <c r="M1042" s="9" t="str">
        <f ca="1">IF($G1042="","",INDEX(BASE_PRODUTOS!$F$2:$F$1006,$G1042))</f>
        <v/>
      </c>
      <c r="N1042" s="9" t="str">
        <f ca="1">IF($G1042="","",INDEX(BASE_PRODUTOS!$G$2:$G$1006,$G1042))</f>
        <v/>
      </c>
      <c r="O1042" s="9" t="str">
        <f ca="1">IF($G1042="","",INDEX(BASE_PRODUTOS!$H$2:$H$1006,$G1042))</f>
        <v/>
      </c>
      <c r="P1042" s="9" t="str">
        <f ca="1">IF($G1042="","",INDEX(BASE_PRODUTOS!$I$2:$I$1006,$G1042))</f>
        <v/>
      </c>
      <c r="Q1042" s="9" t="str">
        <f ca="1">IF($G1042="","",INDEX(BASE_PRODUTOS!$J$2:$J$1006,$G1042))</f>
        <v/>
      </c>
      <c r="R1042" s="9" t="str">
        <f ca="1">IF($G1042="","",INDEX(BASE_PRODUTOS!$M$2:$M$1006,$G1042))</f>
        <v/>
      </c>
      <c r="S1042" s="9" t="str">
        <f ca="1">IF($G1042="","",INDEX(BASE_PRODUTOS!$N$2:$N$1006,$G1042))</f>
        <v/>
      </c>
      <c r="T1042" s="9" t="str">
        <f ca="1">IF($G1042="","",INDEX(BASE_PRODUTOS!$D$2:$D$1006,$G1042))</f>
        <v/>
      </c>
    </row>
    <row r="1043" spans="7:20" ht="18" customHeight="1" x14ac:dyDescent="0.35">
      <c r="G1043" t="str">
        <f ca="1">IFERROR(_xludf.aggregate(15,6,(ROW(BASE_PRODUTOS!$L$2:$L$1006)-ROW(BASE_PRODUTOS!$L$2)+1)/(BASE_PRODUTOS!$L$2:$L$1006&gt;0),ROWS($G$10:G1043)),"")</f>
        <v/>
      </c>
      <c r="H1043" s="9" t="str">
        <f ca="1">IF($G1043="","",INDEX(BASE_PRODUTOS!$B$2:$B$1006,$G1043))</f>
        <v/>
      </c>
      <c r="I1043" s="9" t="str">
        <f ca="1">IF($G1043="","",INDEX(BASE_PRODUTOS!$L$2:$L$1006,$G1043))</f>
        <v/>
      </c>
      <c r="J1043" s="9" t="str">
        <f ca="1">IF($G1043="","",INDEX(BASE_PRODUTOS!$A$2:$A$1006,$G1043))</f>
        <v/>
      </c>
      <c r="K1043" s="9" t="str">
        <f ca="1">IF($G1043="","",INDEX(BASE_PRODUTOS!$C$2:$C$1006,$G1043))</f>
        <v/>
      </c>
      <c r="L1043" s="9" t="str">
        <f ca="1">IF($G1043="","",INDEX(BASE_PRODUTOS!$E$2:$E$1006,$G1043))</f>
        <v/>
      </c>
      <c r="M1043" s="9" t="str">
        <f ca="1">IF($G1043="","",INDEX(BASE_PRODUTOS!$F$2:$F$1006,$G1043))</f>
        <v/>
      </c>
      <c r="N1043" s="9" t="str">
        <f ca="1">IF($G1043="","",INDEX(BASE_PRODUTOS!$G$2:$G$1006,$G1043))</f>
        <v/>
      </c>
      <c r="O1043" s="9" t="str">
        <f ca="1">IF($G1043="","",INDEX(BASE_PRODUTOS!$H$2:$H$1006,$G1043))</f>
        <v/>
      </c>
      <c r="P1043" s="9" t="str">
        <f ca="1">IF($G1043="","",INDEX(BASE_PRODUTOS!$I$2:$I$1006,$G1043))</f>
        <v/>
      </c>
      <c r="Q1043" s="9" t="str">
        <f ca="1">IF($G1043="","",INDEX(BASE_PRODUTOS!$J$2:$J$1006,$G1043))</f>
        <v/>
      </c>
      <c r="R1043" s="9" t="str">
        <f ca="1">IF($G1043="","",INDEX(BASE_PRODUTOS!$M$2:$M$1006,$G1043))</f>
        <v/>
      </c>
      <c r="S1043" s="9" t="str">
        <f ca="1">IF($G1043="","",INDEX(BASE_PRODUTOS!$N$2:$N$1006,$G1043))</f>
        <v/>
      </c>
      <c r="T1043" s="9" t="str">
        <f ca="1">IF($G1043="","",INDEX(BASE_PRODUTOS!$D$2:$D$1006,$G1043))</f>
        <v/>
      </c>
    </row>
    <row r="1044" spans="7:20" ht="18" customHeight="1" x14ac:dyDescent="0.35">
      <c r="G1044" t="str">
        <f ca="1">IFERROR(_xludf.aggregate(15,6,(ROW(BASE_PRODUTOS!$L$2:$L$1006)-ROW(BASE_PRODUTOS!$L$2)+1)/(BASE_PRODUTOS!$L$2:$L$1006&gt;0),ROWS($G$10:G1044)),"")</f>
        <v/>
      </c>
      <c r="H1044" s="9" t="str">
        <f ca="1">IF($G1044="","",INDEX(BASE_PRODUTOS!$B$2:$B$1006,$G1044))</f>
        <v/>
      </c>
      <c r="I1044" s="9" t="str">
        <f ca="1">IF($G1044="","",INDEX(BASE_PRODUTOS!$L$2:$L$1006,$G1044))</f>
        <v/>
      </c>
      <c r="J1044" s="9" t="str">
        <f ca="1">IF($G1044="","",INDEX(BASE_PRODUTOS!$A$2:$A$1006,$G1044))</f>
        <v/>
      </c>
      <c r="K1044" s="9" t="str">
        <f ca="1">IF($G1044="","",INDEX(BASE_PRODUTOS!$C$2:$C$1006,$G1044))</f>
        <v/>
      </c>
      <c r="L1044" s="9" t="str">
        <f ca="1">IF($G1044="","",INDEX(BASE_PRODUTOS!$E$2:$E$1006,$G1044))</f>
        <v/>
      </c>
      <c r="M1044" s="9" t="str">
        <f ca="1">IF($G1044="","",INDEX(BASE_PRODUTOS!$F$2:$F$1006,$G1044))</f>
        <v/>
      </c>
      <c r="N1044" s="9" t="str">
        <f ca="1">IF($G1044="","",INDEX(BASE_PRODUTOS!$G$2:$G$1006,$G1044))</f>
        <v/>
      </c>
      <c r="O1044" s="9" t="str">
        <f ca="1">IF($G1044="","",INDEX(BASE_PRODUTOS!$H$2:$H$1006,$G1044))</f>
        <v/>
      </c>
      <c r="P1044" s="9" t="str">
        <f ca="1">IF($G1044="","",INDEX(BASE_PRODUTOS!$I$2:$I$1006,$G1044))</f>
        <v/>
      </c>
      <c r="Q1044" s="9" t="str">
        <f ca="1">IF($G1044="","",INDEX(BASE_PRODUTOS!$J$2:$J$1006,$G1044))</f>
        <v/>
      </c>
      <c r="R1044" s="9" t="str">
        <f ca="1">IF($G1044="","",INDEX(BASE_PRODUTOS!$M$2:$M$1006,$G1044))</f>
        <v/>
      </c>
      <c r="S1044" s="9" t="str">
        <f ca="1">IF($G1044="","",INDEX(BASE_PRODUTOS!$N$2:$N$1006,$G1044))</f>
        <v/>
      </c>
      <c r="T1044" s="9" t="str">
        <f ca="1">IF($G1044="","",INDEX(BASE_PRODUTOS!$D$2:$D$1006,$G1044))</f>
        <v/>
      </c>
    </row>
    <row r="1045" spans="7:20" ht="18" customHeight="1" x14ac:dyDescent="0.35">
      <c r="G1045" t="str">
        <f ca="1">IFERROR(_xludf.aggregate(15,6,(ROW(BASE_PRODUTOS!$L$2:$L$1006)-ROW(BASE_PRODUTOS!$L$2)+1)/(BASE_PRODUTOS!$L$2:$L$1006&gt;0),ROWS($G$10:G1045)),"")</f>
        <v/>
      </c>
      <c r="H1045" s="9" t="str">
        <f ca="1">IF($G1045="","",INDEX(BASE_PRODUTOS!$B$2:$B$1006,$G1045))</f>
        <v/>
      </c>
      <c r="I1045" s="9" t="str">
        <f ca="1">IF($G1045="","",INDEX(BASE_PRODUTOS!$L$2:$L$1006,$G1045))</f>
        <v/>
      </c>
      <c r="J1045" s="9" t="str">
        <f ca="1">IF($G1045="","",INDEX(BASE_PRODUTOS!$A$2:$A$1006,$G1045))</f>
        <v/>
      </c>
      <c r="K1045" s="9" t="str">
        <f ca="1">IF($G1045="","",INDEX(BASE_PRODUTOS!$C$2:$C$1006,$G1045))</f>
        <v/>
      </c>
      <c r="L1045" s="9" t="str">
        <f ca="1">IF($G1045="","",INDEX(BASE_PRODUTOS!$E$2:$E$1006,$G1045))</f>
        <v/>
      </c>
      <c r="M1045" s="9" t="str">
        <f ca="1">IF($G1045="","",INDEX(BASE_PRODUTOS!$F$2:$F$1006,$G1045))</f>
        <v/>
      </c>
      <c r="N1045" s="9" t="str">
        <f ca="1">IF($G1045="","",INDEX(BASE_PRODUTOS!$G$2:$G$1006,$G1045))</f>
        <v/>
      </c>
      <c r="O1045" s="9" t="str">
        <f ca="1">IF($G1045="","",INDEX(BASE_PRODUTOS!$H$2:$H$1006,$G1045))</f>
        <v/>
      </c>
      <c r="P1045" s="9" t="str">
        <f ca="1">IF($G1045="","",INDEX(BASE_PRODUTOS!$I$2:$I$1006,$G1045))</f>
        <v/>
      </c>
      <c r="Q1045" s="9" t="str">
        <f ca="1">IF($G1045="","",INDEX(BASE_PRODUTOS!$J$2:$J$1006,$G1045))</f>
        <v/>
      </c>
      <c r="R1045" s="9" t="str">
        <f ca="1">IF($G1045="","",INDEX(BASE_PRODUTOS!$M$2:$M$1006,$G1045))</f>
        <v/>
      </c>
      <c r="S1045" s="9" t="str">
        <f ca="1">IF($G1045="","",INDEX(BASE_PRODUTOS!$N$2:$N$1006,$G1045))</f>
        <v/>
      </c>
      <c r="T1045" s="9" t="str">
        <f ca="1">IF($G1045="","",INDEX(BASE_PRODUTOS!$D$2:$D$1006,$G1045))</f>
        <v/>
      </c>
    </row>
    <row r="1046" spans="7:20" ht="18" customHeight="1" x14ac:dyDescent="0.35">
      <c r="G1046" t="str">
        <f ca="1">IFERROR(_xludf.aggregate(15,6,(ROW(BASE_PRODUTOS!$L$2:$L$1006)-ROW(BASE_PRODUTOS!$L$2)+1)/(BASE_PRODUTOS!$L$2:$L$1006&gt;0),ROWS($G$10:G1046)),"")</f>
        <v/>
      </c>
      <c r="H1046" s="9" t="str">
        <f ca="1">IF($G1046="","",INDEX(BASE_PRODUTOS!$B$2:$B$1006,$G1046))</f>
        <v/>
      </c>
      <c r="I1046" s="9" t="str">
        <f ca="1">IF($G1046="","",INDEX(BASE_PRODUTOS!$L$2:$L$1006,$G1046))</f>
        <v/>
      </c>
      <c r="J1046" s="9" t="str">
        <f ca="1">IF($G1046="","",INDEX(BASE_PRODUTOS!$A$2:$A$1006,$G1046))</f>
        <v/>
      </c>
      <c r="K1046" s="9" t="str">
        <f ca="1">IF($G1046="","",INDEX(BASE_PRODUTOS!$C$2:$C$1006,$G1046))</f>
        <v/>
      </c>
      <c r="L1046" s="9" t="str">
        <f ca="1">IF($G1046="","",INDEX(BASE_PRODUTOS!$E$2:$E$1006,$G1046))</f>
        <v/>
      </c>
      <c r="M1046" s="9" t="str">
        <f ca="1">IF($G1046="","",INDEX(BASE_PRODUTOS!$F$2:$F$1006,$G1046))</f>
        <v/>
      </c>
      <c r="N1046" s="9" t="str">
        <f ca="1">IF($G1046="","",INDEX(BASE_PRODUTOS!$G$2:$G$1006,$G1046))</f>
        <v/>
      </c>
      <c r="O1046" s="9" t="str">
        <f ca="1">IF($G1046="","",INDEX(BASE_PRODUTOS!$H$2:$H$1006,$G1046))</f>
        <v/>
      </c>
      <c r="P1046" s="9" t="str">
        <f ca="1">IF($G1046="","",INDEX(BASE_PRODUTOS!$I$2:$I$1006,$G1046))</f>
        <v/>
      </c>
      <c r="Q1046" s="9" t="str">
        <f ca="1">IF($G1046="","",INDEX(BASE_PRODUTOS!$J$2:$J$1006,$G1046))</f>
        <v/>
      </c>
      <c r="R1046" s="9" t="str">
        <f ca="1">IF($G1046="","",INDEX(BASE_PRODUTOS!$M$2:$M$1006,$G1046))</f>
        <v/>
      </c>
      <c r="S1046" s="9" t="str">
        <f ca="1">IF($G1046="","",INDEX(BASE_PRODUTOS!$N$2:$N$1006,$G1046))</f>
        <v/>
      </c>
      <c r="T1046" s="9" t="str">
        <f ca="1">IF($G1046="","",INDEX(BASE_PRODUTOS!$D$2:$D$1006,$G1046))</f>
        <v/>
      </c>
    </row>
    <row r="1047" spans="7:20" ht="18" customHeight="1" x14ac:dyDescent="0.35">
      <c r="G1047" t="str">
        <f ca="1">IFERROR(_xludf.aggregate(15,6,(ROW(BASE_PRODUTOS!$L$2:$L$1006)-ROW(BASE_PRODUTOS!$L$2)+1)/(BASE_PRODUTOS!$L$2:$L$1006&gt;0),ROWS($G$10:G1047)),"")</f>
        <v/>
      </c>
      <c r="H1047" s="9" t="str">
        <f ca="1">IF($G1047="","",INDEX(BASE_PRODUTOS!$B$2:$B$1006,$G1047))</f>
        <v/>
      </c>
      <c r="I1047" s="9" t="str">
        <f ca="1">IF($G1047="","",INDEX(BASE_PRODUTOS!$L$2:$L$1006,$G1047))</f>
        <v/>
      </c>
      <c r="J1047" s="9" t="str">
        <f ca="1">IF($G1047="","",INDEX(BASE_PRODUTOS!$A$2:$A$1006,$G1047))</f>
        <v/>
      </c>
      <c r="K1047" s="9" t="str">
        <f ca="1">IF($G1047="","",INDEX(BASE_PRODUTOS!$C$2:$C$1006,$G1047))</f>
        <v/>
      </c>
      <c r="L1047" s="9" t="str">
        <f ca="1">IF($G1047="","",INDEX(BASE_PRODUTOS!$E$2:$E$1006,$G1047))</f>
        <v/>
      </c>
      <c r="M1047" s="9" t="str">
        <f ca="1">IF($G1047="","",INDEX(BASE_PRODUTOS!$F$2:$F$1006,$G1047))</f>
        <v/>
      </c>
      <c r="N1047" s="9" t="str">
        <f ca="1">IF($G1047="","",INDEX(BASE_PRODUTOS!$G$2:$G$1006,$G1047))</f>
        <v/>
      </c>
      <c r="O1047" s="9" t="str">
        <f ca="1">IF($G1047="","",INDEX(BASE_PRODUTOS!$H$2:$H$1006,$G1047))</f>
        <v/>
      </c>
      <c r="P1047" s="9" t="str">
        <f ca="1">IF($G1047="","",INDEX(BASE_PRODUTOS!$I$2:$I$1006,$G1047))</f>
        <v/>
      </c>
      <c r="Q1047" s="9" t="str">
        <f ca="1">IF($G1047="","",INDEX(BASE_PRODUTOS!$J$2:$J$1006,$G1047))</f>
        <v/>
      </c>
      <c r="R1047" s="9" t="str">
        <f ca="1">IF($G1047="","",INDEX(BASE_PRODUTOS!$M$2:$M$1006,$G1047))</f>
        <v/>
      </c>
      <c r="S1047" s="9" t="str">
        <f ca="1">IF($G1047="","",INDEX(BASE_PRODUTOS!$N$2:$N$1006,$G1047))</f>
        <v/>
      </c>
      <c r="T1047" s="9" t="str">
        <f ca="1">IF($G1047="","",INDEX(BASE_PRODUTOS!$D$2:$D$1006,$G1047))</f>
        <v/>
      </c>
    </row>
    <row r="1048" spans="7:20" ht="18" customHeight="1" x14ac:dyDescent="0.35">
      <c r="G1048" t="str">
        <f ca="1">IFERROR(_xludf.aggregate(15,6,(ROW(BASE_PRODUTOS!$L$2:$L$1006)-ROW(BASE_PRODUTOS!$L$2)+1)/(BASE_PRODUTOS!$L$2:$L$1006&gt;0),ROWS($G$10:G1048)),"")</f>
        <v/>
      </c>
      <c r="H1048" s="9" t="str">
        <f ca="1">IF($G1048="","",INDEX(BASE_PRODUTOS!$B$2:$B$1006,$G1048))</f>
        <v/>
      </c>
      <c r="I1048" s="9" t="str">
        <f ca="1">IF($G1048="","",INDEX(BASE_PRODUTOS!$L$2:$L$1006,$G1048))</f>
        <v/>
      </c>
      <c r="J1048" s="9" t="str">
        <f ca="1">IF($G1048="","",INDEX(BASE_PRODUTOS!$A$2:$A$1006,$G1048))</f>
        <v/>
      </c>
      <c r="K1048" s="9" t="str">
        <f ca="1">IF($G1048="","",INDEX(BASE_PRODUTOS!$C$2:$C$1006,$G1048))</f>
        <v/>
      </c>
      <c r="L1048" s="9" t="str">
        <f ca="1">IF($G1048="","",INDEX(BASE_PRODUTOS!$E$2:$E$1006,$G1048))</f>
        <v/>
      </c>
      <c r="M1048" s="9" t="str">
        <f ca="1">IF($G1048="","",INDEX(BASE_PRODUTOS!$F$2:$F$1006,$G1048))</f>
        <v/>
      </c>
      <c r="N1048" s="9" t="str">
        <f ca="1">IF($G1048="","",INDEX(BASE_PRODUTOS!$G$2:$G$1006,$G1048))</f>
        <v/>
      </c>
      <c r="O1048" s="9" t="str">
        <f ca="1">IF($G1048="","",INDEX(BASE_PRODUTOS!$H$2:$H$1006,$G1048))</f>
        <v/>
      </c>
      <c r="P1048" s="9" t="str">
        <f ca="1">IF($G1048="","",INDEX(BASE_PRODUTOS!$I$2:$I$1006,$G1048))</f>
        <v/>
      </c>
      <c r="Q1048" s="9" t="str">
        <f ca="1">IF($G1048="","",INDEX(BASE_PRODUTOS!$J$2:$J$1006,$G1048))</f>
        <v/>
      </c>
      <c r="R1048" s="9" t="str">
        <f ca="1">IF($G1048="","",INDEX(BASE_PRODUTOS!$M$2:$M$1006,$G1048))</f>
        <v/>
      </c>
      <c r="S1048" s="9" t="str">
        <f ca="1">IF($G1048="","",INDEX(BASE_PRODUTOS!$N$2:$N$1006,$G1048))</f>
        <v/>
      </c>
      <c r="T1048" s="9" t="str">
        <f ca="1">IF($G1048="","",INDEX(BASE_PRODUTOS!$D$2:$D$1006,$G1048))</f>
        <v/>
      </c>
    </row>
    <row r="1049" spans="7:20" ht="18" customHeight="1" x14ac:dyDescent="0.35">
      <c r="G1049" t="str">
        <f ca="1">IFERROR(_xludf.aggregate(15,6,(ROW(BASE_PRODUTOS!$L$2:$L$1006)-ROW(BASE_PRODUTOS!$L$2)+1)/(BASE_PRODUTOS!$L$2:$L$1006&gt;0),ROWS($G$10:G1049)),"")</f>
        <v/>
      </c>
      <c r="H1049" s="9" t="str">
        <f ca="1">IF($G1049="","",INDEX(BASE_PRODUTOS!$B$2:$B$1006,$G1049))</f>
        <v/>
      </c>
      <c r="I1049" s="9" t="str">
        <f ca="1">IF($G1049="","",INDEX(BASE_PRODUTOS!$L$2:$L$1006,$G1049))</f>
        <v/>
      </c>
      <c r="J1049" s="9" t="str">
        <f ca="1">IF($G1049="","",INDEX(BASE_PRODUTOS!$A$2:$A$1006,$G1049))</f>
        <v/>
      </c>
      <c r="K1049" s="9" t="str">
        <f ca="1">IF($G1049="","",INDEX(BASE_PRODUTOS!$C$2:$C$1006,$G1049))</f>
        <v/>
      </c>
      <c r="L1049" s="9" t="str">
        <f ca="1">IF($G1049="","",INDEX(BASE_PRODUTOS!$E$2:$E$1006,$G1049))</f>
        <v/>
      </c>
      <c r="M1049" s="9" t="str">
        <f ca="1">IF($G1049="","",INDEX(BASE_PRODUTOS!$F$2:$F$1006,$G1049))</f>
        <v/>
      </c>
      <c r="N1049" s="9" t="str">
        <f ca="1">IF($G1049="","",INDEX(BASE_PRODUTOS!$G$2:$G$1006,$G1049))</f>
        <v/>
      </c>
      <c r="O1049" s="9" t="str">
        <f ca="1">IF($G1049="","",INDEX(BASE_PRODUTOS!$H$2:$H$1006,$G1049))</f>
        <v/>
      </c>
      <c r="P1049" s="9" t="str">
        <f ca="1">IF($G1049="","",INDEX(BASE_PRODUTOS!$I$2:$I$1006,$G1049))</f>
        <v/>
      </c>
      <c r="Q1049" s="9" t="str">
        <f ca="1">IF($G1049="","",INDEX(BASE_PRODUTOS!$J$2:$J$1006,$G1049))</f>
        <v/>
      </c>
      <c r="R1049" s="9" t="str">
        <f ca="1">IF($G1049="","",INDEX(BASE_PRODUTOS!$M$2:$M$1006,$G1049))</f>
        <v/>
      </c>
      <c r="S1049" s="9" t="str">
        <f ca="1">IF($G1049="","",INDEX(BASE_PRODUTOS!$N$2:$N$1006,$G1049))</f>
        <v/>
      </c>
      <c r="T1049" s="9" t="str">
        <f ca="1">IF($G1049="","",INDEX(BASE_PRODUTOS!$D$2:$D$1006,$G1049))</f>
        <v/>
      </c>
    </row>
    <row r="1050" spans="7:20" ht="18" customHeight="1" x14ac:dyDescent="0.35">
      <c r="G1050" t="str">
        <f ca="1">IFERROR(_xludf.aggregate(15,6,(ROW(BASE_PRODUTOS!$L$2:$L$1006)-ROW(BASE_PRODUTOS!$L$2)+1)/(BASE_PRODUTOS!$L$2:$L$1006&gt;0),ROWS($G$10:G1050)),"")</f>
        <v/>
      </c>
      <c r="H1050" s="9" t="str">
        <f ca="1">IF($G1050="","",INDEX(BASE_PRODUTOS!$B$2:$B$1006,$G1050))</f>
        <v/>
      </c>
      <c r="I1050" s="9" t="str">
        <f ca="1">IF($G1050="","",INDEX(BASE_PRODUTOS!$L$2:$L$1006,$G1050))</f>
        <v/>
      </c>
      <c r="J1050" s="9" t="str">
        <f ca="1">IF($G1050="","",INDEX(BASE_PRODUTOS!$A$2:$A$1006,$G1050))</f>
        <v/>
      </c>
      <c r="K1050" s="9" t="str">
        <f ca="1">IF($G1050="","",INDEX(BASE_PRODUTOS!$C$2:$C$1006,$G1050))</f>
        <v/>
      </c>
      <c r="L1050" s="9" t="str">
        <f ca="1">IF($G1050="","",INDEX(BASE_PRODUTOS!$E$2:$E$1006,$G1050))</f>
        <v/>
      </c>
      <c r="M1050" s="9" t="str">
        <f ca="1">IF($G1050="","",INDEX(BASE_PRODUTOS!$F$2:$F$1006,$G1050))</f>
        <v/>
      </c>
      <c r="N1050" s="9" t="str">
        <f ca="1">IF($G1050="","",INDEX(BASE_PRODUTOS!$G$2:$G$1006,$G1050))</f>
        <v/>
      </c>
      <c r="O1050" s="9" t="str">
        <f ca="1">IF($G1050="","",INDEX(BASE_PRODUTOS!$H$2:$H$1006,$G1050))</f>
        <v/>
      </c>
      <c r="P1050" s="9" t="str">
        <f ca="1">IF($G1050="","",INDEX(BASE_PRODUTOS!$I$2:$I$1006,$G1050))</f>
        <v/>
      </c>
      <c r="Q1050" s="9" t="str">
        <f ca="1">IF($G1050="","",INDEX(BASE_PRODUTOS!$J$2:$J$1006,$G1050))</f>
        <v/>
      </c>
      <c r="R1050" s="9" t="str">
        <f ca="1">IF($G1050="","",INDEX(BASE_PRODUTOS!$M$2:$M$1006,$G1050))</f>
        <v/>
      </c>
      <c r="S1050" s="9" t="str">
        <f ca="1">IF($G1050="","",INDEX(BASE_PRODUTOS!$N$2:$N$1006,$G1050))</f>
        <v/>
      </c>
      <c r="T1050" s="9" t="str">
        <f ca="1">IF($G1050="","",INDEX(BASE_PRODUTOS!$D$2:$D$1006,$G1050))</f>
        <v/>
      </c>
    </row>
    <row r="1051" spans="7:20" ht="18" customHeight="1" x14ac:dyDescent="0.35">
      <c r="G1051" t="str">
        <f ca="1">IFERROR(_xludf.aggregate(15,6,(ROW(BASE_PRODUTOS!$L$2:$L$1006)-ROW(BASE_PRODUTOS!$L$2)+1)/(BASE_PRODUTOS!$L$2:$L$1006&gt;0),ROWS($G$10:G1051)),"")</f>
        <v/>
      </c>
      <c r="H1051" s="9" t="str">
        <f ca="1">IF($G1051="","",INDEX(BASE_PRODUTOS!$B$2:$B$1006,$G1051))</f>
        <v/>
      </c>
      <c r="I1051" s="9" t="str">
        <f ca="1">IF($G1051="","",INDEX(BASE_PRODUTOS!$L$2:$L$1006,$G1051))</f>
        <v/>
      </c>
      <c r="J1051" s="9" t="str">
        <f ca="1">IF($G1051="","",INDEX(BASE_PRODUTOS!$A$2:$A$1006,$G1051))</f>
        <v/>
      </c>
      <c r="K1051" s="9" t="str">
        <f ca="1">IF($G1051="","",INDEX(BASE_PRODUTOS!$C$2:$C$1006,$G1051))</f>
        <v/>
      </c>
      <c r="L1051" s="9" t="str">
        <f ca="1">IF($G1051="","",INDEX(BASE_PRODUTOS!$E$2:$E$1006,$G1051))</f>
        <v/>
      </c>
      <c r="M1051" s="9" t="str">
        <f ca="1">IF($G1051="","",INDEX(BASE_PRODUTOS!$F$2:$F$1006,$G1051))</f>
        <v/>
      </c>
      <c r="N1051" s="9" t="str">
        <f ca="1">IF($G1051="","",INDEX(BASE_PRODUTOS!$G$2:$G$1006,$G1051))</f>
        <v/>
      </c>
      <c r="O1051" s="9" t="str">
        <f ca="1">IF($G1051="","",INDEX(BASE_PRODUTOS!$H$2:$H$1006,$G1051))</f>
        <v/>
      </c>
      <c r="P1051" s="9" t="str">
        <f ca="1">IF($G1051="","",INDEX(BASE_PRODUTOS!$I$2:$I$1006,$G1051))</f>
        <v/>
      </c>
      <c r="Q1051" s="9" t="str">
        <f ca="1">IF($G1051="","",INDEX(BASE_PRODUTOS!$J$2:$J$1006,$G1051))</f>
        <v/>
      </c>
      <c r="R1051" s="9" t="str">
        <f ca="1">IF($G1051="","",INDEX(BASE_PRODUTOS!$M$2:$M$1006,$G1051))</f>
        <v/>
      </c>
      <c r="S1051" s="9" t="str">
        <f ca="1">IF($G1051="","",INDEX(BASE_PRODUTOS!$N$2:$N$1006,$G1051))</f>
        <v/>
      </c>
      <c r="T1051" s="9" t="str">
        <f ca="1">IF($G1051="","",INDEX(BASE_PRODUTOS!$D$2:$D$1006,$G1051))</f>
        <v/>
      </c>
    </row>
    <row r="1052" spans="7:20" ht="18" customHeight="1" x14ac:dyDescent="0.35">
      <c r="G1052" t="str">
        <f ca="1">IFERROR(_xludf.aggregate(15,6,(ROW(BASE_PRODUTOS!$L$2:$L$1006)-ROW(BASE_PRODUTOS!$L$2)+1)/(BASE_PRODUTOS!$L$2:$L$1006&gt;0),ROWS($G$10:G1052)),"")</f>
        <v/>
      </c>
      <c r="H1052" s="9" t="str">
        <f ca="1">IF($G1052="","",INDEX(BASE_PRODUTOS!$B$2:$B$1006,$G1052))</f>
        <v/>
      </c>
      <c r="I1052" s="9" t="str">
        <f ca="1">IF($G1052="","",INDEX(BASE_PRODUTOS!$L$2:$L$1006,$G1052))</f>
        <v/>
      </c>
      <c r="J1052" s="9" t="str">
        <f ca="1">IF($G1052="","",INDEX(BASE_PRODUTOS!$A$2:$A$1006,$G1052))</f>
        <v/>
      </c>
      <c r="K1052" s="9" t="str">
        <f ca="1">IF($G1052="","",INDEX(BASE_PRODUTOS!$C$2:$C$1006,$G1052))</f>
        <v/>
      </c>
      <c r="L1052" s="9" t="str">
        <f ca="1">IF($G1052="","",INDEX(BASE_PRODUTOS!$E$2:$E$1006,$G1052))</f>
        <v/>
      </c>
      <c r="M1052" s="9" t="str">
        <f ca="1">IF($G1052="","",INDEX(BASE_PRODUTOS!$F$2:$F$1006,$G1052))</f>
        <v/>
      </c>
      <c r="N1052" s="9" t="str">
        <f ca="1">IF($G1052="","",INDEX(BASE_PRODUTOS!$G$2:$G$1006,$G1052))</f>
        <v/>
      </c>
      <c r="O1052" s="9" t="str">
        <f ca="1">IF($G1052="","",INDEX(BASE_PRODUTOS!$H$2:$H$1006,$G1052))</f>
        <v/>
      </c>
      <c r="P1052" s="9" t="str">
        <f ca="1">IF($G1052="","",INDEX(BASE_PRODUTOS!$I$2:$I$1006,$G1052))</f>
        <v/>
      </c>
      <c r="Q1052" s="9" t="str">
        <f ca="1">IF($G1052="","",INDEX(BASE_PRODUTOS!$J$2:$J$1006,$G1052))</f>
        <v/>
      </c>
      <c r="R1052" s="9" t="str">
        <f ca="1">IF($G1052="","",INDEX(BASE_PRODUTOS!$M$2:$M$1006,$G1052))</f>
        <v/>
      </c>
      <c r="S1052" s="9" t="str">
        <f ca="1">IF($G1052="","",INDEX(BASE_PRODUTOS!$N$2:$N$1006,$G1052))</f>
        <v/>
      </c>
      <c r="T1052" s="9" t="str">
        <f ca="1">IF($G1052="","",INDEX(BASE_PRODUTOS!$D$2:$D$1006,$G1052))</f>
        <v/>
      </c>
    </row>
    <row r="1053" spans="7:20" ht="18" customHeight="1" x14ac:dyDescent="0.35">
      <c r="G1053" t="str">
        <f ca="1">IFERROR(_xludf.aggregate(15,6,(ROW(BASE_PRODUTOS!$L$2:$L$1006)-ROW(BASE_PRODUTOS!$L$2)+1)/(BASE_PRODUTOS!$L$2:$L$1006&gt;0),ROWS($G$10:G1053)),"")</f>
        <v/>
      </c>
      <c r="H1053" s="9" t="str">
        <f ca="1">IF($G1053="","",INDEX(BASE_PRODUTOS!$B$2:$B$1006,$G1053))</f>
        <v/>
      </c>
      <c r="I1053" s="9" t="str">
        <f ca="1">IF($G1053="","",INDEX(BASE_PRODUTOS!$L$2:$L$1006,$G1053))</f>
        <v/>
      </c>
      <c r="J1053" s="9" t="str">
        <f ca="1">IF($G1053="","",INDEX(BASE_PRODUTOS!$A$2:$A$1006,$G1053))</f>
        <v/>
      </c>
      <c r="K1053" s="9" t="str">
        <f ca="1">IF($G1053="","",INDEX(BASE_PRODUTOS!$C$2:$C$1006,$G1053))</f>
        <v/>
      </c>
      <c r="L1053" s="9" t="str">
        <f ca="1">IF($G1053="","",INDEX(BASE_PRODUTOS!$E$2:$E$1006,$G1053))</f>
        <v/>
      </c>
      <c r="M1053" s="9" t="str">
        <f ca="1">IF($G1053="","",INDEX(BASE_PRODUTOS!$F$2:$F$1006,$G1053))</f>
        <v/>
      </c>
      <c r="N1053" s="9" t="str">
        <f ca="1">IF($G1053="","",INDEX(BASE_PRODUTOS!$G$2:$G$1006,$G1053))</f>
        <v/>
      </c>
      <c r="O1053" s="9" t="str">
        <f ca="1">IF($G1053="","",INDEX(BASE_PRODUTOS!$H$2:$H$1006,$G1053))</f>
        <v/>
      </c>
      <c r="P1053" s="9" t="str">
        <f ca="1">IF($G1053="","",INDEX(BASE_PRODUTOS!$I$2:$I$1006,$G1053))</f>
        <v/>
      </c>
      <c r="Q1053" s="9" t="str">
        <f ca="1">IF($G1053="","",INDEX(BASE_PRODUTOS!$J$2:$J$1006,$G1053))</f>
        <v/>
      </c>
      <c r="R1053" s="9" t="str">
        <f ca="1">IF($G1053="","",INDEX(BASE_PRODUTOS!$M$2:$M$1006,$G1053))</f>
        <v/>
      </c>
      <c r="S1053" s="9" t="str">
        <f ca="1">IF($G1053="","",INDEX(BASE_PRODUTOS!$N$2:$N$1006,$G1053))</f>
        <v/>
      </c>
      <c r="T1053" s="9" t="str">
        <f ca="1">IF($G1053="","",INDEX(BASE_PRODUTOS!$D$2:$D$1006,$G1053))</f>
        <v/>
      </c>
    </row>
    <row r="1054" spans="7:20" ht="18" customHeight="1" x14ac:dyDescent="0.35">
      <c r="G1054" t="str">
        <f ca="1">IFERROR(_xludf.aggregate(15,6,(ROW(BASE_PRODUTOS!$L$2:$L$1006)-ROW(BASE_PRODUTOS!$L$2)+1)/(BASE_PRODUTOS!$L$2:$L$1006&gt;0),ROWS($G$10:G1054)),"")</f>
        <v/>
      </c>
      <c r="H1054" s="9" t="str">
        <f ca="1">IF($G1054="","",INDEX(BASE_PRODUTOS!$B$2:$B$1006,$G1054))</f>
        <v/>
      </c>
      <c r="I1054" s="9" t="str">
        <f ca="1">IF($G1054="","",INDEX(BASE_PRODUTOS!$L$2:$L$1006,$G1054))</f>
        <v/>
      </c>
      <c r="J1054" s="9" t="str">
        <f ca="1">IF($G1054="","",INDEX(BASE_PRODUTOS!$A$2:$A$1006,$G1054))</f>
        <v/>
      </c>
      <c r="K1054" s="9" t="str">
        <f ca="1">IF($G1054="","",INDEX(BASE_PRODUTOS!$C$2:$C$1006,$G1054))</f>
        <v/>
      </c>
      <c r="L1054" s="9" t="str">
        <f ca="1">IF($G1054="","",INDEX(BASE_PRODUTOS!$E$2:$E$1006,$G1054))</f>
        <v/>
      </c>
      <c r="M1054" s="9" t="str">
        <f ca="1">IF($G1054="","",INDEX(BASE_PRODUTOS!$F$2:$F$1006,$G1054))</f>
        <v/>
      </c>
      <c r="N1054" s="9" t="str">
        <f ca="1">IF($G1054="","",INDEX(BASE_PRODUTOS!$G$2:$G$1006,$G1054))</f>
        <v/>
      </c>
      <c r="O1054" s="9" t="str">
        <f ca="1">IF($G1054="","",INDEX(BASE_PRODUTOS!$H$2:$H$1006,$G1054))</f>
        <v/>
      </c>
      <c r="P1054" s="9" t="str">
        <f ca="1">IF($G1054="","",INDEX(BASE_PRODUTOS!$I$2:$I$1006,$G1054))</f>
        <v/>
      </c>
      <c r="Q1054" s="9" t="str">
        <f ca="1">IF($G1054="","",INDEX(BASE_PRODUTOS!$J$2:$J$1006,$G1054))</f>
        <v/>
      </c>
      <c r="R1054" s="9" t="str">
        <f ca="1">IF($G1054="","",INDEX(BASE_PRODUTOS!$M$2:$M$1006,$G1054))</f>
        <v/>
      </c>
      <c r="S1054" s="9" t="str">
        <f ca="1">IF($G1054="","",INDEX(BASE_PRODUTOS!$N$2:$N$1006,$G1054))</f>
        <v/>
      </c>
      <c r="T1054" s="9" t="str">
        <f ca="1">IF($G1054="","",INDEX(BASE_PRODUTOS!$D$2:$D$1006,$G1054))</f>
        <v/>
      </c>
    </row>
    <row r="1055" spans="7:20" ht="18" customHeight="1" x14ac:dyDescent="0.35">
      <c r="G1055" t="str">
        <f ca="1">IFERROR(_xludf.aggregate(15,6,(ROW(BASE_PRODUTOS!$L$2:$L$1006)-ROW(BASE_PRODUTOS!$L$2)+1)/(BASE_PRODUTOS!$L$2:$L$1006&gt;0),ROWS($G$10:G1055)),"")</f>
        <v/>
      </c>
      <c r="H1055" s="9" t="str">
        <f ca="1">IF($G1055="","",INDEX(BASE_PRODUTOS!$B$2:$B$1006,$G1055))</f>
        <v/>
      </c>
      <c r="I1055" s="9" t="str">
        <f ca="1">IF($G1055="","",INDEX(BASE_PRODUTOS!$L$2:$L$1006,$G1055))</f>
        <v/>
      </c>
      <c r="J1055" s="9" t="str">
        <f ca="1">IF($G1055="","",INDEX(BASE_PRODUTOS!$A$2:$A$1006,$G1055))</f>
        <v/>
      </c>
      <c r="K1055" s="9" t="str">
        <f ca="1">IF($G1055="","",INDEX(BASE_PRODUTOS!$C$2:$C$1006,$G1055))</f>
        <v/>
      </c>
      <c r="L1055" s="9" t="str">
        <f ca="1">IF($G1055="","",INDEX(BASE_PRODUTOS!$E$2:$E$1006,$G1055))</f>
        <v/>
      </c>
      <c r="M1055" s="9" t="str">
        <f ca="1">IF($G1055="","",INDEX(BASE_PRODUTOS!$F$2:$F$1006,$G1055))</f>
        <v/>
      </c>
      <c r="N1055" s="9" t="str">
        <f ca="1">IF($G1055="","",INDEX(BASE_PRODUTOS!$G$2:$G$1006,$G1055))</f>
        <v/>
      </c>
      <c r="O1055" s="9" t="str">
        <f ca="1">IF($G1055="","",INDEX(BASE_PRODUTOS!$H$2:$H$1006,$G1055))</f>
        <v/>
      </c>
      <c r="P1055" s="9" t="str">
        <f ca="1">IF($G1055="","",INDEX(BASE_PRODUTOS!$I$2:$I$1006,$G1055))</f>
        <v/>
      </c>
      <c r="Q1055" s="9" t="str">
        <f ca="1">IF($G1055="","",INDEX(BASE_PRODUTOS!$J$2:$J$1006,$G1055))</f>
        <v/>
      </c>
      <c r="R1055" s="9" t="str">
        <f ca="1">IF($G1055="","",INDEX(BASE_PRODUTOS!$M$2:$M$1006,$G1055))</f>
        <v/>
      </c>
      <c r="S1055" s="9" t="str">
        <f ca="1">IF($G1055="","",INDEX(BASE_PRODUTOS!$N$2:$N$1006,$G1055))</f>
        <v/>
      </c>
      <c r="T1055" s="9" t="str">
        <f ca="1">IF($G1055="","",INDEX(BASE_PRODUTOS!$D$2:$D$1006,$G1055))</f>
        <v/>
      </c>
    </row>
    <row r="1056" spans="7:20" ht="18" customHeight="1" x14ac:dyDescent="0.35">
      <c r="G1056" t="str">
        <f ca="1">IFERROR(_xludf.aggregate(15,6,(ROW(BASE_PRODUTOS!$L$2:$L$1006)-ROW(BASE_PRODUTOS!$L$2)+1)/(BASE_PRODUTOS!$L$2:$L$1006&gt;0),ROWS($G$10:G1056)),"")</f>
        <v/>
      </c>
      <c r="H1056" s="9" t="str">
        <f ca="1">IF($G1056="","",INDEX(BASE_PRODUTOS!$B$2:$B$1006,$G1056))</f>
        <v/>
      </c>
      <c r="I1056" s="9" t="str">
        <f ca="1">IF($G1056="","",INDEX(BASE_PRODUTOS!$L$2:$L$1006,$G1056))</f>
        <v/>
      </c>
      <c r="J1056" s="9" t="str">
        <f ca="1">IF($G1056="","",INDEX(BASE_PRODUTOS!$A$2:$A$1006,$G1056))</f>
        <v/>
      </c>
      <c r="K1056" s="9" t="str">
        <f ca="1">IF($G1056="","",INDEX(BASE_PRODUTOS!$C$2:$C$1006,$G1056))</f>
        <v/>
      </c>
      <c r="L1056" s="9" t="str">
        <f ca="1">IF($G1056="","",INDEX(BASE_PRODUTOS!$E$2:$E$1006,$G1056))</f>
        <v/>
      </c>
      <c r="M1056" s="9" t="str">
        <f ca="1">IF($G1056="","",INDEX(BASE_PRODUTOS!$F$2:$F$1006,$G1056))</f>
        <v/>
      </c>
      <c r="N1056" s="9" t="str">
        <f ca="1">IF($G1056="","",INDEX(BASE_PRODUTOS!$G$2:$G$1006,$G1056))</f>
        <v/>
      </c>
      <c r="O1056" s="9" t="str">
        <f ca="1">IF($G1056="","",INDEX(BASE_PRODUTOS!$H$2:$H$1006,$G1056))</f>
        <v/>
      </c>
      <c r="P1056" s="9" t="str">
        <f ca="1">IF($G1056="","",INDEX(BASE_PRODUTOS!$I$2:$I$1006,$G1056))</f>
        <v/>
      </c>
      <c r="Q1056" s="9" t="str">
        <f ca="1">IF($G1056="","",INDEX(BASE_PRODUTOS!$J$2:$J$1006,$G1056))</f>
        <v/>
      </c>
      <c r="R1056" s="9" t="str">
        <f ca="1">IF($G1056="","",INDEX(BASE_PRODUTOS!$M$2:$M$1006,$G1056))</f>
        <v/>
      </c>
      <c r="S1056" s="9" t="str">
        <f ca="1">IF($G1056="","",INDEX(BASE_PRODUTOS!$N$2:$N$1006,$G1056))</f>
        <v/>
      </c>
      <c r="T1056" s="9" t="str">
        <f ca="1">IF($G1056="","",INDEX(BASE_PRODUTOS!$D$2:$D$1006,$G1056))</f>
        <v/>
      </c>
    </row>
    <row r="1057" spans="7:20" ht="18" customHeight="1" x14ac:dyDescent="0.35">
      <c r="G1057" t="str">
        <f ca="1">IFERROR(_xludf.aggregate(15,6,(ROW(BASE_PRODUTOS!$L$2:$L$1006)-ROW(BASE_PRODUTOS!$L$2)+1)/(BASE_PRODUTOS!$L$2:$L$1006&gt;0),ROWS($G$10:G1057)),"")</f>
        <v/>
      </c>
      <c r="H1057" s="9" t="str">
        <f ca="1">IF($G1057="","",INDEX(BASE_PRODUTOS!$B$2:$B$1006,$G1057))</f>
        <v/>
      </c>
      <c r="I1057" s="9" t="str">
        <f ca="1">IF($G1057="","",INDEX(BASE_PRODUTOS!$L$2:$L$1006,$G1057))</f>
        <v/>
      </c>
      <c r="J1057" s="9" t="str">
        <f ca="1">IF($G1057="","",INDEX(BASE_PRODUTOS!$A$2:$A$1006,$G1057))</f>
        <v/>
      </c>
      <c r="K1057" s="9" t="str">
        <f ca="1">IF($G1057="","",INDEX(BASE_PRODUTOS!$C$2:$C$1006,$G1057))</f>
        <v/>
      </c>
      <c r="L1057" s="9" t="str">
        <f ca="1">IF($G1057="","",INDEX(BASE_PRODUTOS!$E$2:$E$1006,$G1057))</f>
        <v/>
      </c>
      <c r="M1057" s="9" t="str">
        <f ca="1">IF($G1057="","",INDEX(BASE_PRODUTOS!$F$2:$F$1006,$G1057))</f>
        <v/>
      </c>
      <c r="N1057" s="9" t="str">
        <f ca="1">IF($G1057="","",INDEX(BASE_PRODUTOS!$G$2:$G$1006,$G1057))</f>
        <v/>
      </c>
      <c r="O1057" s="9" t="str">
        <f ca="1">IF($G1057="","",INDEX(BASE_PRODUTOS!$H$2:$H$1006,$G1057))</f>
        <v/>
      </c>
      <c r="P1057" s="9" t="str">
        <f ca="1">IF($G1057="","",INDEX(BASE_PRODUTOS!$I$2:$I$1006,$G1057))</f>
        <v/>
      </c>
      <c r="Q1057" s="9" t="str">
        <f ca="1">IF($G1057="","",INDEX(BASE_PRODUTOS!$J$2:$J$1006,$G1057))</f>
        <v/>
      </c>
      <c r="R1057" s="9" t="str">
        <f ca="1">IF($G1057="","",INDEX(BASE_PRODUTOS!$M$2:$M$1006,$G1057))</f>
        <v/>
      </c>
      <c r="S1057" s="9" t="str">
        <f ca="1">IF($G1057="","",INDEX(BASE_PRODUTOS!$N$2:$N$1006,$G1057))</f>
        <v/>
      </c>
      <c r="T1057" s="9" t="str">
        <f ca="1">IF($G1057="","",INDEX(BASE_PRODUTOS!$D$2:$D$1006,$G1057))</f>
        <v/>
      </c>
    </row>
    <row r="1058" spans="7:20" ht="18" customHeight="1" x14ac:dyDescent="0.35">
      <c r="G1058" t="str">
        <f ca="1">IFERROR(_xludf.aggregate(15,6,(ROW(BASE_PRODUTOS!$L$2:$L$1006)-ROW(BASE_PRODUTOS!$L$2)+1)/(BASE_PRODUTOS!$L$2:$L$1006&gt;0),ROWS($G$10:G1058)),"")</f>
        <v/>
      </c>
      <c r="H1058" s="9" t="str">
        <f ca="1">IF($G1058="","",INDEX(BASE_PRODUTOS!$B$2:$B$1006,$G1058))</f>
        <v/>
      </c>
      <c r="I1058" s="9" t="str">
        <f ca="1">IF($G1058="","",INDEX(BASE_PRODUTOS!$L$2:$L$1006,$G1058))</f>
        <v/>
      </c>
      <c r="J1058" s="9" t="str">
        <f ca="1">IF($G1058="","",INDEX(BASE_PRODUTOS!$A$2:$A$1006,$G1058))</f>
        <v/>
      </c>
      <c r="K1058" s="9" t="str">
        <f ca="1">IF($G1058="","",INDEX(BASE_PRODUTOS!$C$2:$C$1006,$G1058))</f>
        <v/>
      </c>
      <c r="L1058" s="9" t="str">
        <f ca="1">IF($G1058="","",INDEX(BASE_PRODUTOS!$E$2:$E$1006,$G1058))</f>
        <v/>
      </c>
      <c r="M1058" s="9" t="str">
        <f ca="1">IF($G1058="","",INDEX(BASE_PRODUTOS!$F$2:$F$1006,$G1058))</f>
        <v/>
      </c>
      <c r="N1058" s="9" t="str">
        <f ca="1">IF($G1058="","",INDEX(BASE_PRODUTOS!$G$2:$G$1006,$G1058))</f>
        <v/>
      </c>
      <c r="O1058" s="9" t="str">
        <f ca="1">IF($G1058="","",INDEX(BASE_PRODUTOS!$H$2:$H$1006,$G1058))</f>
        <v/>
      </c>
      <c r="P1058" s="9" t="str">
        <f ca="1">IF($G1058="","",INDEX(BASE_PRODUTOS!$I$2:$I$1006,$G1058))</f>
        <v/>
      </c>
      <c r="Q1058" s="9" t="str">
        <f ca="1">IF($G1058="","",INDEX(BASE_PRODUTOS!$J$2:$J$1006,$G1058))</f>
        <v/>
      </c>
      <c r="R1058" s="9" t="str">
        <f ca="1">IF($G1058="","",INDEX(BASE_PRODUTOS!$M$2:$M$1006,$G1058))</f>
        <v/>
      </c>
      <c r="S1058" s="9" t="str">
        <f ca="1">IF($G1058="","",INDEX(BASE_PRODUTOS!$N$2:$N$1006,$G1058))</f>
        <v/>
      </c>
      <c r="T1058" s="9" t="str">
        <f ca="1">IF($G1058="","",INDEX(BASE_PRODUTOS!$D$2:$D$1006,$G1058))</f>
        <v/>
      </c>
    </row>
    <row r="1059" spans="7:20" ht="18" customHeight="1" x14ac:dyDescent="0.35">
      <c r="G1059" t="str">
        <f ca="1">IFERROR(_xludf.aggregate(15,6,(ROW(BASE_PRODUTOS!$L$2:$L$1006)-ROW(BASE_PRODUTOS!$L$2)+1)/(BASE_PRODUTOS!$L$2:$L$1006&gt;0),ROWS($G$10:G1059)),"")</f>
        <v/>
      </c>
      <c r="H1059" s="9" t="str">
        <f ca="1">IF($G1059="","",INDEX(BASE_PRODUTOS!$B$2:$B$1006,$G1059))</f>
        <v/>
      </c>
      <c r="I1059" s="9" t="str">
        <f ca="1">IF($G1059="","",INDEX(BASE_PRODUTOS!$L$2:$L$1006,$G1059))</f>
        <v/>
      </c>
      <c r="J1059" s="9" t="str">
        <f ca="1">IF($G1059="","",INDEX(BASE_PRODUTOS!$A$2:$A$1006,$G1059))</f>
        <v/>
      </c>
      <c r="K1059" s="9" t="str">
        <f ca="1">IF($G1059="","",INDEX(BASE_PRODUTOS!$C$2:$C$1006,$G1059))</f>
        <v/>
      </c>
      <c r="L1059" s="9" t="str">
        <f ca="1">IF($G1059="","",INDEX(BASE_PRODUTOS!$E$2:$E$1006,$G1059))</f>
        <v/>
      </c>
      <c r="M1059" s="9" t="str">
        <f ca="1">IF($G1059="","",INDEX(BASE_PRODUTOS!$F$2:$F$1006,$G1059))</f>
        <v/>
      </c>
      <c r="N1059" s="9" t="str">
        <f ca="1">IF($G1059="","",INDEX(BASE_PRODUTOS!$G$2:$G$1006,$G1059))</f>
        <v/>
      </c>
      <c r="O1059" s="9" t="str">
        <f ca="1">IF($G1059="","",INDEX(BASE_PRODUTOS!$H$2:$H$1006,$G1059))</f>
        <v/>
      </c>
      <c r="P1059" s="9" t="str">
        <f ca="1">IF($G1059="","",INDEX(BASE_PRODUTOS!$I$2:$I$1006,$G1059))</f>
        <v/>
      </c>
      <c r="Q1059" s="9" t="str">
        <f ca="1">IF($G1059="","",INDEX(BASE_PRODUTOS!$J$2:$J$1006,$G1059))</f>
        <v/>
      </c>
      <c r="R1059" s="9" t="str">
        <f ca="1">IF($G1059="","",INDEX(BASE_PRODUTOS!$M$2:$M$1006,$G1059))</f>
        <v/>
      </c>
      <c r="S1059" s="9" t="str">
        <f ca="1">IF($G1059="","",INDEX(BASE_PRODUTOS!$N$2:$N$1006,$G1059))</f>
        <v/>
      </c>
      <c r="T1059" s="9" t="str">
        <f ca="1">IF($G1059="","",INDEX(BASE_PRODUTOS!$D$2:$D$1006,$G1059))</f>
        <v/>
      </c>
    </row>
    <row r="1060" spans="7:20" ht="18" customHeight="1" x14ac:dyDescent="0.35"/>
    <row r="1061" spans="7:20" ht="18" customHeight="1" x14ac:dyDescent="0.35"/>
    <row r="1062" spans="7:20" ht="18" customHeight="1" x14ac:dyDescent="0.35"/>
    <row r="1063" spans="7:20" ht="18" customHeight="1" x14ac:dyDescent="0.35"/>
    <row r="1064" spans="7:20" ht="18" customHeight="1" x14ac:dyDescent="0.35"/>
    <row r="1065" spans="7:20" ht="18" customHeight="1" x14ac:dyDescent="0.35"/>
    <row r="1066" spans="7:20" ht="18" customHeight="1" x14ac:dyDescent="0.35"/>
    <row r="1067" spans="7:20" ht="18" customHeight="1" x14ac:dyDescent="0.35"/>
    <row r="1068" spans="7:20" ht="18" customHeight="1" x14ac:dyDescent="0.35"/>
    <row r="1069" spans="7:20" ht="18" customHeight="1" x14ac:dyDescent="0.35"/>
    <row r="1070" spans="7:20" ht="18" customHeight="1" x14ac:dyDescent="0.35"/>
    <row r="1071" spans="7:20" ht="18" customHeight="1" x14ac:dyDescent="0.35"/>
    <row r="1072" spans="7:20" ht="18" customHeight="1" x14ac:dyDescent="0.35"/>
    <row r="1073" ht="18" customHeight="1" x14ac:dyDescent="0.35"/>
    <row r="1074" ht="18" customHeight="1" x14ac:dyDescent="0.35"/>
    <row r="1075" ht="18" customHeight="1" x14ac:dyDescent="0.35"/>
    <row r="1076" ht="18" customHeight="1" x14ac:dyDescent="0.35"/>
    <row r="1077" ht="18" customHeight="1" x14ac:dyDescent="0.35"/>
    <row r="1078" ht="18" customHeight="1" x14ac:dyDescent="0.35"/>
    <row r="1079" ht="18" customHeight="1" x14ac:dyDescent="0.35"/>
    <row r="1080" ht="18" customHeight="1" x14ac:dyDescent="0.35"/>
    <row r="1081" ht="18" customHeight="1" x14ac:dyDescent="0.35"/>
    <row r="1082" ht="18" customHeight="1" x14ac:dyDescent="0.35"/>
    <row r="1083" ht="18" customHeight="1" x14ac:dyDescent="0.35"/>
    <row r="1084" ht="18" customHeight="1" x14ac:dyDescent="0.35"/>
    <row r="1085" ht="18" customHeight="1" x14ac:dyDescent="0.35"/>
    <row r="1086" ht="18" customHeight="1" x14ac:dyDescent="0.35"/>
    <row r="1087" ht="18" customHeight="1" x14ac:dyDescent="0.35"/>
    <row r="1088" ht="18" customHeight="1" x14ac:dyDescent="0.35"/>
    <row r="1089" ht="18" customHeight="1" x14ac:dyDescent="0.35"/>
    <row r="1090" ht="18" customHeight="1" x14ac:dyDescent="0.35"/>
    <row r="1091" ht="18" customHeight="1" x14ac:dyDescent="0.35"/>
    <row r="1092" ht="18" customHeight="1" x14ac:dyDescent="0.35"/>
    <row r="1093" ht="18" customHeight="1" x14ac:dyDescent="0.35"/>
    <row r="1094" ht="18" customHeight="1" x14ac:dyDescent="0.35"/>
    <row r="1095" ht="18" customHeight="1" x14ac:dyDescent="0.35"/>
    <row r="1096" ht="18" customHeight="1" x14ac:dyDescent="0.35"/>
    <row r="1097" ht="18" customHeight="1" x14ac:dyDescent="0.35"/>
    <row r="1098" ht="18" customHeight="1" x14ac:dyDescent="0.35"/>
    <row r="1099" ht="18" customHeight="1" x14ac:dyDescent="0.35"/>
    <row r="1100" ht="18" customHeight="1" x14ac:dyDescent="0.35"/>
    <row r="1101" ht="18" customHeight="1" x14ac:dyDescent="0.35"/>
    <row r="1102" ht="18" customHeight="1" x14ac:dyDescent="0.35"/>
    <row r="1103" ht="18" customHeight="1" x14ac:dyDescent="0.35"/>
    <row r="1104" ht="18" customHeight="1" x14ac:dyDescent="0.35"/>
    <row r="1105" ht="18" customHeight="1" x14ac:dyDescent="0.35"/>
    <row r="1106" ht="18" customHeight="1" x14ac:dyDescent="0.35"/>
    <row r="1107" ht="18" customHeight="1" x14ac:dyDescent="0.35"/>
    <row r="1108" ht="18" customHeight="1" x14ac:dyDescent="0.35"/>
    <row r="1109" ht="18" customHeight="1" x14ac:dyDescent="0.35"/>
    <row r="1110" ht="18" customHeight="1" x14ac:dyDescent="0.35"/>
    <row r="1111" ht="18" customHeight="1" x14ac:dyDescent="0.35"/>
    <row r="1112" ht="18" customHeight="1" x14ac:dyDescent="0.35"/>
    <row r="1113" ht="18" customHeight="1" x14ac:dyDescent="0.35"/>
    <row r="1114" ht="18" customHeight="1" x14ac:dyDescent="0.35"/>
    <row r="1115" ht="18" customHeight="1" x14ac:dyDescent="0.35"/>
    <row r="1116" ht="18" customHeight="1" x14ac:dyDescent="0.35"/>
    <row r="1117" ht="18" customHeight="1" x14ac:dyDescent="0.35"/>
    <row r="1118" ht="18" customHeight="1" x14ac:dyDescent="0.35"/>
    <row r="1119" ht="18" customHeight="1" x14ac:dyDescent="0.35"/>
    <row r="1120" ht="18" customHeight="1" x14ac:dyDescent="0.35"/>
    <row r="1121" ht="18" customHeight="1" x14ac:dyDescent="0.35"/>
    <row r="1122" ht="18" customHeight="1" x14ac:dyDescent="0.35"/>
    <row r="1123" ht="18" customHeight="1" x14ac:dyDescent="0.35"/>
    <row r="1124" ht="18" customHeight="1" x14ac:dyDescent="0.35"/>
    <row r="1125" ht="18" customHeight="1" x14ac:dyDescent="0.35"/>
    <row r="1126" ht="18" customHeight="1" x14ac:dyDescent="0.35"/>
    <row r="1127" ht="18" customHeight="1" x14ac:dyDescent="0.35"/>
    <row r="1128" ht="18" customHeight="1" x14ac:dyDescent="0.35"/>
    <row r="1129" ht="18" customHeight="1" x14ac:dyDescent="0.35"/>
    <row r="1130" ht="18" customHeight="1" x14ac:dyDescent="0.35"/>
    <row r="1131" ht="18" customHeight="1" x14ac:dyDescent="0.35"/>
    <row r="1132" ht="18" customHeight="1" x14ac:dyDescent="0.35"/>
    <row r="1133" ht="18" customHeight="1" x14ac:dyDescent="0.35"/>
    <row r="1134" ht="18" customHeight="1" x14ac:dyDescent="0.35"/>
    <row r="1135" ht="18" customHeight="1" x14ac:dyDescent="0.35"/>
    <row r="1136" ht="18" customHeight="1" x14ac:dyDescent="0.35"/>
    <row r="1137" ht="18" customHeight="1" x14ac:dyDescent="0.35"/>
    <row r="1138" ht="18" customHeight="1" x14ac:dyDescent="0.35"/>
    <row r="1139" ht="18" customHeight="1" x14ac:dyDescent="0.35"/>
    <row r="1140" ht="18" customHeight="1" x14ac:dyDescent="0.35"/>
    <row r="1141" ht="18" customHeight="1" x14ac:dyDescent="0.35"/>
    <row r="1142" ht="18" customHeight="1" x14ac:dyDescent="0.35"/>
    <row r="1143" ht="18" customHeight="1" x14ac:dyDescent="0.35"/>
    <row r="1144" ht="18" customHeight="1" x14ac:dyDescent="0.35"/>
    <row r="1145" ht="18" customHeight="1" x14ac:dyDescent="0.35"/>
    <row r="1146" ht="18" customHeight="1" x14ac:dyDescent="0.35"/>
    <row r="1147" ht="18" customHeight="1" x14ac:dyDescent="0.35"/>
    <row r="1148" ht="18" customHeight="1" x14ac:dyDescent="0.35"/>
    <row r="1149" ht="18" customHeight="1" x14ac:dyDescent="0.35"/>
    <row r="1150" ht="18" customHeight="1" x14ac:dyDescent="0.35"/>
    <row r="1151" ht="18" customHeight="1" x14ac:dyDescent="0.35"/>
    <row r="1152" ht="18" customHeight="1" x14ac:dyDescent="0.35"/>
    <row r="1153" ht="18" customHeight="1" x14ac:dyDescent="0.35"/>
    <row r="1154" ht="18" customHeight="1" x14ac:dyDescent="0.35"/>
    <row r="1155" ht="18" customHeight="1" x14ac:dyDescent="0.35"/>
    <row r="1156" ht="18" customHeight="1" x14ac:dyDescent="0.35"/>
    <row r="1157" ht="18" customHeight="1" x14ac:dyDescent="0.35"/>
    <row r="1158" ht="18" customHeight="1" x14ac:dyDescent="0.35"/>
    <row r="1159" ht="18" customHeight="1" x14ac:dyDescent="0.35"/>
    <row r="1160" ht="18" customHeight="1" x14ac:dyDescent="0.35"/>
    <row r="1161" ht="18" customHeight="1" x14ac:dyDescent="0.35"/>
    <row r="1162" ht="18" customHeight="1" x14ac:dyDescent="0.35"/>
    <row r="1163" ht="18" customHeight="1" x14ac:dyDescent="0.35"/>
    <row r="1164" ht="18" customHeight="1" x14ac:dyDescent="0.35"/>
    <row r="1165" ht="18" customHeight="1" x14ac:dyDescent="0.35"/>
    <row r="1166" ht="18" customHeight="1" x14ac:dyDescent="0.35"/>
    <row r="1167" ht="18" customHeight="1" x14ac:dyDescent="0.35"/>
    <row r="1168" ht="18" customHeight="1" x14ac:dyDescent="0.35"/>
    <row r="1169" ht="18" customHeight="1" x14ac:dyDescent="0.35"/>
    <row r="1170" ht="18" customHeight="1" x14ac:dyDescent="0.35"/>
    <row r="1171" ht="18" customHeight="1" x14ac:dyDescent="0.35"/>
    <row r="1172" ht="18" customHeight="1" x14ac:dyDescent="0.35"/>
    <row r="1173" ht="18" customHeight="1" x14ac:dyDescent="0.35"/>
    <row r="1174" ht="18" customHeight="1" x14ac:dyDescent="0.35"/>
    <row r="1175" ht="18" customHeight="1" x14ac:dyDescent="0.35"/>
    <row r="1176" ht="18" customHeight="1" x14ac:dyDescent="0.35"/>
    <row r="1177" ht="18" customHeight="1" x14ac:dyDescent="0.35"/>
    <row r="1178" ht="18" customHeight="1" x14ac:dyDescent="0.35"/>
    <row r="1179" ht="18" customHeight="1" x14ac:dyDescent="0.35"/>
    <row r="1180" ht="18" customHeight="1" x14ac:dyDescent="0.35"/>
    <row r="1181" ht="18" customHeight="1" x14ac:dyDescent="0.35"/>
    <row r="1182" ht="18" customHeight="1" x14ac:dyDescent="0.35"/>
    <row r="1183" ht="18" customHeight="1" x14ac:dyDescent="0.35"/>
    <row r="1184" ht="18" customHeight="1" x14ac:dyDescent="0.35"/>
    <row r="1185" ht="18" customHeight="1" x14ac:dyDescent="0.35"/>
    <row r="1186" ht="18" customHeight="1" x14ac:dyDescent="0.35"/>
    <row r="1187" ht="18" customHeight="1" x14ac:dyDescent="0.35"/>
    <row r="1188" ht="18" customHeight="1" x14ac:dyDescent="0.35"/>
    <row r="1189" ht="18" customHeight="1" x14ac:dyDescent="0.35"/>
    <row r="1190" ht="18" customHeight="1" x14ac:dyDescent="0.35"/>
    <row r="1191" ht="18" customHeight="1" x14ac:dyDescent="0.35"/>
    <row r="1192" ht="18" customHeight="1" x14ac:dyDescent="0.35"/>
    <row r="1193" ht="18" customHeight="1" x14ac:dyDescent="0.35"/>
    <row r="1194" ht="18" customHeight="1" x14ac:dyDescent="0.35"/>
    <row r="1195" ht="18" customHeight="1" x14ac:dyDescent="0.35"/>
    <row r="1196" ht="18" customHeight="1" x14ac:dyDescent="0.35"/>
    <row r="1197" ht="18" customHeight="1" x14ac:dyDescent="0.35"/>
    <row r="1198" ht="18" customHeight="1" x14ac:dyDescent="0.35"/>
    <row r="1199" ht="18" customHeight="1" x14ac:dyDescent="0.35"/>
    <row r="1200" ht="18" customHeight="1" x14ac:dyDescent="0.35"/>
    <row r="1201" ht="18" customHeight="1" x14ac:dyDescent="0.35"/>
    <row r="1202" ht="18" customHeight="1" x14ac:dyDescent="0.35"/>
    <row r="1203" ht="18" customHeight="1" x14ac:dyDescent="0.35"/>
    <row r="1204" ht="18" customHeight="1" x14ac:dyDescent="0.35"/>
    <row r="1205" ht="18" customHeight="1" x14ac:dyDescent="0.35"/>
    <row r="1206" ht="18" customHeight="1" x14ac:dyDescent="0.35"/>
    <row r="1207" ht="18" customHeight="1" x14ac:dyDescent="0.35"/>
    <row r="1208" ht="18" customHeight="1" x14ac:dyDescent="0.35"/>
    <row r="1209" ht="18" customHeight="1" x14ac:dyDescent="0.35"/>
    <row r="1210" ht="18" customHeight="1" x14ac:dyDescent="0.35"/>
    <row r="1211" ht="18" customHeight="1" x14ac:dyDescent="0.35"/>
    <row r="1212" ht="18" customHeight="1" x14ac:dyDescent="0.35"/>
    <row r="1213" ht="18" customHeight="1" x14ac:dyDescent="0.35"/>
    <row r="1214" ht="18" customHeight="1" x14ac:dyDescent="0.35"/>
    <row r="1215" ht="18" customHeight="1" x14ac:dyDescent="0.35"/>
    <row r="1216" ht="18" customHeight="1" x14ac:dyDescent="0.35"/>
    <row r="1217" ht="18" customHeight="1" x14ac:dyDescent="0.35"/>
    <row r="1218" ht="18" customHeight="1" x14ac:dyDescent="0.35"/>
    <row r="1219" ht="18" customHeight="1" x14ac:dyDescent="0.35"/>
    <row r="1220" ht="18" customHeight="1" x14ac:dyDescent="0.35"/>
    <row r="1221" ht="18" customHeight="1" x14ac:dyDescent="0.35"/>
    <row r="1222" ht="18" customHeight="1" x14ac:dyDescent="0.35"/>
    <row r="1223" ht="18" customHeight="1" x14ac:dyDescent="0.35"/>
    <row r="1224" ht="18" customHeight="1" x14ac:dyDescent="0.35"/>
    <row r="1225" ht="18" customHeight="1" x14ac:dyDescent="0.35"/>
    <row r="1226" ht="18" customHeight="1" x14ac:dyDescent="0.35"/>
    <row r="1227" ht="18" customHeight="1" x14ac:dyDescent="0.35"/>
    <row r="1228" ht="18" customHeight="1" x14ac:dyDescent="0.35"/>
    <row r="1229" ht="18" customHeight="1" x14ac:dyDescent="0.35"/>
    <row r="1230" ht="18" customHeight="1" x14ac:dyDescent="0.35"/>
    <row r="1231" ht="18" customHeight="1" x14ac:dyDescent="0.35"/>
    <row r="1232" ht="18" customHeight="1" x14ac:dyDescent="0.35"/>
    <row r="1233" ht="18" customHeight="1" x14ac:dyDescent="0.35"/>
    <row r="1234" ht="18" customHeight="1" x14ac:dyDescent="0.35"/>
    <row r="1235" ht="18" customHeight="1" x14ac:dyDescent="0.35"/>
    <row r="1236" ht="18" customHeight="1" x14ac:dyDescent="0.35"/>
    <row r="1237" ht="18" customHeight="1" x14ac:dyDescent="0.35"/>
    <row r="1238" ht="18" customHeight="1" x14ac:dyDescent="0.35"/>
    <row r="1239" ht="18" customHeight="1" x14ac:dyDescent="0.35"/>
    <row r="1240" ht="18" customHeight="1" x14ac:dyDescent="0.35"/>
    <row r="1241" ht="18" customHeight="1" x14ac:dyDescent="0.35"/>
    <row r="1242" ht="18" customHeight="1" x14ac:dyDescent="0.35"/>
    <row r="1243" ht="18" customHeight="1" x14ac:dyDescent="0.35"/>
    <row r="1244" ht="18" customHeight="1" x14ac:dyDescent="0.35"/>
    <row r="1245" ht="18" customHeight="1" x14ac:dyDescent="0.35"/>
    <row r="1246" ht="18" customHeight="1" x14ac:dyDescent="0.35"/>
    <row r="1247" ht="18" customHeight="1" x14ac:dyDescent="0.35"/>
    <row r="1248" ht="18" customHeight="1" x14ac:dyDescent="0.35"/>
    <row r="1249" ht="18" customHeight="1" x14ac:dyDescent="0.35"/>
    <row r="1250" ht="18" customHeight="1" x14ac:dyDescent="0.35"/>
    <row r="1251" ht="18" customHeight="1" x14ac:dyDescent="0.35"/>
    <row r="1252" ht="18" customHeight="1" x14ac:dyDescent="0.35"/>
    <row r="1253" ht="18" customHeight="1" x14ac:dyDescent="0.35"/>
    <row r="1254" ht="18" customHeight="1" x14ac:dyDescent="0.35"/>
    <row r="1255" ht="18" customHeight="1" x14ac:dyDescent="0.35"/>
    <row r="1256" ht="18" customHeight="1" x14ac:dyDescent="0.35"/>
    <row r="1257" ht="18" customHeight="1" x14ac:dyDescent="0.35"/>
    <row r="1258" ht="18" customHeight="1" x14ac:dyDescent="0.35"/>
    <row r="1259" ht="18" customHeight="1" x14ac:dyDescent="0.35"/>
    <row r="1260" ht="18" customHeight="1" x14ac:dyDescent="0.35"/>
    <row r="1261" ht="18" customHeight="1" x14ac:dyDescent="0.35"/>
    <row r="1262" ht="18" customHeight="1" x14ac:dyDescent="0.35"/>
    <row r="1263" ht="18" customHeight="1" x14ac:dyDescent="0.35"/>
    <row r="1264" ht="18" customHeight="1" x14ac:dyDescent="0.35"/>
    <row r="1265" ht="18" customHeight="1" x14ac:dyDescent="0.35"/>
    <row r="1266" ht="18" customHeight="1" x14ac:dyDescent="0.35"/>
    <row r="1267" ht="18" customHeight="1" x14ac:dyDescent="0.35"/>
    <row r="1268" ht="18" customHeight="1" x14ac:dyDescent="0.35"/>
    <row r="1269" ht="18" customHeight="1" x14ac:dyDescent="0.35"/>
    <row r="1270" ht="18" customHeight="1" x14ac:dyDescent="0.35"/>
    <row r="1271" ht="18" customHeight="1" x14ac:dyDescent="0.35"/>
    <row r="1272" ht="18" customHeight="1" x14ac:dyDescent="0.35"/>
    <row r="1273" ht="18" customHeight="1" x14ac:dyDescent="0.35"/>
    <row r="1274" ht="18" customHeight="1" x14ac:dyDescent="0.35"/>
    <row r="1275" ht="18" customHeight="1" x14ac:dyDescent="0.35"/>
    <row r="1276" ht="18" customHeight="1" x14ac:dyDescent="0.35"/>
    <row r="1277" ht="18" customHeight="1" x14ac:dyDescent="0.35"/>
    <row r="1278" ht="18" customHeight="1" x14ac:dyDescent="0.35"/>
    <row r="1279" ht="18" customHeight="1" x14ac:dyDescent="0.35"/>
    <row r="1280" ht="18" customHeight="1" x14ac:dyDescent="0.35"/>
    <row r="1281" ht="18" customHeight="1" x14ac:dyDescent="0.35"/>
    <row r="1282" ht="18" customHeight="1" x14ac:dyDescent="0.35"/>
    <row r="1283" ht="18" customHeight="1" x14ac:dyDescent="0.35"/>
    <row r="1284" ht="18" customHeight="1" x14ac:dyDescent="0.35"/>
    <row r="1285" ht="18" customHeight="1" x14ac:dyDescent="0.35"/>
    <row r="1286" ht="18" customHeight="1" x14ac:dyDescent="0.35"/>
    <row r="1287" ht="18" customHeight="1" x14ac:dyDescent="0.35"/>
    <row r="1288" ht="18" customHeight="1" x14ac:dyDescent="0.35"/>
    <row r="1289" ht="18" customHeight="1" x14ac:dyDescent="0.35"/>
    <row r="1290" ht="18" customHeight="1" x14ac:dyDescent="0.35"/>
    <row r="1291" ht="18" customHeight="1" x14ac:dyDescent="0.35"/>
    <row r="1292" ht="18" customHeight="1" x14ac:dyDescent="0.35"/>
    <row r="1293" ht="18" customHeight="1" x14ac:dyDescent="0.35"/>
    <row r="1294" ht="18" customHeight="1" x14ac:dyDescent="0.35"/>
    <row r="1295" ht="18" customHeight="1" x14ac:dyDescent="0.35"/>
    <row r="1296" ht="18" customHeight="1" x14ac:dyDescent="0.35"/>
    <row r="1297" ht="18" customHeight="1" x14ac:dyDescent="0.35"/>
    <row r="1298" ht="18" customHeight="1" x14ac:dyDescent="0.35"/>
    <row r="1299" ht="18" customHeight="1" x14ac:dyDescent="0.35"/>
    <row r="1300" ht="18" customHeight="1" x14ac:dyDescent="0.35"/>
    <row r="1301" ht="18" customHeight="1" x14ac:dyDescent="0.35"/>
    <row r="1302" ht="18" customHeight="1" x14ac:dyDescent="0.35"/>
    <row r="1303" ht="18" customHeight="1" x14ac:dyDescent="0.35"/>
    <row r="1304" ht="18" customHeight="1" x14ac:dyDescent="0.35"/>
    <row r="1305" ht="18" customHeight="1" x14ac:dyDescent="0.35"/>
    <row r="1306" ht="18" customHeight="1" x14ac:dyDescent="0.35"/>
    <row r="1307" ht="18" customHeight="1" x14ac:dyDescent="0.35"/>
    <row r="1308" ht="18" customHeight="1" x14ac:dyDescent="0.35"/>
    <row r="1309" ht="18" customHeight="1" x14ac:dyDescent="0.35"/>
    <row r="1310" ht="18" customHeight="1" x14ac:dyDescent="0.35"/>
    <row r="1311" ht="18" customHeight="1" x14ac:dyDescent="0.35"/>
    <row r="1312" ht="18" customHeight="1" x14ac:dyDescent="0.35"/>
    <row r="1313" ht="18" customHeight="1" x14ac:dyDescent="0.35"/>
    <row r="1314" ht="18" customHeight="1" x14ac:dyDescent="0.35"/>
    <row r="1315" ht="18" customHeight="1" x14ac:dyDescent="0.35"/>
    <row r="1316" ht="18" customHeight="1" x14ac:dyDescent="0.35"/>
    <row r="1317" ht="18" customHeight="1" x14ac:dyDescent="0.35"/>
    <row r="1318" ht="18" customHeight="1" x14ac:dyDescent="0.35"/>
    <row r="1319" ht="18" customHeight="1" x14ac:dyDescent="0.35"/>
    <row r="1320" ht="18" customHeight="1" x14ac:dyDescent="0.35"/>
    <row r="1321" ht="18" customHeight="1" x14ac:dyDescent="0.35"/>
    <row r="1322" ht="18" customHeight="1" x14ac:dyDescent="0.35"/>
    <row r="1323" ht="18" customHeight="1" x14ac:dyDescent="0.35"/>
    <row r="1324" ht="18" customHeight="1" x14ac:dyDescent="0.35"/>
    <row r="1325" ht="18" customHeight="1" x14ac:dyDescent="0.35"/>
    <row r="1326" ht="18" customHeight="1" x14ac:dyDescent="0.35"/>
    <row r="1327" ht="18" customHeight="1" x14ac:dyDescent="0.35"/>
    <row r="1328" ht="18" customHeight="1" x14ac:dyDescent="0.35"/>
    <row r="1329" ht="18" customHeight="1" x14ac:dyDescent="0.35"/>
    <row r="1330" ht="18" customHeight="1" x14ac:dyDescent="0.35"/>
    <row r="1331" ht="18" customHeight="1" x14ac:dyDescent="0.35"/>
    <row r="1332" ht="18" customHeight="1" x14ac:dyDescent="0.35"/>
    <row r="1333" ht="18" customHeight="1" x14ac:dyDescent="0.35"/>
    <row r="1334" ht="18" customHeight="1" x14ac:dyDescent="0.35"/>
    <row r="1335" ht="18" customHeight="1" x14ac:dyDescent="0.35"/>
    <row r="1336" ht="18" customHeight="1" x14ac:dyDescent="0.35"/>
    <row r="1337" ht="18" customHeight="1" x14ac:dyDescent="0.35"/>
    <row r="1338" ht="18" customHeight="1" x14ac:dyDescent="0.35"/>
    <row r="1339" ht="18" customHeight="1" x14ac:dyDescent="0.35"/>
    <row r="1340" ht="18" customHeight="1" x14ac:dyDescent="0.35"/>
    <row r="1341" ht="18" customHeight="1" x14ac:dyDescent="0.35"/>
    <row r="1342" ht="18" customHeight="1" x14ac:dyDescent="0.35"/>
    <row r="1343" ht="18" customHeight="1" x14ac:dyDescent="0.35"/>
    <row r="1344" ht="18" customHeight="1" x14ac:dyDescent="0.35"/>
    <row r="1345" ht="18" customHeight="1" x14ac:dyDescent="0.35"/>
    <row r="1346" ht="18" customHeight="1" x14ac:dyDescent="0.35"/>
    <row r="1347" ht="18" customHeight="1" x14ac:dyDescent="0.35"/>
    <row r="1348" ht="18" customHeight="1" x14ac:dyDescent="0.35"/>
    <row r="1349" ht="18" customHeight="1" x14ac:dyDescent="0.35"/>
    <row r="1350" ht="18" customHeight="1" x14ac:dyDescent="0.35"/>
    <row r="1351" ht="18" customHeight="1" x14ac:dyDescent="0.35"/>
    <row r="1352" ht="18" customHeight="1" x14ac:dyDescent="0.35"/>
    <row r="1353" ht="18" customHeight="1" x14ac:dyDescent="0.35"/>
    <row r="1354" ht="18" customHeight="1" x14ac:dyDescent="0.35"/>
    <row r="1355" ht="18" customHeight="1" x14ac:dyDescent="0.35"/>
    <row r="1356" ht="18" customHeight="1" x14ac:dyDescent="0.35"/>
    <row r="1357" ht="18" customHeight="1" x14ac:dyDescent="0.35"/>
    <row r="1358" ht="18" customHeight="1" x14ac:dyDescent="0.35"/>
    <row r="1359" ht="18" customHeight="1" x14ac:dyDescent="0.35"/>
    <row r="1360" ht="18" customHeight="1" x14ac:dyDescent="0.35"/>
    <row r="1361" ht="18" customHeight="1" x14ac:dyDescent="0.35"/>
    <row r="1362" ht="18" customHeight="1" x14ac:dyDescent="0.35"/>
    <row r="1363" ht="18" customHeight="1" x14ac:dyDescent="0.35"/>
    <row r="1364" ht="18" customHeight="1" x14ac:dyDescent="0.35"/>
    <row r="1365" ht="18" customHeight="1" x14ac:dyDescent="0.35"/>
    <row r="1366" ht="18" customHeight="1" x14ac:dyDescent="0.35"/>
    <row r="1367" ht="18" customHeight="1" x14ac:dyDescent="0.35"/>
    <row r="1368" ht="18" customHeight="1" x14ac:dyDescent="0.35"/>
    <row r="1369" ht="18" customHeight="1" x14ac:dyDescent="0.35"/>
    <row r="1370" ht="18" customHeight="1" x14ac:dyDescent="0.35"/>
    <row r="1371" ht="18" customHeight="1" x14ac:dyDescent="0.35"/>
    <row r="1372" ht="18" customHeight="1" x14ac:dyDescent="0.35"/>
    <row r="1373" ht="18" customHeight="1" x14ac:dyDescent="0.35"/>
    <row r="1374" ht="18" customHeight="1" x14ac:dyDescent="0.35"/>
    <row r="1375" ht="18" customHeight="1" x14ac:dyDescent="0.35"/>
    <row r="1376" ht="18" customHeight="1" x14ac:dyDescent="0.35"/>
    <row r="1377" ht="18" customHeight="1" x14ac:dyDescent="0.35"/>
    <row r="1378" ht="18" customHeight="1" x14ac:dyDescent="0.35"/>
    <row r="1379" ht="18" customHeight="1" x14ac:dyDescent="0.35"/>
    <row r="1380" ht="18" customHeight="1" x14ac:dyDescent="0.35"/>
    <row r="1381" ht="18" customHeight="1" x14ac:dyDescent="0.35"/>
    <row r="1382" ht="18" customHeight="1" x14ac:dyDescent="0.35"/>
    <row r="1383" ht="18" customHeight="1" x14ac:dyDescent="0.35"/>
    <row r="1384" ht="18" customHeight="1" x14ac:dyDescent="0.35"/>
    <row r="1385" ht="18" customHeight="1" x14ac:dyDescent="0.35"/>
    <row r="1386" ht="18" customHeight="1" x14ac:dyDescent="0.35"/>
    <row r="1387" ht="18" customHeight="1" x14ac:dyDescent="0.35"/>
    <row r="1388" ht="18" customHeight="1" x14ac:dyDescent="0.35"/>
    <row r="1389" ht="18" customHeight="1" x14ac:dyDescent="0.35"/>
    <row r="1390" ht="18" customHeight="1" x14ac:dyDescent="0.35"/>
    <row r="1391" ht="18" customHeight="1" x14ac:dyDescent="0.35"/>
    <row r="1392" ht="18" customHeight="1" x14ac:dyDescent="0.35"/>
    <row r="1393" ht="18" customHeight="1" x14ac:dyDescent="0.35"/>
    <row r="1394" ht="18" customHeight="1" x14ac:dyDescent="0.35"/>
    <row r="1395" ht="18" customHeight="1" x14ac:dyDescent="0.35"/>
    <row r="1396" ht="18" customHeight="1" x14ac:dyDescent="0.35"/>
    <row r="1397" ht="18" customHeight="1" x14ac:dyDescent="0.35"/>
    <row r="1398" ht="18" customHeight="1" x14ac:dyDescent="0.35"/>
    <row r="1399" ht="18" customHeight="1" x14ac:dyDescent="0.35"/>
    <row r="1400" ht="18" customHeight="1" x14ac:dyDescent="0.35"/>
    <row r="1401" ht="18" customHeight="1" x14ac:dyDescent="0.35"/>
    <row r="1402" ht="18" customHeight="1" x14ac:dyDescent="0.35"/>
    <row r="1403" ht="18" customHeight="1" x14ac:dyDescent="0.35"/>
    <row r="1404" ht="18" customHeight="1" x14ac:dyDescent="0.35"/>
    <row r="1405" ht="18" customHeight="1" x14ac:dyDescent="0.35"/>
    <row r="1406" ht="18" customHeight="1" x14ac:dyDescent="0.35"/>
    <row r="1407" ht="18" customHeight="1" x14ac:dyDescent="0.35"/>
    <row r="1408" ht="18" customHeight="1" x14ac:dyDescent="0.35"/>
    <row r="1409" ht="18" customHeight="1" x14ac:dyDescent="0.35"/>
    <row r="1410" ht="18" customHeight="1" x14ac:dyDescent="0.35"/>
    <row r="1411" ht="18" customHeight="1" x14ac:dyDescent="0.35"/>
    <row r="1412" ht="18" customHeight="1" x14ac:dyDescent="0.35"/>
    <row r="1413" ht="18" customHeight="1" x14ac:dyDescent="0.35"/>
    <row r="1414" ht="18" customHeight="1" x14ac:dyDescent="0.35"/>
    <row r="1415" ht="18" customHeight="1" x14ac:dyDescent="0.35"/>
    <row r="1416" ht="18" customHeight="1" x14ac:dyDescent="0.35"/>
    <row r="1417" ht="18" customHeight="1" x14ac:dyDescent="0.35"/>
    <row r="1418" ht="18" customHeight="1" x14ac:dyDescent="0.35"/>
    <row r="1419" ht="18" customHeight="1" x14ac:dyDescent="0.35"/>
    <row r="1420" ht="18" customHeight="1" x14ac:dyDescent="0.35"/>
    <row r="1421" ht="18" customHeight="1" x14ac:dyDescent="0.35"/>
    <row r="1422" ht="18" customHeight="1" x14ac:dyDescent="0.35"/>
    <row r="1423" ht="18" customHeight="1" x14ac:dyDescent="0.35"/>
    <row r="1424" ht="18" customHeight="1" x14ac:dyDescent="0.35"/>
    <row r="1425" ht="18" customHeight="1" x14ac:dyDescent="0.35"/>
    <row r="1426" ht="18" customHeight="1" x14ac:dyDescent="0.35"/>
    <row r="1427" ht="18" customHeight="1" x14ac:dyDescent="0.35"/>
    <row r="1428" ht="18" customHeight="1" x14ac:dyDescent="0.35"/>
    <row r="1429" ht="18" customHeight="1" x14ac:dyDescent="0.35"/>
    <row r="1430" ht="18" customHeight="1" x14ac:dyDescent="0.35"/>
    <row r="1431" ht="18" customHeight="1" x14ac:dyDescent="0.35"/>
    <row r="1432" ht="18" customHeight="1" x14ac:dyDescent="0.35"/>
    <row r="1433" ht="18" customHeight="1" x14ac:dyDescent="0.35"/>
    <row r="1434" ht="18" customHeight="1" x14ac:dyDescent="0.35"/>
    <row r="1435" ht="18" customHeight="1" x14ac:dyDescent="0.35"/>
    <row r="1436" ht="18" customHeight="1" x14ac:dyDescent="0.35"/>
    <row r="1437" ht="18" customHeight="1" x14ac:dyDescent="0.35"/>
    <row r="1438" ht="18" customHeight="1" x14ac:dyDescent="0.35"/>
    <row r="1439" ht="18" customHeight="1" x14ac:dyDescent="0.35"/>
    <row r="1440" ht="18" customHeight="1" x14ac:dyDescent="0.35"/>
    <row r="1441" ht="18" customHeight="1" x14ac:dyDescent="0.35"/>
    <row r="1442" ht="18" customHeight="1" x14ac:dyDescent="0.35"/>
    <row r="1443" ht="18" customHeight="1" x14ac:dyDescent="0.35"/>
    <row r="1444" ht="18" customHeight="1" x14ac:dyDescent="0.35"/>
    <row r="1445" ht="18" customHeight="1" x14ac:dyDescent="0.35"/>
    <row r="1446" ht="18" customHeight="1" x14ac:dyDescent="0.35"/>
    <row r="1447" ht="18" customHeight="1" x14ac:dyDescent="0.35"/>
    <row r="1448" ht="18" customHeight="1" x14ac:dyDescent="0.35"/>
    <row r="1449" ht="18" customHeight="1" x14ac:dyDescent="0.35"/>
    <row r="1450" ht="18" customHeight="1" x14ac:dyDescent="0.35"/>
    <row r="1451" ht="18" customHeight="1" x14ac:dyDescent="0.35"/>
    <row r="1452" ht="18" customHeight="1" x14ac:dyDescent="0.35"/>
    <row r="1453" ht="18" customHeight="1" x14ac:dyDescent="0.35"/>
    <row r="1454" ht="18" customHeight="1" x14ac:dyDescent="0.35"/>
    <row r="1455" ht="18" customHeight="1" x14ac:dyDescent="0.35"/>
    <row r="1456" ht="18" customHeight="1" x14ac:dyDescent="0.35"/>
    <row r="1457" ht="18" customHeight="1" x14ac:dyDescent="0.35"/>
    <row r="1458" ht="18" customHeight="1" x14ac:dyDescent="0.35"/>
    <row r="1459" ht="18" customHeight="1" x14ac:dyDescent="0.35"/>
    <row r="1460" ht="18" customHeight="1" x14ac:dyDescent="0.35"/>
    <row r="1461" ht="18" customHeight="1" x14ac:dyDescent="0.35"/>
    <row r="1462" ht="18" customHeight="1" x14ac:dyDescent="0.35"/>
    <row r="1463" ht="18" customHeight="1" x14ac:dyDescent="0.35"/>
    <row r="1464" ht="18" customHeight="1" x14ac:dyDescent="0.35"/>
    <row r="1465" ht="18" customHeight="1" x14ac:dyDescent="0.35"/>
    <row r="1466" ht="18" customHeight="1" x14ac:dyDescent="0.35"/>
    <row r="1467" ht="18" customHeight="1" x14ac:dyDescent="0.35"/>
    <row r="1468" ht="18" customHeight="1" x14ac:dyDescent="0.35"/>
    <row r="1469" ht="18" customHeight="1" x14ac:dyDescent="0.35"/>
    <row r="1470" ht="18" customHeight="1" x14ac:dyDescent="0.35"/>
    <row r="1471" ht="18" customHeight="1" x14ac:dyDescent="0.35"/>
    <row r="1472" ht="18" customHeight="1" x14ac:dyDescent="0.35"/>
    <row r="1473" ht="18" customHeight="1" x14ac:dyDescent="0.35"/>
    <row r="1474" ht="18" customHeight="1" x14ac:dyDescent="0.35"/>
    <row r="1475" ht="18" customHeight="1" x14ac:dyDescent="0.35"/>
    <row r="1476" ht="18" customHeight="1" x14ac:dyDescent="0.35"/>
    <row r="1477" ht="18" customHeight="1" x14ac:dyDescent="0.35"/>
    <row r="1478" ht="18" customHeight="1" x14ac:dyDescent="0.35"/>
    <row r="1479" ht="18" customHeight="1" x14ac:dyDescent="0.35"/>
    <row r="1480" ht="18" customHeight="1" x14ac:dyDescent="0.35"/>
    <row r="1481" ht="18" customHeight="1" x14ac:dyDescent="0.35"/>
    <row r="1482" ht="18" customHeight="1" x14ac:dyDescent="0.35"/>
    <row r="1483" ht="18" customHeight="1" x14ac:dyDescent="0.35"/>
    <row r="1484" ht="18" customHeight="1" x14ac:dyDescent="0.35"/>
    <row r="1485" ht="18" customHeight="1" x14ac:dyDescent="0.35"/>
    <row r="1486" ht="18" customHeight="1" x14ac:dyDescent="0.35"/>
    <row r="1487" ht="18" customHeight="1" x14ac:dyDescent="0.35"/>
    <row r="1488" ht="18" customHeight="1" x14ac:dyDescent="0.35"/>
    <row r="1489" ht="18" customHeight="1" x14ac:dyDescent="0.35"/>
    <row r="1490" ht="18" customHeight="1" x14ac:dyDescent="0.35"/>
    <row r="1491" ht="18" customHeight="1" x14ac:dyDescent="0.35"/>
    <row r="1492" ht="18" customHeight="1" x14ac:dyDescent="0.35"/>
    <row r="1493" ht="18" customHeight="1" x14ac:dyDescent="0.35"/>
    <row r="1494" ht="18" customHeight="1" x14ac:dyDescent="0.35"/>
    <row r="1495" ht="18" customHeight="1" x14ac:dyDescent="0.35"/>
    <row r="1496" ht="18" customHeight="1" x14ac:dyDescent="0.35"/>
    <row r="1497" ht="18" customHeight="1" x14ac:dyDescent="0.35"/>
    <row r="1498" ht="18" customHeight="1" x14ac:dyDescent="0.35"/>
    <row r="1499" ht="18" customHeight="1" x14ac:dyDescent="0.35"/>
    <row r="1500" ht="18" customHeight="1" x14ac:dyDescent="0.35"/>
    <row r="1501" ht="18" customHeight="1" x14ac:dyDescent="0.35"/>
    <row r="1502" ht="18" customHeight="1" x14ac:dyDescent="0.35"/>
    <row r="1503" ht="18" customHeight="1" x14ac:dyDescent="0.35"/>
    <row r="1504" ht="18" customHeight="1" x14ac:dyDescent="0.35"/>
    <row r="1505" ht="18" customHeight="1" x14ac:dyDescent="0.35"/>
    <row r="1506" ht="18" customHeight="1" x14ac:dyDescent="0.35"/>
    <row r="1507" ht="18" customHeight="1" x14ac:dyDescent="0.35"/>
    <row r="1508" ht="18" customHeight="1" x14ac:dyDescent="0.35"/>
    <row r="1509" ht="18" customHeight="1" x14ac:dyDescent="0.35"/>
    <row r="1510" ht="18" customHeight="1" x14ac:dyDescent="0.35"/>
    <row r="1511" ht="18" customHeight="1" x14ac:dyDescent="0.35"/>
    <row r="1512" ht="18" customHeight="1" x14ac:dyDescent="0.35"/>
    <row r="1513" ht="18" customHeight="1" x14ac:dyDescent="0.35"/>
    <row r="1514" ht="18" customHeight="1" x14ac:dyDescent="0.35"/>
    <row r="1515" ht="18" customHeight="1" x14ac:dyDescent="0.35"/>
  </sheetData>
  <autoFilter ref="A9:F59" xr:uid="{00000000-0009-0000-0000-000001000000}"/>
  <mergeCells count="1">
    <mergeCell ref="V73:AD75"/>
  </mergeCells>
  <conditionalFormatting sqref="V37:AB39 V44:AB44 V46:AB70 V24:AB29 V10:AB22">
    <cfRule type="expression" dxfId="0" priority="2">
      <formula>$W10=0</formula>
    </cfRule>
  </conditionalFormatting>
  <dataValidations count="1">
    <dataValidation type="list" allowBlank="1" errorTitle="Produto inválido" error="Selecione um produto da lista." promptTitle="Selecionar produto" prompt="Escolha um produto agregado/completo da lista." sqref="B14" xr:uid="{F9AB26A4-5923-4506-AE9E-625963F6641C}">
      <formula1>ListaProdutos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Produto inválido" error="Selecione um produto da lista." promptTitle="Selecionar produto" prompt="Escolha um produto agregado/completo da lista." xr:uid="{00000000-0002-0000-0100-000000000000}">
          <x14:formula1>
            <xm:f>LISTAS!$A$2:$A$92</xm:f>
          </x14:formula1>
          <x14:formula2>
            <xm:f>0</xm:f>
          </x14:formula2>
          <xm:sqref>B10 B12:B13 B15:B59</xm:sqref>
        </x14:dataValidation>
        <x14:dataValidation type="list" allowBlank="1" errorTitle="Produto inválido" error="Selecione um produto da lista." promptTitle="Selecionar produto" prompt="Escolha um produto agregado/completo da lista." xr:uid="{00000000-0002-0000-0100-000001000000}">
          <x14:formula1>
            <xm:f>LISTAS!$A$2:$A$37</xm:f>
          </x14:formula1>
          <x14:formula2>
            <xm:f>0</xm:f>
          </x14:formula2>
          <xm:sqref>B11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3"/>
  <sheetViews>
    <sheetView showGridLines="0" zoomScaleNormal="100" workbookViewId="0">
      <pane ySplit="1" topLeftCell="A165" activePane="bottomLeft" state="frozen"/>
      <selection activeCell="B1" sqref="B1"/>
      <selection pane="bottomLeft" activeCell="B196" sqref="B196"/>
    </sheetView>
  </sheetViews>
  <sheetFormatPr defaultColWidth="8.6328125" defaultRowHeight="14.25" customHeight="1" x14ac:dyDescent="0.35"/>
  <cols>
    <col min="1" max="1" width="14" customWidth="1"/>
    <col min="2" max="2" width="26" customWidth="1"/>
    <col min="3" max="3" width="48.90625" customWidth="1"/>
    <col min="4" max="4" width="44" customWidth="1"/>
    <col min="5" max="5" width="9.54296875" customWidth="1"/>
    <col min="6" max="7" width="8.08984375" customWidth="1"/>
    <col min="8" max="8" width="10.1796875" customWidth="1"/>
    <col min="9" max="9" width="11.453125" customWidth="1"/>
    <col min="10" max="10" width="8.453125" customWidth="1"/>
    <col min="11" max="11" width="9.08984375" customWidth="1"/>
    <col min="12" max="13" width="16" hidden="1" customWidth="1"/>
    <col min="14" max="14" width="12" hidden="1" customWidth="1"/>
    <col min="15" max="15" width="16" hidden="1" customWidth="1"/>
    <col min="16" max="16" width="28" style="12" customWidth="1"/>
  </cols>
  <sheetData>
    <row r="1" spans="1:16" ht="43.5" customHeight="1" x14ac:dyDescent="0.35">
      <c r="A1" s="6" t="s">
        <v>0</v>
      </c>
      <c r="B1" s="6" t="s">
        <v>2990</v>
      </c>
      <c r="C1" s="6" t="s">
        <v>2958</v>
      </c>
      <c r="D1" s="6" t="s">
        <v>2991</v>
      </c>
      <c r="E1" s="6" t="s">
        <v>2992</v>
      </c>
      <c r="F1" s="6" t="s">
        <v>2993</v>
      </c>
      <c r="G1" s="6" t="s">
        <v>2994</v>
      </c>
      <c r="H1" s="6" t="s">
        <v>2962</v>
      </c>
      <c r="I1" s="6" t="s">
        <v>2995</v>
      </c>
      <c r="J1" s="6" t="s">
        <v>2996</v>
      </c>
      <c r="K1" s="6" t="s">
        <v>2997</v>
      </c>
      <c r="L1" s="6" t="s">
        <v>2998</v>
      </c>
      <c r="M1" s="6" t="s">
        <v>2999</v>
      </c>
      <c r="N1" s="6" t="s">
        <v>3000</v>
      </c>
      <c r="O1" s="6" t="s">
        <v>5</v>
      </c>
      <c r="P1" s="13" t="s">
        <v>3001</v>
      </c>
    </row>
    <row r="2" spans="1:16" ht="14.5" x14ac:dyDescent="0.35">
      <c r="A2" s="14">
        <v>30006101</v>
      </c>
      <c r="B2" s="15" t="s">
        <v>1403</v>
      </c>
      <c r="C2" s="14" t="s">
        <v>3002</v>
      </c>
      <c r="D2" s="14" t="s">
        <v>3002</v>
      </c>
      <c r="E2" s="9">
        <v>0.88</v>
      </c>
      <c r="F2" s="9">
        <v>0.03</v>
      </c>
      <c r="G2" s="9">
        <v>25</v>
      </c>
      <c r="H2" s="9" t="s">
        <v>3003</v>
      </c>
      <c r="I2" s="9" t="s">
        <v>2977</v>
      </c>
      <c r="J2" s="9">
        <v>1</v>
      </c>
      <c r="K2" s="16">
        <f>IFERROR(E2*F2,0)*J2</f>
        <v>2.64E-2</v>
      </c>
      <c r="L2" s="9">
        <f>IFERROR(SUMIF(CALCULO_LOTE!$B$10:$B$59,B2,CALCULO_LOTE!$C$10:$C$59),0)</f>
        <v>0</v>
      </c>
      <c r="M2" s="9">
        <f t="shared" ref="M2:M31" si="0">IFERROR(L2*J2,0)</f>
        <v>0</v>
      </c>
      <c r="N2" s="9">
        <f t="shared" ref="N2:N31" si="1">IFERROR(M2*K2,0)</f>
        <v>0</v>
      </c>
      <c r="O2" s="9" t="s">
        <v>8</v>
      </c>
      <c r="P2" s="17" t="s">
        <v>1403</v>
      </c>
    </row>
    <row r="3" spans="1:16" ht="14.5" x14ac:dyDescent="0.35">
      <c r="A3" s="14">
        <v>30006102</v>
      </c>
      <c r="B3" s="15" t="s">
        <v>1403</v>
      </c>
      <c r="C3" s="14" t="s">
        <v>3004</v>
      </c>
      <c r="D3" s="14" t="s">
        <v>3004</v>
      </c>
      <c r="E3" s="9">
        <v>0.88</v>
      </c>
      <c r="F3" s="9">
        <v>0.03</v>
      </c>
      <c r="G3" s="9">
        <v>25</v>
      </c>
      <c r="H3" s="9" t="s">
        <v>3003</v>
      </c>
      <c r="I3" s="9" t="s">
        <v>2977</v>
      </c>
      <c r="J3" s="9">
        <v>1</v>
      </c>
      <c r="K3" s="16">
        <f t="shared" ref="K3:K72" si="2">IFERROR(E3*F3,0)*J3</f>
        <v>2.64E-2</v>
      </c>
      <c r="L3" s="9">
        <f>IFERROR(SUMIF(CALCULO_LOTE!$B$10:$B$59,B3,CALCULO_LOTE!$C$10:$C$59),0)</f>
        <v>0</v>
      </c>
      <c r="M3" s="9">
        <f t="shared" si="0"/>
        <v>0</v>
      </c>
      <c r="N3" s="9">
        <f t="shared" si="1"/>
        <v>0</v>
      </c>
      <c r="O3" s="9" t="s">
        <v>8</v>
      </c>
      <c r="P3" s="17" t="s">
        <v>1403</v>
      </c>
    </row>
    <row r="4" spans="1:16" ht="14.5" x14ac:dyDescent="0.35">
      <c r="A4" s="14">
        <v>30006110</v>
      </c>
      <c r="B4" s="15" t="s">
        <v>1403</v>
      </c>
      <c r="C4" s="14" t="s">
        <v>3005</v>
      </c>
      <c r="D4" s="14" t="s">
        <v>3005</v>
      </c>
      <c r="E4" s="9">
        <v>0.43</v>
      </c>
      <c r="F4" s="9">
        <v>5.0999999999999997E-2</v>
      </c>
      <c r="G4" s="9">
        <v>25</v>
      </c>
      <c r="H4" s="9" t="s">
        <v>3003</v>
      </c>
      <c r="I4" s="9" t="s">
        <v>2977</v>
      </c>
      <c r="J4" s="9">
        <v>1</v>
      </c>
      <c r="K4" s="16">
        <f t="shared" si="2"/>
        <v>2.1929999999999998E-2</v>
      </c>
      <c r="L4" s="9">
        <f>IFERROR(SUMIF(CALCULO_LOTE!$B$10:$B$59,B4,CALCULO_LOTE!$C$10:$C$59),0)</f>
        <v>0</v>
      </c>
      <c r="M4" s="9">
        <f t="shared" si="0"/>
        <v>0</v>
      </c>
      <c r="N4" s="9">
        <f t="shared" si="1"/>
        <v>0</v>
      </c>
      <c r="O4" s="9" t="s">
        <v>8</v>
      </c>
      <c r="P4" s="17" t="s">
        <v>1403</v>
      </c>
    </row>
    <row r="5" spans="1:16" ht="14.5" x14ac:dyDescent="0.35">
      <c r="A5">
        <v>30003405</v>
      </c>
      <c r="B5" s="15" t="s">
        <v>1403</v>
      </c>
      <c r="C5" t="s">
        <v>3006</v>
      </c>
      <c r="D5" t="s">
        <v>3006</v>
      </c>
      <c r="E5" s="9">
        <v>0.36</v>
      </c>
      <c r="F5" s="9">
        <v>7.0000000000000007E-2</v>
      </c>
      <c r="G5" s="9">
        <v>18</v>
      </c>
      <c r="H5" s="9" t="s">
        <v>3003</v>
      </c>
      <c r="I5" s="9" t="s">
        <v>2979</v>
      </c>
      <c r="J5" s="9">
        <v>2</v>
      </c>
      <c r="K5" s="16">
        <f t="shared" si="2"/>
        <v>5.04E-2</v>
      </c>
      <c r="L5" s="9">
        <f>IFERROR(SUMIF(CALCULO_LOTE!$B$10:$B$59,B5,CALCULO_LOTE!$C$10:$C$59),0)</f>
        <v>0</v>
      </c>
      <c r="M5" s="9">
        <f t="shared" si="0"/>
        <v>0</v>
      </c>
      <c r="N5" s="9">
        <f t="shared" si="1"/>
        <v>0</v>
      </c>
      <c r="P5" s="17" t="s">
        <v>1403</v>
      </c>
    </row>
    <row r="6" spans="1:16" ht="14.5" x14ac:dyDescent="0.35">
      <c r="A6">
        <v>30006103</v>
      </c>
      <c r="B6" s="15" t="s">
        <v>1403</v>
      </c>
      <c r="C6" t="s">
        <v>3007</v>
      </c>
      <c r="D6" t="s">
        <v>3007</v>
      </c>
      <c r="E6" s="9">
        <v>0.34</v>
      </c>
      <c r="F6" s="9">
        <v>7.0000000000000007E-2</v>
      </c>
      <c r="G6" s="9">
        <v>18</v>
      </c>
      <c r="H6" s="9" t="s">
        <v>3003</v>
      </c>
      <c r="I6" s="9" t="s">
        <v>2979</v>
      </c>
      <c r="J6" s="9">
        <v>2</v>
      </c>
      <c r="K6" s="16">
        <f t="shared" si="2"/>
        <v>4.760000000000001E-2</v>
      </c>
      <c r="L6" s="9">
        <f>IFERROR(SUMIF(CALCULO_LOTE!$B$10:$B$59,B6,CALCULO_LOTE!$C$10:$C$59),0)</f>
        <v>0</v>
      </c>
      <c r="M6" s="9">
        <f t="shared" si="0"/>
        <v>0</v>
      </c>
      <c r="N6" s="9">
        <f t="shared" si="1"/>
        <v>0</v>
      </c>
      <c r="P6" s="17" t="s">
        <v>1403</v>
      </c>
    </row>
    <row r="7" spans="1:16" ht="14.5" x14ac:dyDescent="0.35">
      <c r="A7">
        <v>30006104</v>
      </c>
      <c r="B7" s="15" t="s">
        <v>1403</v>
      </c>
      <c r="C7" t="s">
        <v>3008</v>
      </c>
      <c r="D7" t="s">
        <v>3008</v>
      </c>
      <c r="E7" s="9">
        <v>0.44500000000000001</v>
      </c>
      <c r="F7" s="9">
        <v>0.28000000000000003</v>
      </c>
      <c r="G7" s="9">
        <v>15</v>
      </c>
      <c r="H7" s="9" t="s">
        <v>3003</v>
      </c>
      <c r="I7" s="9" t="s">
        <v>2981</v>
      </c>
      <c r="J7" s="9">
        <v>1</v>
      </c>
      <c r="K7" s="16">
        <f t="shared" si="2"/>
        <v>0.12460000000000002</v>
      </c>
      <c r="L7" s="9">
        <f>IFERROR(SUMIF(CALCULO_LOTE!$B$10:$B$59,B7,CALCULO_LOTE!$C$10:$C$59),0)</f>
        <v>0</v>
      </c>
      <c r="M7" s="9">
        <f t="shared" si="0"/>
        <v>0</v>
      </c>
      <c r="N7" s="9">
        <f t="shared" si="1"/>
        <v>0</v>
      </c>
      <c r="P7" s="17" t="s">
        <v>1403</v>
      </c>
    </row>
    <row r="8" spans="1:16" ht="14.5" x14ac:dyDescent="0.35">
      <c r="A8" s="14">
        <v>30006111</v>
      </c>
      <c r="B8" s="15" t="s">
        <v>1403</v>
      </c>
      <c r="C8" s="14" t="s">
        <v>3005</v>
      </c>
      <c r="D8" s="14" t="s">
        <v>3005</v>
      </c>
      <c r="E8" s="9">
        <v>0.43</v>
      </c>
      <c r="F8" s="9">
        <v>0.51</v>
      </c>
      <c r="G8" s="9">
        <v>25</v>
      </c>
      <c r="H8" s="9" t="s">
        <v>3003</v>
      </c>
      <c r="I8" s="9" t="s">
        <v>2977</v>
      </c>
      <c r="J8" s="9">
        <v>1</v>
      </c>
      <c r="K8" s="16">
        <f t="shared" si="2"/>
        <v>0.21929999999999999</v>
      </c>
      <c r="L8" s="9">
        <f>IFERROR(SUMIF(CALCULO_LOTE!$B$10:$B$59,B8,CALCULO_LOTE!$C$10:$C$59),0)</f>
        <v>0</v>
      </c>
      <c r="M8" s="9">
        <f t="shared" si="0"/>
        <v>0</v>
      </c>
      <c r="N8" s="9">
        <f t="shared" si="1"/>
        <v>0</v>
      </c>
      <c r="O8" s="9" t="s">
        <v>8</v>
      </c>
      <c r="P8" s="17" t="s">
        <v>1403</v>
      </c>
    </row>
    <row r="9" spans="1:16" ht="14.5" x14ac:dyDescent="0.35">
      <c r="A9" s="9" t="s">
        <v>1030</v>
      </c>
      <c r="B9" s="15" t="s">
        <v>2976</v>
      </c>
      <c r="C9" s="9" t="s">
        <v>1031</v>
      </c>
      <c r="D9" s="9" t="s">
        <v>1031</v>
      </c>
      <c r="E9" s="9">
        <v>0.43</v>
      </c>
      <c r="F9" s="9">
        <v>0.40300000000000002</v>
      </c>
      <c r="G9" s="9">
        <v>9</v>
      </c>
      <c r="H9" s="9" t="s">
        <v>3009</v>
      </c>
      <c r="I9" s="9" t="s">
        <v>2984</v>
      </c>
      <c r="J9" s="9">
        <v>1</v>
      </c>
      <c r="K9" s="16">
        <f t="shared" si="2"/>
        <v>0.17329</v>
      </c>
      <c r="L9" s="9">
        <f>IFERROR(SUMIF(CALCULO_LOTE!$B$10:$B$59,B9,CALCULO_LOTE!$C$10:$C$59),0)</f>
        <v>0</v>
      </c>
      <c r="M9" s="9">
        <f t="shared" si="0"/>
        <v>0</v>
      </c>
      <c r="N9" s="9">
        <f t="shared" si="1"/>
        <v>0</v>
      </c>
      <c r="P9" s="17" t="s">
        <v>2976</v>
      </c>
    </row>
    <row r="10" spans="1:16" ht="14.5" x14ac:dyDescent="0.35">
      <c r="A10" s="14">
        <v>30001203</v>
      </c>
      <c r="B10" s="15" t="s">
        <v>2976</v>
      </c>
      <c r="C10" s="14" t="s">
        <v>3010</v>
      </c>
      <c r="D10" s="14" t="s">
        <v>3010</v>
      </c>
      <c r="E10" s="9">
        <v>0.43</v>
      </c>
      <c r="F10" s="9">
        <v>0.08</v>
      </c>
      <c r="G10" s="9">
        <v>18</v>
      </c>
      <c r="H10" s="9" t="s">
        <v>3003</v>
      </c>
      <c r="I10" s="9" t="s">
        <v>2979</v>
      </c>
      <c r="J10" s="9">
        <v>2</v>
      </c>
      <c r="K10" s="16">
        <f t="shared" si="2"/>
        <v>6.88E-2</v>
      </c>
      <c r="L10" s="9">
        <f>IFERROR(SUMIF(CALCULO_LOTE!$B$10:$B$59,B10,CALCULO_LOTE!$C$10:$C$59),0)</f>
        <v>0</v>
      </c>
      <c r="M10" s="9">
        <f t="shared" si="0"/>
        <v>0</v>
      </c>
      <c r="N10" s="9">
        <f t="shared" si="1"/>
        <v>0</v>
      </c>
      <c r="P10" s="17" t="s">
        <v>2976</v>
      </c>
    </row>
    <row r="11" spans="1:16" ht="14.5" x14ac:dyDescent="0.35">
      <c r="A11" s="14">
        <v>30001205</v>
      </c>
      <c r="B11" s="15" t="s">
        <v>2976</v>
      </c>
      <c r="C11" s="14" t="s">
        <v>3011</v>
      </c>
      <c r="D11" s="14" t="s">
        <v>3011</v>
      </c>
      <c r="E11" s="9">
        <v>0.36699999999999999</v>
      </c>
      <c r="F11" s="9">
        <v>0.08</v>
      </c>
      <c r="G11" s="9">
        <v>15</v>
      </c>
      <c r="H11" s="9" t="s">
        <v>3009</v>
      </c>
      <c r="I11" s="9" t="s">
        <v>2985</v>
      </c>
      <c r="J11" s="9">
        <v>1</v>
      </c>
      <c r="K11" s="16">
        <f t="shared" si="2"/>
        <v>2.9360000000000001E-2</v>
      </c>
      <c r="L11" s="9">
        <f>IFERROR(SUMIF(CALCULO_LOTE!$B$10:$B$59,B11,CALCULO_LOTE!$C$10:$C$59),0)</f>
        <v>0</v>
      </c>
      <c r="M11" s="9">
        <f t="shared" si="0"/>
        <v>0</v>
      </c>
      <c r="N11" s="9">
        <f t="shared" si="1"/>
        <v>0</v>
      </c>
      <c r="P11" s="17" t="s">
        <v>2976</v>
      </c>
    </row>
    <row r="12" spans="1:16" ht="14.5" x14ac:dyDescent="0.35">
      <c r="A12" s="14">
        <v>30001202</v>
      </c>
      <c r="B12" s="15" t="s">
        <v>2976</v>
      </c>
      <c r="C12" s="14" t="s">
        <v>3012</v>
      </c>
      <c r="D12" s="14" t="s">
        <v>3012</v>
      </c>
      <c r="E12" s="9">
        <v>0.441</v>
      </c>
      <c r="F12" s="9">
        <v>6.5000000000000002E-2</v>
      </c>
      <c r="G12" s="9">
        <v>25</v>
      </c>
      <c r="H12" s="9" t="s">
        <v>3003</v>
      </c>
      <c r="I12" s="9" t="s">
        <v>2977</v>
      </c>
      <c r="J12" s="9">
        <v>2</v>
      </c>
      <c r="K12" s="16">
        <f t="shared" si="2"/>
        <v>5.7329999999999999E-2</v>
      </c>
      <c r="L12" s="9">
        <f>IFERROR(SUMIF(CALCULO_LOTE!$B$10:$B$59,B12,CALCULO_LOTE!$C$10:$C$59),0)</f>
        <v>0</v>
      </c>
      <c r="M12" s="9">
        <f t="shared" si="0"/>
        <v>0</v>
      </c>
      <c r="N12" s="9">
        <f t="shared" si="1"/>
        <v>0</v>
      </c>
      <c r="P12" s="17" t="s">
        <v>2976</v>
      </c>
    </row>
    <row r="13" spans="1:16" ht="14.5" x14ac:dyDescent="0.35">
      <c r="A13" s="14">
        <v>30001206</v>
      </c>
      <c r="B13" s="15" t="s">
        <v>2976</v>
      </c>
      <c r="C13" s="14" t="s">
        <v>1035</v>
      </c>
      <c r="D13" s="14" t="s">
        <v>1035</v>
      </c>
      <c r="E13" s="9">
        <v>0.36</v>
      </c>
      <c r="F13" s="9">
        <v>0.08</v>
      </c>
      <c r="G13" s="9">
        <v>15</v>
      </c>
      <c r="H13" s="9" t="s">
        <v>3009</v>
      </c>
      <c r="I13" s="9" t="s">
        <v>2985</v>
      </c>
      <c r="J13" s="9">
        <v>1</v>
      </c>
      <c r="K13" s="16">
        <f t="shared" si="2"/>
        <v>2.8799999999999999E-2</v>
      </c>
      <c r="L13" s="9">
        <f>IFERROR(SUMIF(CALCULO_LOTE!$B$10:$B$59,B13,CALCULO_LOTE!$C$10:$C$59),0)</f>
        <v>0</v>
      </c>
      <c r="M13" s="9">
        <f t="shared" si="0"/>
        <v>0</v>
      </c>
      <c r="N13" s="9">
        <f t="shared" si="1"/>
        <v>0</v>
      </c>
      <c r="P13" s="17" t="s">
        <v>2976</v>
      </c>
    </row>
    <row r="14" spans="1:16" ht="14.5" x14ac:dyDescent="0.35">
      <c r="A14" s="14">
        <v>30001207</v>
      </c>
      <c r="B14" s="15" t="s">
        <v>2976</v>
      </c>
      <c r="C14" s="14" t="s">
        <v>1037</v>
      </c>
      <c r="D14" s="14" t="s">
        <v>1037</v>
      </c>
      <c r="E14" s="9">
        <v>0.36</v>
      </c>
      <c r="F14" s="9">
        <v>6.2E-2</v>
      </c>
      <c r="G14" s="9">
        <v>15</v>
      </c>
      <c r="H14" s="9" t="s">
        <v>3009</v>
      </c>
      <c r="I14" s="9" t="s">
        <v>2985</v>
      </c>
      <c r="J14" s="9">
        <v>1</v>
      </c>
      <c r="K14" s="16">
        <f t="shared" si="2"/>
        <v>2.232E-2</v>
      </c>
      <c r="L14" s="9">
        <f>IFERROR(SUMIF(CALCULO_LOTE!$B$10:$B$59,B14,CALCULO_LOTE!$C$10:$C$59),0)</f>
        <v>0</v>
      </c>
      <c r="M14" s="9">
        <f t="shared" si="0"/>
        <v>0</v>
      </c>
      <c r="N14" s="9">
        <f t="shared" si="1"/>
        <v>0</v>
      </c>
      <c r="P14" s="17" t="s">
        <v>2976</v>
      </c>
    </row>
    <row r="15" spans="1:16" ht="14.5" x14ac:dyDescent="0.35">
      <c r="A15" s="14">
        <v>30001308</v>
      </c>
      <c r="B15" s="15" t="s">
        <v>2976</v>
      </c>
      <c r="C15" s="14" t="s">
        <v>1056</v>
      </c>
      <c r="D15" s="14" t="s">
        <v>1056</v>
      </c>
      <c r="E15" s="9">
        <v>0.36</v>
      </c>
      <c r="F15" s="9">
        <v>0.04</v>
      </c>
      <c r="G15" s="9">
        <v>25</v>
      </c>
      <c r="H15" s="9" t="s">
        <v>3009</v>
      </c>
      <c r="I15" s="9" t="s">
        <v>2986</v>
      </c>
      <c r="J15" s="9">
        <v>1</v>
      </c>
      <c r="K15" s="16">
        <f t="shared" si="2"/>
        <v>1.44E-2</v>
      </c>
      <c r="L15" s="9">
        <f>IFERROR(SUMIF(CALCULO_LOTE!$B$10:$B$59,B15,CALCULO_LOTE!$C$10:$C$59),0)</f>
        <v>0</v>
      </c>
      <c r="M15" s="9">
        <f t="shared" si="0"/>
        <v>0</v>
      </c>
      <c r="N15" s="9">
        <f t="shared" si="1"/>
        <v>0</v>
      </c>
      <c r="P15" s="17" t="s">
        <v>2976</v>
      </c>
    </row>
    <row r="16" spans="1:16" ht="14.5" x14ac:dyDescent="0.35">
      <c r="A16" s="14">
        <v>30001309</v>
      </c>
      <c r="B16" s="15" t="s">
        <v>2976</v>
      </c>
      <c r="C16" s="14" t="s">
        <v>1058</v>
      </c>
      <c r="D16" s="14" t="s">
        <v>1058</v>
      </c>
      <c r="E16" s="9">
        <v>0.36</v>
      </c>
      <c r="F16" s="9">
        <v>5.6000000000000001E-2</v>
      </c>
      <c r="G16" s="9">
        <v>25</v>
      </c>
      <c r="H16" s="9" t="s">
        <v>3009</v>
      </c>
      <c r="I16" s="9" t="s">
        <v>2986</v>
      </c>
      <c r="J16" s="9">
        <v>1</v>
      </c>
      <c r="K16" s="16">
        <f t="shared" si="2"/>
        <v>2.0160000000000001E-2</v>
      </c>
      <c r="L16" s="9">
        <f>IFERROR(SUMIF(CALCULO_LOTE!$B$10:$B$59,B16,CALCULO_LOTE!$C$10:$C$59),0)</f>
        <v>0</v>
      </c>
      <c r="M16" s="9">
        <f t="shared" si="0"/>
        <v>0</v>
      </c>
      <c r="N16" s="9">
        <f t="shared" si="1"/>
        <v>0</v>
      </c>
      <c r="P16" s="17" t="s">
        <v>2976</v>
      </c>
    </row>
    <row r="17" spans="1:16" ht="14.5" x14ac:dyDescent="0.35">
      <c r="A17" s="14">
        <v>30001301</v>
      </c>
      <c r="B17" s="15" t="s">
        <v>2976</v>
      </c>
      <c r="C17" s="14" t="s">
        <v>3013</v>
      </c>
      <c r="D17" s="14" t="s">
        <v>3013</v>
      </c>
      <c r="E17" s="9">
        <v>0.92</v>
      </c>
      <c r="F17" s="9">
        <v>6.5000000000000002E-2</v>
      </c>
      <c r="G17" s="9">
        <v>25</v>
      </c>
      <c r="H17" s="9" t="s">
        <v>3003</v>
      </c>
      <c r="I17" s="9" t="s">
        <v>2977</v>
      </c>
      <c r="J17" s="9">
        <v>2</v>
      </c>
      <c r="K17" s="16">
        <f t="shared" si="2"/>
        <v>0.11960000000000001</v>
      </c>
      <c r="L17" s="9">
        <f>IFERROR(SUMIF(CALCULO_LOTE!$B$10:$B$59,B17,CALCULO_LOTE!$C$10:$C$59),0)</f>
        <v>0</v>
      </c>
      <c r="M17" s="9">
        <f t="shared" si="0"/>
        <v>0</v>
      </c>
      <c r="N17" s="9">
        <f t="shared" si="1"/>
        <v>0</v>
      </c>
      <c r="P17" s="17" t="s">
        <v>2976</v>
      </c>
    </row>
    <row r="18" spans="1:16" ht="14.5" x14ac:dyDescent="0.35">
      <c r="A18" s="18">
        <v>20013102</v>
      </c>
      <c r="B18" s="19" t="s">
        <v>2978</v>
      </c>
      <c r="C18" s="20" t="s">
        <v>321</v>
      </c>
      <c r="D18" s="20" t="s">
        <v>321</v>
      </c>
      <c r="E18" s="20">
        <v>0.76</v>
      </c>
      <c r="F18" s="20">
        <v>0.1</v>
      </c>
      <c r="G18" s="20">
        <v>15</v>
      </c>
      <c r="H18" s="20" t="s">
        <v>3003</v>
      </c>
      <c r="I18" s="20" t="s">
        <v>2981</v>
      </c>
      <c r="J18" s="9">
        <v>4</v>
      </c>
      <c r="K18" s="16">
        <f t="shared" si="2"/>
        <v>0.30400000000000005</v>
      </c>
      <c r="L18" s="9">
        <f>IFERROR(SUMIF(CALCULO_LOTE!$B$10:$B$59,B18,CALCULO_LOTE!$C$10:$C$59),0)</f>
        <v>0</v>
      </c>
      <c r="M18" s="9">
        <f t="shared" si="0"/>
        <v>0</v>
      </c>
      <c r="N18" s="9">
        <f t="shared" si="1"/>
        <v>0</v>
      </c>
      <c r="P18" s="21" t="s">
        <v>2978</v>
      </c>
    </row>
    <row r="19" spans="1:16" ht="14.5" x14ac:dyDescent="0.35">
      <c r="A19" s="18">
        <v>20013103</v>
      </c>
      <c r="B19" s="19" t="s">
        <v>2978</v>
      </c>
      <c r="C19" s="20" t="s">
        <v>323</v>
      </c>
      <c r="D19" s="20" t="s">
        <v>323</v>
      </c>
      <c r="E19" s="20">
        <v>0.76</v>
      </c>
      <c r="F19" s="20">
        <v>0.85</v>
      </c>
      <c r="G19" s="20">
        <v>15</v>
      </c>
      <c r="H19" s="20" t="s">
        <v>3003</v>
      </c>
      <c r="I19" s="20" t="s">
        <v>2981</v>
      </c>
      <c r="J19" s="9">
        <v>4</v>
      </c>
      <c r="K19" s="16">
        <f t="shared" si="2"/>
        <v>2.5840000000000001</v>
      </c>
      <c r="L19" s="9">
        <f>IFERROR(SUMIF(CALCULO_LOTE!$B$10:$B$59,B19,CALCULO_LOTE!$C$10:$C$59),0)</f>
        <v>0</v>
      </c>
      <c r="M19" s="9">
        <f t="shared" si="0"/>
        <v>0</v>
      </c>
      <c r="N19" s="9">
        <f t="shared" si="1"/>
        <v>0</v>
      </c>
      <c r="P19" s="21" t="s">
        <v>2978</v>
      </c>
    </row>
    <row r="20" spans="1:16" ht="14.5" x14ac:dyDescent="0.35">
      <c r="A20" s="18">
        <v>20013107</v>
      </c>
      <c r="B20" s="19" t="s">
        <v>2978</v>
      </c>
      <c r="C20" s="20" t="s">
        <v>3014</v>
      </c>
      <c r="D20" s="20" t="s">
        <v>3014</v>
      </c>
      <c r="E20" s="20">
        <v>0.61</v>
      </c>
      <c r="F20" s="20">
        <v>0.1</v>
      </c>
      <c r="G20" s="20">
        <v>15</v>
      </c>
      <c r="H20" s="20" t="s">
        <v>3009</v>
      </c>
      <c r="I20" s="20" t="s">
        <v>2985</v>
      </c>
      <c r="J20" s="9">
        <v>2</v>
      </c>
      <c r="K20" s="16">
        <f t="shared" si="2"/>
        <v>0.122</v>
      </c>
      <c r="L20" s="9">
        <f>IFERROR(SUMIF(CALCULO_LOTE!$B$10:$B$59,B20,CALCULO_LOTE!$C$10:$C$59),0)</f>
        <v>0</v>
      </c>
      <c r="M20" s="9">
        <f t="shared" si="0"/>
        <v>0</v>
      </c>
      <c r="N20" s="9">
        <f t="shared" si="1"/>
        <v>0</v>
      </c>
      <c r="P20" s="21" t="s">
        <v>2978</v>
      </c>
    </row>
    <row r="21" spans="1:16" ht="14.5" x14ac:dyDescent="0.35">
      <c r="A21" s="18">
        <v>20014205</v>
      </c>
      <c r="B21" s="19" t="s">
        <v>2978</v>
      </c>
      <c r="C21" s="20" t="s">
        <v>371</v>
      </c>
      <c r="D21" s="20" t="s">
        <v>371</v>
      </c>
      <c r="E21" s="20">
        <v>1.6020000000000001</v>
      </c>
      <c r="F21" s="20">
        <v>0.80200000000000005</v>
      </c>
      <c r="G21" s="20">
        <v>12</v>
      </c>
      <c r="H21" s="20" t="s">
        <v>3009</v>
      </c>
      <c r="I21" s="20" t="s">
        <v>2983</v>
      </c>
      <c r="J21" s="22">
        <v>1</v>
      </c>
      <c r="K21" s="16">
        <f t="shared" si="2"/>
        <v>1.2848040000000001</v>
      </c>
      <c r="L21" s="9">
        <f>IFERROR(SUMIF(CALCULO_LOTE!$B$10:$B$59,B21,CALCULO_LOTE!$C$10:$C$59),0)</f>
        <v>0</v>
      </c>
      <c r="M21" s="9">
        <f t="shared" si="0"/>
        <v>0</v>
      </c>
      <c r="N21" s="9">
        <f t="shared" si="1"/>
        <v>0</v>
      </c>
      <c r="P21" s="21" t="s">
        <v>2978</v>
      </c>
    </row>
    <row r="22" spans="1:16" ht="14.5" x14ac:dyDescent="0.35">
      <c r="A22" s="23">
        <v>20014206</v>
      </c>
      <c r="B22" s="19" t="s">
        <v>2978</v>
      </c>
      <c r="C22" s="24" t="s">
        <v>373</v>
      </c>
      <c r="D22" s="24" t="s">
        <v>373</v>
      </c>
      <c r="E22" s="24">
        <v>1.4810000000000001</v>
      </c>
      <c r="F22" s="24">
        <v>0.16</v>
      </c>
      <c r="G22" s="24">
        <v>12</v>
      </c>
      <c r="H22" s="24" t="s">
        <v>3009</v>
      </c>
      <c r="I22" s="20" t="s">
        <v>2983</v>
      </c>
      <c r="J22" s="9">
        <v>2</v>
      </c>
      <c r="K22" s="16">
        <f t="shared" si="2"/>
        <v>0.47392000000000006</v>
      </c>
      <c r="L22" s="9">
        <f>IFERROR(SUMIF(CALCULO_LOTE!$B$10:$B$59,B22,CALCULO_LOTE!$C$10:$C$59),0)</f>
        <v>0</v>
      </c>
      <c r="M22" s="9">
        <f t="shared" si="0"/>
        <v>0</v>
      </c>
      <c r="N22" s="9">
        <f t="shared" si="1"/>
        <v>0</v>
      </c>
      <c r="P22" s="21" t="s">
        <v>2978</v>
      </c>
    </row>
    <row r="23" spans="1:16" ht="14.5" x14ac:dyDescent="0.35">
      <c r="A23" s="23">
        <v>20014107</v>
      </c>
      <c r="B23" s="19" t="s">
        <v>2978</v>
      </c>
      <c r="C23" s="24" t="s">
        <v>363</v>
      </c>
      <c r="D23" s="24" t="s">
        <v>363</v>
      </c>
      <c r="E23" s="24">
        <v>0.80200000000000005</v>
      </c>
      <c r="F23" s="24">
        <v>0.06</v>
      </c>
      <c r="G23" s="24">
        <v>12</v>
      </c>
      <c r="H23" s="24" t="s">
        <v>3009</v>
      </c>
      <c r="I23" s="20" t="s">
        <v>2983</v>
      </c>
      <c r="J23" s="9">
        <v>2</v>
      </c>
      <c r="K23" s="16">
        <f t="shared" si="2"/>
        <v>9.6240000000000006E-2</v>
      </c>
      <c r="L23" s="9">
        <f>IFERROR(SUMIF(CALCULO_LOTE!$B$10:$B$59,B23,CALCULO_LOTE!$C$10:$C$59),0)</f>
        <v>0</v>
      </c>
      <c r="M23" s="9">
        <f t="shared" si="0"/>
        <v>0</v>
      </c>
      <c r="N23" s="9">
        <f t="shared" si="1"/>
        <v>0</v>
      </c>
      <c r="P23" s="21" t="s">
        <v>2978</v>
      </c>
    </row>
    <row r="24" spans="1:16" ht="14.5" x14ac:dyDescent="0.35">
      <c r="A24" s="18">
        <v>20016106</v>
      </c>
      <c r="B24" s="19" t="s">
        <v>2978</v>
      </c>
      <c r="C24" s="20" t="s">
        <v>3015</v>
      </c>
      <c r="D24" s="20" t="s">
        <v>3015</v>
      </c>
      <c r="E24" s="20">
        <v>1.4419999999999999</v>
      </c>
      <c r="F24" s="20">
        <v>0.1</v>
      </c>
      <c r="G24" s="20">
        <v>15</v>
      </c>
      <c r="H24" s="20" t="s">
        <v>3009</v>
      </c>
      <c r="I24" s="20" t="s">
        <v>2985</v>
      </c>
      <c r="J24" s="9">
        <v>2</v>
      </c>
      <c r="K24" s="16">
        <f t="shared" si="2"/>
        <v>0.28839999999999999</v>
      </c>
      <c r="L24" s="9">
        <f>IFERROR(SUMIF(CALCULO_LOTE!$B$10:$B$59,B24,CALCULO_LOTE!$C$10:$C$59),0)</f>
        <v>0</v>
      </c>
      <c r="M24" s="9">
        <f t="shared" si="0"/>
        <v>0</v>
      </c>
      <c r="N24" s="9">
        <f t="shared" si="1"/>
        <v>0</v>
      </c>
      <c r="P24" s="21" t="s">
        <v>2978</v>
      </c>
    </row>
    <row r="25" spans="1:16" ht="14.5" x14ac:dyDescent="0.35">
      <c r="A25" s="18">
        <v>20013102</v>
      </c>
      <c r="B25" s="19" t="s">
        <v>2980</v>
      </c>
      <c r="C25" s="20" t="s">
        <v>321</v>
      </c>
      <c r="D25" s="20" t="s">
        <v>321</v>
      </c>
      <c r="E25" s="20">
        <v>0.76</v>
      </c>
      <c r="F25" s="20">
        <v>0.1</v>
      </c>
      <c r="G25" s="20">
        <v>15</v>
      </c>
      <c r="H25" s="20" t="s">
        <v>3003</v>
      </c>
      <c r="I25" s="20" t="s">
        <v>2981</v>
      </c>
      <c r="J25" s="9">
        <v>4</v>
      </c>
      <c r="K25" s="16">
        <f t="shared" si="2"/>
        <v>0.30400000000000005</v>
      </c>
      <c r="L25" s="9">
        <f>IFERROR(SUMIF(CALCULO_LOTE!$B$10:$B$59,B25,CALCULO_LOTE!$C$10:$C$59),0)</f>
        <v>0</v>
      </c>
      <c r="M25" s="9">
        <f t="shared" si="0"/>
        <v>0</v>
      </c>
      <c r="N25" s="9">
        <f t="shared" si="1"/>
        <v>0</v>
      </c>
      <c r="P25" s="21" t="s">
        <v>2980</v>
      </c>
    </row>
    <row r="26" spans="1:16" ht="14.5" x14ac:dyDescent="0.35">
      <c r="A26" s="18">
        <v>20013103</v>
      </c>
      <c r="B26" s="19" t="s">
        <v>2980</v>
      </c>
      <c r="C26" s="20" t="s">
        <v>323</v>
      </c>
      <c r="D26" s="20" t="s">
        <v>323</v>
      </c>
      <c r="E26" s="20">
        <v>0.76</v>
      </c>
      <c r="F26" s="20">
        <v>0.85</v>
      </c>
      <c r="G26" s="20">
        <v>15</v>
      </c>
      <c r="H26" s="20" t="s">
        <v>3003</v>
      </c>
      <c r="I26" s="20" t="s">
        <v>2981</v>
      </c>
      <c r="J26" s="9">
        <v>4</v>
      </c>
      <c r="K26" s="16">
        <f t="shared" si="2"/>
        <v>2.5840000000000001</v>
      </c>
      <c r="L26" s="9">
        <f>IFERROR(SUMIF(CALCULO_LOTE!$B$10:$B$59,B26,CALCULO_LOTE!$C$10:$C$59),0)</f>
        <v>0</v>
      </c>
      <c r="M26" s="9">
        <f t="shared" si="0"/>
        <v>0</v>
      </c>
      <c r="N26" s="9">
        <f t="shared" si="1"/>
        <v>0</v>
      </c>
      <c r="P26" s="21" t="s">
        <v>2980</v>
      </c>
    </row>
    <row r="27" spans="1:16" ht="14.5" x14ac:dyDescent="0.35">
      <c r="A27" s="25">
        <v>20012404</v>
      </c>
      <c r="B27" s="19" t="s">
        <v>2980</v>
      </c>
      <c r="C27" t="s">
        <v>303</v>
      </c>
      <c r="D27" t="s">
        <v>303</v>
      </c>
      <c r="E27" s="24">
        <v>1.202</v>
      </c>
      <c r="F27" s="24">
        <v>0.80200000000000005</v>
      </c>
      <c r="G27" s="24">
        <v>12</v>
      </c>
      <c r="H27" s="24" t="s">
        <v>3009</v>
      </c>
      <c r="I27" s="24" t="s">
        <v>2983</v>
      </c>
      <c r="J27" s="9">
        <v>1</v>
      </c>
      <c r="K27" s="16">
        <f t="shared" si="2"/>
        <v>0.96400399999999997</v>
      </c>
      <c r="L27" s="9">
        <f>IFERROR(SUMIF(CALCULO_LOTE!$B$10:$B$59,B27,CALCULO_LOTE!$C$10:$C$59),0)</f>
        <v>0</v>
      </c>
      <c r="M27" s="9">
        <f t="shared" si="0"/>
        <v>0</v>
      </c>
      <c r="N27" s="9">
        <f t="shared" si="1"/>
        <v>0</v>
      </c>
      <c r="P27" s="21" t="s">
        <v>2980</v>
      </c>
    </row>
    <row r="28" spans="1:16" ht="14.5" x14ac:dyDescent="0.35">
      <c r="A28" s="25">
        <v>20012410</v>
      </c>
      <c r="B28" s="19" t="s">
        <v>2980</v>
      </c>
      <c r="C28" t="s">
        <v>313</v>
      </c>
      <c r="D28" t="s">
        <v>313</v>
      </c>
      <c r="E28" s="24">
        <v>1.08</v>
      </c>
      <c r="F28" s="24">
        <v>0.06</v>
      </c>
      <c r="G28" s="24">
        <v>15</v>
      </c>
      <c r="H28" s="24" t="s">
        <v>3009</v>
      </c>
      <c r="I28" s="20" t="s">
        <v>2985</v>
      </c>
      <c r="J28" s="9">
        <v>2</v>
      </c>
      <c r="K28" s="16">
        <f t="shared" si="2"/>
        <v>0.12959999999999999</v>
      </c>
      <c r="L28" s="9">
        <f>IFERROR(SUMIF(CALCULO_LOTE!$B$10:$B$59,B28,CALCULO_LOTE!$C$10:$C$59),0)</f>
        <v>0</v>
      </c>
      <c r="M28" s="9">
        <f t="shared" si="0"/>
        <v>0</v>
      </c>
      <c r="N28" s="9">
        <f t="shared" si="1"/>
        <v>0</v>
      </c>
      <c r="P28" s="21" t="s">
        <v>2980</v>
      </c>
    </row>
    <row r="29" spans="1:16" ht="14.5" x14ac:dyDescent="0.35">
      <c r="A29" s="25">
        <v>20012409</v>
      </c>
      <c r="B29" s="19" t="s">
        <v>2980</v>
      </c>
      <c r="C29" t="s">
        <v>309</v>
      </c>
      <c r="D29" t="s">
        <v>309</v>
      </c>
      <c r="E29" s="24">
        <v>0.80200000000000005</v>
      </c>
      <c r="F29" s="24">
        <v>0.06</v>
      </c>
      <c r="G29" s="24">
        <v>15</v>
      </c>
      <c r="H29" s="24" t="s">
        <v>3009</v>
      </c>
      <c r="I29" s="20" t="s">
        <v>2985</v>
      </c>
      <c r="J29" s="9">
        <v>2</v>
      </c>
      <c r="K29" s="16">
        <f t="shared" si="2"/>
        <v>9.6240000000000006E-2</v>
      </c>
      <c r="L29" s="9">
        <f>IFERROR(SUMIF(CALCULO_LOTE!$B$10:$B$59,B29,CALCULO_LOTE!$C$10:$C$59),0)</f>
        <v>0</v>
      </c>
      <c r="M29" s="9">
        <f t="shared" si="0"/>
        <v>0</v>
      </c>
      <c r="N29" s="9">
        <f t="shared" si="1"/>
        <v>0</v>
      </c>
      <c r="P29" s="21" t="s">
        <v>2980</v>
      </c>
    </row>
    <row r="30" spans="1:16" ht="14.5" x14ac:dyDescent="0.35">
      <c r="A30" s="25">
        <v>20012405</v>
      </c>
      <c r="B30" s="19" t="s">
        <v>2980</v>
      </c>
      <c r="C30" t="s">
        <v>3016</v>
      </c>
      <c r="D30" t="s">
        <v>3016</v>
      </c>
      <c r="E30" s="24">
        <v>1.03</v>
      </c>
      <c r="F30" s="24">
        <v>0.1</v>
      </c>
      <c r="G30" s="24">
        <v>15</v>
      </c>
      <c r="H30" s="24" t="s">
        <v>3009</v>
      </c>
      <c r="I30" s="20" t="s">
        <v>2985</v>
      </c>
      <c r="J30" s="9">
        <v>2</v>
      </c>
      <c r="K30" s="16">
        <f t="shared" si="2"/>
        <v>0.20600000000000002</v>
      </c>
      <c r="L30" s="9">
        <f>IFERROR(SUMIF(CALCULO_LOTE!$B$10:$B$59,B30,CALCULO_LOTE!$C$10:$C$59),0)</f>
        <v>0</v>
      </c>
      <c r="M30" s="9">
        <f t="shared" si="0"/>
        <v>0</v>
      </c>
      <c r="N30" s="9">
        <f t="shared" si="1"/>
        <v>0</v>
      </c>
      <c r="P30" s="21" t="s">
        <v>2980</v>
      </c>
    </row>
    <row r="31" spans="1:16" ht="14.5" x14ac:dyDescent="0.35">
      <c r="A31" s="25">
        <v>20013107</v>
      </c>
      <c r="B31" s="19" t="s">
        <v>2980</v>
      </c>
      <c r="C31" t="s">
        <v>3017</v>
      </c>
      <c r="D31" t="s">
        <v>3017</v>
      </c>
      <c r="E31" s="24">
        <v>0.61</v>
      </c>
      <c r="F31" s="24">
        <v>0.1</v>
      </c>
      <c r="G31" s="24">
        <v>15</v>
      </c>
      <c r="H31" s="24" t="s">
        <v>3009</v>
      </c>
      <c r="I31" s="20" t="s">
        <v>2985</v>
      </c>
      <c r="J31" s="9">
        <v>2</v>
      </c>
      <c r="K31" s="16">
        <f t="shared" si="2"/>
        <v>0.122</v>
      </c>
      <c r="L31" s="9">
        <f>IFERROR(SUMIF(CALCULO_LOTE!$B$10:$B$59,B31,CALCULO_LOTE!$C$10:$C$59),0)</f>
        <v>0</v>
      </c>
      <c r="M31" s="9">
        <f t="shared" si="0"/>
        <v>0</v>
      </c>
      <c r="N31" s="9">
        <f t="shared" si="1"/>
        <v>0</v>
      </c>
      <c r="P31" s="21" t="s">
        <v>2980</v>
      </c>
    </row>
    <row r="32" spans="1:16" ht="14.5" x14ac:dyDescent="0.35">
      <c r="A32" s="25">
        <v>30076001</v>
      </c>
      <c r="B32" s="26" t="s">
        <v>3019</v>
      </c>
      <c r="C32" t="s">
        <v>1880</v>
      </c>
      <c r="D32" t="s">
        <v>1880</v>
      </c>
      <c r="E32" s="24">
        <v>1.42</v>
      </c>
      <c r="F32" s="24">
        <v>6.5000000000000002E-2</v>
      </c>
      <c r="G32" s="24">
        <v>18</v>
      </c>
      <c r="H32" s="24" t="s">
        <v>3003</v>
      </c>
      <c r="I32" s="30" t="s">
        <v>2979</v>
      </c>
      <c r="J32" s="9">
        <v>2</v>
      </c>
      <c r="K32" s="16">
        <f t="shared" si="2"/>
        <v>0.18459999999999999</v>
      </c>
      <c r="L32" s="9"/>
      <c r="M32" s="9"/>
      <c r="N32" s="9"/>
      <c r="P32" s="26" t="s">
        <v>3019</v>
      </c>
    </row>
    <row r="33" spans="1:16" ht="14.5" x14ac:dyDescent="0.35">
      <c r="A33" s="25">
        <v>30076002</v>
      </c>
      <c r="B33" s="26" t="s">
        <v>3019</v>
      </c>
      <c r="C33" t="s">
        <v>2021</v>
      </c>
      <c r="D33" t="s">
        <v>2021</v>
      </c>
      <c r="E33" s="24">
        <v>0.86</v>
      </c>
      <c r="F33" s="24">
        <v>6.5000000000000002E-2</v>
      </c>
      <c r="G33" s="24">
        <v>18</v>
      </c>
      <c r="H33" s="24" t="s">
        <v>3003</v>
      </c>
      <c r="I33" s="30" t="s">
        <v>2979</v>
      </c>
      <c r="J33" s="9">
        <v>2</v>
      </c>
      <c r="K33" s="16">
        <f t="shared" si="2"/>
        <v>0.1118</v>
      </c>
      <c r="L33" s="9"/>
      <c r="M33" s="9"/>
      <c r="N33" s="9"/>
      <c r="P33" s="26" t="s">
        <v>3019</v>
      </c>
    </row>
    <row r="34" spans="1:16" ht="14.5" x14ac:dyDescent="0.35">
      <c r="A34" s="25">
        <v>30076007</v>
      </c>
      <c r="B34" s="26" t="s">
        <v>3019</v>
      </c>
      <c r="C34" t="s">
        <v>2023</v>
      </c>
      <c r="D34" t="s">
        <v>2023</v>
      </c>
      <c r="E34" s="24">
        <v>1.6</v>
      </c>
      <c r="F34" s="24">
        <v>0.9</v>
      </c>
      <c r="G34" s="24">
        <v>12</v>
      </c>
      <c r="H34" s="24" t="s">
        <v>3003</v>
      </c>
      <c r="I34" s="30" t="s">
        <v>3154</v>
      </c>
      <c r="J34" s="9">
        <v>2</v>
      </c>
      <c r="K34" s="16">
        <f t="shared" si="2"/>
        <v>2.8800000000000003</v>
      </c>
      <c r="L34" s="9"/>
      <c r="M34" s="9"/>
      <c r="N34" s="9"/>
      <c r="P34" s="26" t="s">
        <v>3019</v>
      </c>
    </row>
    <row r="35" spans="1:16" ht="14.5" x14ac:dyDescent="0.35">
      <c r="A35" s="25">
        <v>30076008</v>
      </c>
      <c r="B35" s="26" t="s">
        <v>3019</v>
      </c>
      <c r="C35" t="s">
        <v>2025</v>
      </c>
      <c r="D35" t="s">
        <v>2025</v>
      </c>
      <c r="E35" s="24">
        <v>1.6</v>
      </c>
      <c r="F35" s="24">
        <v>0.9</v>
      </c>
      <c r="G35" s="24">
        <v>15</v>
      </c>
      <c r="H35" s="24" t="s">
        <v>3003</v>
      </c>
      <c r="I35" s="30" t="s">
        <v>2981</v>
      </c>
      <c r="J35" s="9">
        <v>1</v>
      </c>
      <c r="K35" s="16">
        <f t="shared" si="2"/>
        <v>1.4400000000000002</v>
      </c>
      <c r="L35" s="9"/>
      <c r="M35" s="9"/>
      <c r="N35" s="9"/>
      <c r="P35" s="26" t="s">
        <v>3019</v>
      </c>
    </row>
    <row r="36" spans="1:16" ht="14.5" x14ac:dyDescent="0.35">
      <c r="A36" s="25">
        <v>20033301</v>
      </c>
      <c r="B36" s="26" t="s">
        <v>3018</v>
      </c>
      <c r="C36" t="s">
        <v>3166</v>
      </c>
      <c r="D36" t="s">
        <v>3166</v>
      </c>
      <c r="E36" s="24">
        <v>0.98</v>
      </c>
      <c r="F36" s="24">
        <v>6.5000000000000002E-2</v>
      </c>
      <c r="G36" s="24">
        <v>15</v>
      </c>
      <c r="H36" s="24" t="s">
        <v>3003</v>
      </c>
      <c r="I36" s="30" t="s">
        <v>2981</v>
      </c>
      <c r="J36" s="9">
        <v>2</v>
      </c>
      <c r="K36" s="16">
        <f t="shared" si="2"/>
        <v>0.12740000000000001</v>
      </c>
      <c r="L36" s="9"/>
      <c r="M36" s="9"/>
      <c r="N36" s="9"/>
      <c r="P36" s="26" t="s">
        <v>3018</v>
      </c>
    </row>
    <row r="37" spans="1:16" ht="14.5" x14ac:dyDescent="0.35">
      <c r="A37" s="25">
        <v>20033302</v>
      </c>
      <c r="B37" s="26" t="s">
        <v>3018</v>
      </c>
      <c r="C37" t="s">
        <v>3167</v>
      </c>
      <c r="D37" t="s">
        <v>3167</v>
      </c>
      <c r="E37" s="24">
        <v>0.85</v>
      </c>
      <c r="F37" s="24">
        <v>6.5000000000000002E-2</v>
      </c>
      <c r="G37" s="24">
        <v>15</v>
      </c>
      <c r="H37" s="24" t="s">
        <v>3003</v>
      </c>
      <c r="I37" s="30" t="s">
        <v>2981</v>
      </c>
      <c r="J37" s="9">
        <v>2</v>
      </c>
      <c r="K37" s="16">
        <f t="shared" si="2"/>
        <v>0.1105</v>
      </c>
      <c r="L37" s="9"/>
      <c r="M37" s="9"/>
      <c r="N37" s="9"/>
      <c r="P37" s="26" t="s">
        <v>3018</v>
      </c>
    </row>
    <row r="38" spans="1:16" ht="14.5" x14ac:dyDescent="0.35">
      <c r="A38" s="25">
        <v>20033303</v>
      </c>
      <c r="B38" s="26" t="s">
        <v>3018</v>
      </c>
      <c r="C38" t="s">
        <v>3168</v>
      </c>
      <c r="D38" t="s">
        <v>3168</v>
      </c>
      <c r="E38" s="24">
        <v>1.03</v>
      </c>
      <c r="F38" s="24">
        <v>0.51500000000000001</v>
      </c>
      <c r="G38" s="24">
        <v>15</v>
      </c>
      <c r="H38" s="24" t="s">
        <v>3003</v>
      </c>
      <c r="I38" s="30" t="s">
        <v>2981</v>
      </c>
      <c r="J38" s="9">
        <v>2</v>
      </c>
      <c r="K38" s="16">
        <f t="shared" si="2"/>
        <v>1.0609</v>
      </c>
      <c r="L38" s="9"/>
      <c r="M38" s="9"/>
      <c r="N38" s="9"/>
      <c r="P38" s="26" t="s">
        <v>3018</v>
      </c>
    </row>
    <row r="39" spans="1:16" ht="14.5" x14ac:dyDescent="0.35">
      <c r="A39" s="25">
        <v>20033304</v>
      </c>
      <c r="B39" s="26" t="s">
        <v>3018</v>
      </c>
      <c r="C39" t="s">
        <v>3169</v>
      </c>
      <c r="D39" t="s">
        <v>3169</v>
      </c>
      <c r="E39" s="24">
        <v>1.03</v>
      </c>
      <c r="F39" s="24">
        <v>1.03</v>
      </c>
      <c r="G39" s="24">
        <v>15</v>
      </c>
      <c r="H39" s="24" t="s">
        <v>3003</v>
      </c>
      <c r="I39" s="30" t="s">
        <v>2981</v>
      </c>
      <c r="J39" s="9">
        <v>1</v>
      </c>
      <c r="K39" s="16">
        <f t="shared" si="2"/>
        <v>1.0609</v>
      </c>
      <c r="L39" s="9"/>
      <c r="M39" s="9"/>
      <c r="N39" s="9"/>
      <c r="P39" s="26" t="s">
        <v>3018</v>
      </c>
    </row>
    <row r="40" spans="1:16" ht="14.5" x14ac:dyDescent="0.35">
      <c r="A40" s="26" t="s">
        <v>3020</v>
      </c>
      <c r="B40" s="26" t="s">
        <v>3021</v>
      </c>
      <c r="C40" s="26" t="s">
        <v>3021</v>
      </c>
      <c r="D40" s="26" t="s">
        <v>3021</v>
      </c>
      <c r="E40">
        <v>1.36</v>
      </c>
      <c r="F40">
        <v>0.9</v>
      </c>
      <c r="G40" s="24">
        <v>18</v>
      </c>
      <c r="H40" s="24" t="s">
        <v>3003</v>
      </c>
      <c r="I40" t="s">
        <v>2979</v>
      </c>
      <c r="J40" s="9">
        <v>1</v>
      </c>
      <c r="K40" s="16">
        <f t="shared" si="2"/>
        <v>1.2240000000000002</v>
      </c>
      <c r="L40" s="9">
        <f>IFERROR(SUMIF(CALCULO_LOTE!$B$10:$B$59,B40,CALCULO_LOTE!$C$10:$C$59),0)</f>
        <v>0</v>
      </c>
      <c r="M40" s="9">
        <f t="shared" ref="M40:M71" si="3">IFERROR(L40*J40,0)</f>
        <v>0</v>
      </c>
      <c r="N40" s="9">
        <f t="shared" ref="N40:N71" si="4">IFERROR(M40*K40,0)</f>
        <v>0</v>
      </c>
      <c r="P40" s="26" t="s">
        <v>3021</v>
      </c>
    </row>
    <row r="41" spans="1:16" ht="14.5" x14ac:dyDescent="0.35">
      <c r="A41" s="26" t="s">
        <v>3022</v>
      </c>
      <c r="B41" s="26" t="s">
        <v>3023</v>
      </c>
      <c r="C41" s="26" t="s">
        <v>3023</v>
      </c>
      <c r="D41" s="26" t="s">
        <v>3023</v>
      </c>
      <c r="E41">
        <v>1.6</v>
      </c>
      <c r="F41">
        <v>0.9</v>
      </c>
      <c r="G41" s="24">
        <v>18</v>
      </c>
      <c r="H41" s="24" t="s">
        <v>3003</v>
      </c>
      <c r="I41" t="s">
        <v>2979</v>
      </c>
      <c r="J41" s="9">
        <v>1</v>
      </c>
      <c r="K41" s="16">
        <f t="shared" si="2"/>
        <v>1.4400000000000002</v>
      </c>
      <c r="L41" s="9">
        <f>IFERROR(SUMIF(CALCULO_LOTE!$B$10:$B$59,B41,CALCULO_LOTE!$C$10:$C$59),0)</f>
        <v>0</v>
      </c>
      <c r="M41" s="9">
        <f t="shared" si="3"/>
        <v>0</v>
      </c>
      <c r="N41" s="9">
        <f t="shared" si="4"/>
        <v>0</v>
      </c>
      <c r="P41" s="26" t="s">
        <v>3023</v>
      </c>
    </row>
    <row r="42" spans="1:16" ht="14.5" x14ac:dyDescent="0.35">
      <c r="A42" s="26" t="s">
        <v>3024</v>
      </c>
      <c r="B42" s="26" t="s">
        <v>3025</v>
      </c>
      <c r="C42" s="26" t="s">
        <v>3025</v>
      </c>
      <c r="D42" s="26" t="s">
        <v>3025</v>
      </c>
      <c r="E42">
        <v>1.8</v>
      </c>
      <c r="F42">
        <v>0.9</v>
      </c>
      <c r="G42" s="24">
        <v>18</v>
      </c>
      <c r="H42" s="24" t="s">
        <v>3003</v>
      </c>
      <c r="I42" t="s">
        <v>2979</v>
      </c>
      <c r="J42" s="9">
        <v>1</v>
      </c>
      <c r="K42" s="16">
        <f t="shared" si="2"/>
        <v>1.62</v>
      </c>
      <c r="L42" s="9">
        <f>IFERROR(SUMIF(CALCULO_LOTE!$B$10:$B$59,B42,CALCULO_LOTE!$C$10:$C$59),0)</f>
        <v>0</v>
      </c>
      <c r="M42" s="9">
        <f t="shared" si="3"/>
        <v>0</v>
      </c>
      <c r="N42" s="9">
        <f t="shared" si="4"/>
        <v>0</v>
      </c>
      <c r="P42" s="26" t="s">
        <v>3025</v>
      </c>
    </row>
    <row r="43" spans="1:16" ht="14.5" x14ac:dyDescent="0.35">
      <c r="A43" s="26" t="s">
        <v>3026</v>
      </c>
      <c r="B43" s="26" t="s">
        <v>3027</v>
      </c>
      <c r="C43" s="26" t="s">
        <v>3027</v>
      </c>
      <c r="D43" s="26" t="s">
        <v>3027</v>
      </c>
      <c r="E43">
        <v>1.36</v>
      </c>
      <c r="F43">
        <v>0.9</v>
      </c>
      <c r="G43" s="24">
        <v>15</v>
      </c>
      <c r="H43" s="24" t="s">
        <v>3003</v>
      </c>
      <c r="I43" t="s">
        <v>2981</v>
      </c>
      <c r="J43" s="9">
        <v>1</v>
      </c>
      <c r="K43" s="16">
        <f t="shared" si="2"/>
        <v>1.2240000000000002</v>
      </c>
      <c r="L43" s="9">
        <f>IFERROR(SUMIF(CALCULO_LOTE!$B$10:$B$59,B43,CALCULO_LOTE!$C$10:$C$59),0)</f>
        <v>0</v>
      </c>
      <c r="M43" s="9">
        <f t="shared" si="3"/>
        <v>0</v>
      </c>
      <c r="N43" s="9">
        <f t="shared" si="4"/>
        <v>0</v>
      </c>
      <c r="P43" s="26" t="s">
        <v>3027</v>
      </c>
    </row>
    <row r="44" spans="1:16" ht="14.5" x14ac:dyDescent="0.35">
      <c r="A44" s="26" t="s">
        <v>3028</v>
      </c>
      <c r="B44" s="26" t="s">
        <v>3029</v>
      </c>
      <c r="C44" s="26" t="s">
        <v>3029</v>
      </c>
      <c r="D44" s="26" t="s">
        <v>3029</v>
      </c>
      <c r="E44">
        <v>1.6</v>
      </c>
      <c r="F44">
        <v>0.9</v>
      </c>
      <c r="G44" s="24">
        <v>18</v>
      </c>
      <c r="H44" s="24" t="s">
        <v>3003</v>
      </c>
      <c r="I44" t="s">
        <v>2979</v>
      </c>
      <c r="J44" s="9">
        <v>1</v>
      </c>
      <c r="K44" s="16">
        <f t="shared" si="2"/>
        <v>1.4400000000000002</v>
      </c>
      <c r="L44" s="9">
        <f>IFERROR(SUMIF(CALCULO_LOTE!$B$10:$B$59,B44,CALCULO_LOTE!$C$10:$C$59),0)</f>
        <v>0</v>
      </c>
      <c r="M44" s="9">
        <f t="shared" si="3"/>
        <v>0</v>
      </c>
      <c r="N44" s="9">
        <f t="shared" si="4"/>
        <v>0</v>
      </c>
      <c r="P44" s="26" t="s">
        <v>3029</v>
      </c>
    </row>
    <row r="45" spans="1:16" ht="14.5" x14ac:dyDescent="0.35">
      <c r="A45" s="26" t="s">
        <v>3030</v>
      </c>
      <c r="B45" s="26" t="s">
        <v>3031</v>
      </c>
      <c r="C45" s="26" t="s">
        <v>3031</v>
      </c>
      <c r="D45" s="26" t="s">
        <v>3031</v>
      </c>
      <c r="E45">
        <v>1.6</v>
      </c>
      <c r="F45">
        <v>0.9</v>
      </c>
      <c r="G45" s="24">
        <v>15</v>
      </c>
      <c r="H45" s="24" t="s">
        <v>3003</v>
      </c>
      <c r="I45" t="s">
        <v>2981</v>
      </c>
      <c r="J45" s="9">
        <v>1</v>
      </c>
      <c r="K45" s="16">
        <f t="shared" si="2"/>
        <v>1.4400000000000002</v>
      </c>
      <c r="L45" s="9">
        <f>IFERROR(SUMIF(CALCULO_LOTE!$B$10:$B$59,B45,CALCULO_LOTE!$C$10:$C$59),0)</f>
        <v>0</v>
      </c>
      <c r="M45" s="9">
        <f t="shared" si="3"/>
        <v>0</v>
      </c>
      <c r="N45" s="9">
        <f t="shared" si="4"/>
        <v>0</v>
      </c>
      <c r="P45" s="26" t="s">
        <v>3031</v>
      </c>
    </row>
    <row r="46" spans="1:16" ht="14.5" x14ac:dyDescent="0.35">
      <c r="A46" s="26" t="s">
        <v>3032</v>
      </c>
      <c r="B46" s="26" t="s">
        <v>3033</v>
      </c>
      <c r="C46" s="26" t="s">
        <v>3033</v>
      </c>
      <c r="D46" s="26" t="s">
        <v>3033</v>
      </c>
      <c r="E46">
        <v>1.8</v>
      </c>
      <c r="F46">
        <v>0.9</v>
      </c>
      <c r="G46" s="24">
        <v>18</v>
      </c>
      <c r="H46" s="24" t="s">
        <v>3003</v>
      </c>
      <c r="I46" t="s">
        <v>2979</v>
      </c>
      <c r="J46" s="9">
        <v>1</v>
      </c>
      <c r="K46" s="16">
        <f t="shared" si="2"/>
        <v>1.62</v>
      </c>
      <c r="L46" s="9">
        <f>IFERROR(SUMIF(CALCULO_LOTE!$B$10:$B$59,B46,CALCULO_LOTE!$C$10:$C$59),0)</f>
        <v>0</v>
      </c>
      <c r="M46" s="9">
        <f t="shared" si="3"/>
        <v>0</v>
      </c>
      <c r="N46" s="9">
        <f t="shared" si="4"/>
        <v>0</v>
      </c>
      <c r="P46" s="26" t="s">
        <v>3033</v>
      </c>
    </row>
    <row r="47" spans="1:16" ht="14.5" x14ac:dyDescent="0.35">
      <c r="A47" s="26" t="s">
        <v>3034</v>
      </c>
      <c r="B47" s="26" t="s">
        <v>3035</v>
      </c>
      <c r="C47" s="26" t="s">
        <v>3035</v>
      </c>
      <c r="D47" s="26" t="s">
        <v>3035</v>
      </c>
      <c r="E47">
        <v>1.6</v>
      </c>
      <c r="F47">
        <v>0.9</v>
      </c>
      <c r="G47" s="24">
        <v>18</v>
      </c>
      <c r="H47" s="24" t="s">
        <v>3003</v>
      </c>
      <c r="I47" t="s">
        <v>2979</v>
      </c>
      <c r="J47" s="9">
        <v>1</v>
      </c>
      <c r="K47" s="16">
        <f t="shared" si="2"/>
        <v>1.4400000000000002</v>
      </c>
      <c r="L47" s="9">
        <f>IFERROR(SUMIF(CALCULO_LOTE!$B$10:$B$59,B47,CALCULO_LOTE!$C$10:$C$59),0)</f>
        <v>0</v>
      </c>
      <c r="M47" s="9">
        <f t="shared" si="3"/>
        <v>0</v>
      </c>
      <c r="N47" s="9">
        <f t="shared" si="4"/>
        <v>0</v>
      </c>
      <c r="P47" s="26" t="s">
        <v>3035</v>
      </c>
    </row>
    <row r="48" spans="1:16" ht="14.5" x14ac:dyDescent="0.35">
      <c r="A48" s="26" t="s">
        <v>3036</v>
      </c>
      <c r="B48" s="26" t="s">
        <v>3037</v>
      </c>
      <c r="C48" s="26" t="s">
        <v>3037</v>
      </c>
      <c r="D48" s="26" t="s">
        <v>3037</v>
      </c>
      <c r="E48">
        <v>1.8</v>
      </c>
      <c r="F48">
        <v>0.9</v>
      </c>
      <c r="G48" s="24">
        <v>18</v>
      </c>
      <c r="H48" s="24" t="s">
        <v>3003</v>
      </c>
      <c r="I48" t="s">
        <v>2979</v>
      </c>
      <c r="J48" s="9">
        <v>1</v>
      </c>
      <c r="K48" s="16">
        <f t="shared" si="2"/>
        <v>1.62</v>
      </c>
      <c r="L48" s="9">
        <f>IFERROR(SUMIF(CALCULO_LOTE!$B$10:$B$59,B48,CALCULO_LOTE!$C$10:$C$59),0)</f>
        <v>0</v>
      </c>
      <c r="M48" s="9">
        <f t="shared" si="3"/>
        <v>0</v>
      </c>
      <c r="N48" s="9">
        <f t="shared" si="4"/>
        <v>0</v>
      </c>
      <c r="P48" s="26" t="s">
        <v>3037</v>
      </c>
    </row>
    <row r="49" spans="1:16" ht="14.5" x14ac:dyDescent="0.35">
      <c r="A49" s="26" t="s">
        <v>3038</v>
      </c>
      <c r="B49" s="26" t="s">
        <v>3039</v>
      </c>
      <c r="C49" s="26" t="s">
        <v>3039</v>
      </c>
      <c r="D49" s="26" t="s">
        <v>3039</v>
      </c>
      <c r="E49">
        <v>1.6</v>
      </c>
      <c r="F49">
        <v>0.9</v>
      </c>
      <c r="G49" s="24">
        <v>18</v>
      </c>
      <c r="H49" s="24" t="s">
        <v>3003</v>
      </c>
      <c r="I49" t="s">
        <v>2979</v>
      </c>
      <c r="J49" s="9">
        <v>1</v>
      </c>
      <c r="K49" s="16">
        <f t="shared" si="2"/>
        <v>1.4400000000000002</v>
      </c>
      <c r="L49" s="9">
        <f>IFERROR(SUMIF(CALCULO_LOTE!$B$10:$B$59,B49,CALCULO_LOTE!$C$10:$C$59),0)</f>
        <v>0</v>
      </c>
      <c r="M49" s="9">
        <f t="shared" si="3"/>
        <v>0</v>
      </c>
      <c r="N49" s="9">
        <f t="shared" si="4"/>
        <v>0</v>
      </c>
      <c r="P49" s="26" t="s">
        <v>3039</v>
      </c>
    </row>
    <row r="50" spans="1:16" ht="14.5" x14ac:dyDescent="0.35">
      <c r="A50" s="26" t="s">
        <v>3040</v>
      </c>
      <c r="B50" s="26" t="s">
        <v>3041</v>
      </c>
      <c r="C50" s="26" t="s">
        <v>3041</v>
      </c>
      <c r="D50" s="26" t="s">
        <v>3041</v>
      </c>
      <c r="E50">
        <v>1.8</v>
      </c>
      <c r="F50">
        <v>0.9</v>
      </c>
      <c r="G50" s="24">
        <v>18</v>
      </c>
      <c r="H50" s="24" t="s">
        <v>3003</v>
      </c>
      <c r="I50" t="s">
        <v>2979</v>
      </c>
      <c r="J50" s="9">
        <v>1</v>
      </c>
      <c r="K50" s="16">
        <f t="shared" si="2"/>
        <v>1.62</v>
      </c>
      <c r="L50" s="9">
        <f>IFERROR(SUMIF(CALCULO_LOTE!$B$10:$B$59,B50,CALCULO_LOTE!$C$10:$C$59),0)</f>
        <v>0</v>
      </c>
      <c r="M50" s="9">
        <f t="shared" si="3"/>
        <v>0</v>
      </c>
      <c r="N50" s="9">
        <f t="shared" si="4"/>
        <v>0</v>
      </c>
      <c r="P50" s="26" t="s">
        <v>3041</v>
      </c>
    </row>
    <row r="51" spans="1:16" ht="14.5" x14ac:dyDescent="0.35">
      <c r="A51" s="26" t="s">
        <v>3042</v>
      </c>
      <c r="B51" s="26" t="s">
        <v>3043</v>
      </c>
      <c r="C51" s="26" t="s">
        <v>3043</v>
      </c>
      <c r="D51" s="26" t="s">
        <v>3043</v>
      </c>
      <c r="E51">
        <v>1.36</v>
      </c>
      <c r="F51">
        <v>0.9</v>
      </c>
      <c r="G51" s="24">
        <v>15</v>
      </c>
      <c r="H51" s="24" t="s">
        <v>3003</v>
      </c>
      <c r="I51" t="s">
        <v>2981</v>
      </c>
      <c r="J51" s="9">
        <v>1</v>
      </c>
      <c r="K51" s="16">
        <f t="shared" si="2"/>
        <v>1.2240000000000002</v>
      </c>
      <c r="L51" s="9">
        <f>IFERROR(SUMIF(CALCULO_LOTE!$B$10:$B$59,B51,CALCULO_LOTE!$C$10:$C$59),0)</f>
        <v>0</v>
      </c>
      <c r="M51" s="9">
        <f t="shared" si="3"/>
        <v>0</v>
      </c>
      <c r="N51" s="9">
        <f t="shared" si="4"/>
        <v>0</v>
      </c>
      <c r="P51" s="26" t="s">
        <v>3043</v>
      </c>
    </row>
    <row r="52" spans="1:16" ht="14.5" x14ac:dyDescent="0.35">
      <c r="A52" s="26" t="s">
        <v>3044</v>
      </c>
      <c r="B52" s="26" t="s">
        <v>3045</v>
      </c>
      <c r="C52" s="26" t="s">
        <v>3045</v>
      </c>
      <c r="D52" s="26" t="s">
        <v>3045</v>
      </c>
      <c r="E52">
        <v>1.6</v>
      </c>
      <c r="F52">
        <v>0.9</v>
      </c>
      <c r="G52" s="24">
        <v>15</v>
      </c>
      <c r="H52" s="24" t="s">
        <v>3003</v>
      </c>
      <c r="I52" t="s">
        <v>2981</v>
      </c>
      <c r="J52" s="9">
        <v>1</v>
      </c>
      <c r="K52" s="16">
        <f t="shared" si="2"/>
        <v>1.4400000000000002</v>
      </c>
      <c r="L52" s="9">
        <f>IFERROR(SUMIF(CALCULO_LOTE!$B$10:$B$59,B52,CALCULO_LOTE!$C$10:$C$59),0)</f>
        <v>0</v>
      </c>
      <c r="M52" s="9">
        <f t="shared" si="3"/>
        <v>0</v>
      </c>
      <c r="N52" s="9">
        <f t="shared" si="4"/>
        <v>0</v>
      </c>
      <c r="P52" s="26" t="s">
        <v>3045</v>
      </c>
    </row>
    <row r="53" spans="1:16" ht="14.5" x14ac:dyDescent="0.35">
      <c r="A53" s="26" t="s">
        <v>3046</v>
      </c>
      <c r="B53" s="26" t="s">
        <v>3047</v>
      </c>
      <c r="C53" s="26" t="s">
        <v>3047</v>
      </c>
      <c r="D53" s="26" t="s">
        <v>3047</v>
      </c>
      <c r="E53">
        <v>1.03</v>
      </c>
      <c r="F53">
        <v>1.03</v>
      </c>
      <c r="G53" s="24">
        <v>25</v>
      </c>
      <c r="H53" s="24" t="s">
        <v>3003</v>
      </c>
      <c r="I53" t="s">
        <v>2977</v>
      </c>
      <c r="J53" s="9">
        <v>1</v>
      </c>
      <c r="K53" s="16">
        <f t="shared" si="2"/>
        <v>1.0609</v>
      </c>
      <c r="L53" s="9">
        <f>IFERROR(SUMIF(CALCULO_LOTE!$B$10:$B$59,B53,CALCULO_LOTE!$C$10:$C$59),0)</f>
        <v>0</v>
      </c>
      <c r="M53" s="9">
        <f t="shared" si="3"/>
        <v>0</v>
      </c>
      <c r="N53" s="9">
        <f t="shared" si="4"/>
        <v>0</v>
      </c>
      <c r="P53" s="26" t="s">
        <v>3047</v>
      </c>
    </row>
    <row r="54" spans="1:16" ht="14.5" x14ac:dyDescent="0.35">
      <c r="A54" s="26" t="s">
        <v>3048</v>
      </c>
      <c r="B54" s="26" t="s">
        <v>3049</v>
      </c>
      <c r="C54" s="26" t="s">
        <v>3049</v>
      </c>
      <c r="D54" s="26" t="s">
        <v>3049</v>
      </c>
      <c r="E54">
        <v>1.03</v>
      </c>
      <c r="F54">
        <v>1.03</v>
      </c>
      <c r="G54" s="24">
        <v>25</v>
      </c>
      <c r="H54" s="24" t="s">
        <v>3003</v>
      </c>
      <c r="I54" t="s">
        <v>2977</v>
      </c>
      <c r="J54" s="9">
        <v>1</v>
      </c>
      <c r="K54" s="16">
        <f t="shared" si="2"/>
        <v>1.0609</v>
      </c>
      <c r="L54" s="9">
        <f>IFERROR(SUMIF(CALCULO_LOTE!$B$10:$B$59,B54,CALCULO_LOTE!$C$10:$C$59),0)</f>
        <v>0</v>
      </c>
      <c r="M54" s="9">
        <f t="shared" si="3"/>
        <v>0</v>
      </c>
      <c r="N54" s="9">
        <f t="shared" si="4"/>
        <v>0</v>
      </c>
      <c r="P54" s="26" t="s">
        <v>3049</v>
      </c>
    </row>
    <row r="55" spans="1:16" ht="14.5" x14ac:dyDescent="0.35">
      <c r="A55" s="26" t="s">
        <v>3050</v>
      </c>
      <c r="B55" s="26" t="s">
        <v>3051</v>
      </c>
      <c r="C55" s="26" t="s">
        <v>3051</v>
      </c>
      <c r="D55" s="26" t="s">
        <v>3051</v>
      </c>
      <c r="E55">
        <v>1.03</v>
      </c>
      <c r="F55">
        <v>1.03</v>
      </c>
      <c r="G55" s="24">
        <v>18</v>
      </c>
      <c r="H55" s="24" t="s">
        <v>3003</v>
      </c>
      <c r="I55" t="s">
        <v>2979</v>
      </c>
      <c r="J55" s="9">
        <v>1</v>
      </c>
      <c r="K55" s="16">
        <f t="shared" si="2"/>
        <v>1.0609</v>
      </c>
      <c r="L55" s="9">
        <f>IFERROR(SUMIF(CALCULO_LOTE!$B$10:$B$59,B55,CALCULO_LOTE!$C$10:$C$59),0)</f>
        <v>0</v>
      </c>
      <c r="M55" s="9">
        <f t="shared" si="3"/>
        <v>0</v>
      </c>
      <c r="N55" s="9">
        <f t="shared" si="4"/>
        <v>0</v>
      </c>
      <c r="P55" s="26" t="s">
        <v>3051</v>
      </c>
    </row>
    <row r="56" spans="1:16" ht="14.5" x14ac:dyDescent="0.35">
      <c r="A56" s="26" t="s">
        <v>3052</v>
      </c>
      <c r="B56" s="26" t="s">
        <v>3053</v>
      </c>
      <c r="C56" s="26" t="s">
        <v>3053</v>
      </c>
      <c r="D56" s="26" t="s">
        <v>3053</v>
      </c>
      <c r="E56">
        <v>0.9</v>
      </c>
      <c r="F56">
        <v>0.9</v>
      </c>
      <c r="G56" s="24">
        <v>18</v>
      </c>
      <c r="H56" s="24" t="s">
        <v>3003</v>
      </c>
      <c r="I56" t="s">
        <v>2979</v>
      </c>
      <c r="J56" s="9">
        <v>1</v>
      </c>
      <c r="K56" s="16">
        <f t="shared" si="2"/>
        <v>0.81</v>
      </c>
      <c r="L56" s="9">
        <f>IFERROR(SUMIF(CALCULO_LOTE!$B$10:$B$59,B56,CALCULO_LOTE!$C$10:$C$59),0)</f>
        <v>0</v>
      </c>
      <c r="M56" s="9">
        <f t="shared" si="3"/>
        <v>0</v>
      </c>
      <c r="N56" s="9">
        <f t="shared" si="4"/>
        <v>0</v>
      </c>
      <c r="P56" s="26" t="s">
        <v>3053</v>
      </c>
    </row>
    <row r="57" spans="1:16" ht="14.5" x14ac:dyDescent="0.35">
      <c r="A57" s="26" t="s">
        <v>3054</v>
      </c>
      <c r="B57" s="26" t="s">
        <v>3055</v>
      </c>
      <c r="C57" s="26" t="s">
        <v>3055</v>
      </c>
      <c r="D57" s="26" t="s">
        <v>3055</v>
      </c>
      <c r="E57">
        <v>1.2</v>
      </c>
      <c r="F57">
        <v>0.9</v>
      </c>
      <c r="G57" s="24">
        <v>18</v>
      </c>
      <c r="H57" s="24" t="s">
        <v>3003</v>
      </c>
      <c r="I57" t="s">
        <v>2979</v>
      </c>
      <c r="J57" s="9">
        <v>1</v>
      </c>
      <c r="K57" s="16">
        <f t="shared" si="2"/>
        <v>1.08</v>
      </c>
      <c r="L57" s="9">
        <f>IFERROR(SUMIF(CALCULO_LOTE!$B$10:$B$59,B57,CALCULO_LOTE!$C$10:$C$59),0)</f>
        <v>0</v>
      </c>
      <c r="M57" s="9">
        <f t="shared" si="3"/>
        <v>0</v>
      </c>
      <c r="N57" s="9">
        <f t="shared" si="4"/>
        <v>0</v>
      </c>
      <c r="P57" s="26" t="s">
        <v>3055</v>
      </c>
    </row>
    <row r="58" spans="1:16" ht="14.5" x14ac:dyDescent="0.35">
      <c r="A58" s="26" t="s">
        <v>3056</v>
      </c>
      <c r="B58" s="26" t="s">
        <v>3057</v>
      </c>
      <c r="C58" s="26" t="s">
        <v>3057</v>
      </c>
      <c r="D58" s="26" t="s">
        <v>3057</v>
      </c>
      <c r="E58">
        <v>1.03</v>
      </c>
      <c r="F58">
        <v>1.03</v>
      </c>
      <c r="G58" s="24">
        <v>18</v>
      </c>
      <c r="H58" s="24" t="s">
        <v>3003</v>
      </c>
      <c r="I58" t="s">
        <v>2979</v>
      </c>
      <c r="J58" s="9">
        <v>1</v>
      </c>
      <c r="K58" s="16">
        <f t="shared" si="2"/>
        <v>1.0609</v>
      </c>
      <c r="L58" s="9">
        <f>IFERROR(SUMIF(CALCULO_LOTE!$B$10:$B$59,B58,CALCULO_LOTE!$C$10:$C$59),0)</f>
        <v>0</v>
      </c>
      <c r="M58" s="9">
        <f t="shared" si="3"/>
        <v>0</v>
      </c>
      <c r="N58" s="9">
        <f t="shared" si="4"/>
        <v>0</v>
      </c>
      <c r="P58" s="26" t="s">
        <v>3057</v>
      </c>
    </row>
    <row r="59" spans="1:16" ht="14.5" x14ac:dyDescent="0.35">
      <c r="A59" s="26" t="s">
        <v>3058</v>
      </c>
      <c r="B59" s="26" t="s">
        <v>3059</v>
      </c>
      <c r="C59" s="26" t="s">
        <v>3059</v>
      </c>
      <c r="D59" s="26" t="s">
        <v>3059</v>
      </c>
      <c r="E59">
        <v>0.9</v>
      </c>
      <c r="F59">
        <v>0.9</v>
      </c>
      <c r="G59" s="24">
        <v>18</v>
      </c>
      <c r="H59" s="24" t="s">
        <v>3003</v>
      </c>
      <c r="I59" t="s">
        <v>2979</v>
      </c>
      <c r="J59" s="9">
        <v>1</v>
      </c>
      <c r="K59" s="16">
        <f t="shared" si="2"/>
        <v>0.81</v>
      </c>
      <c r="L59" s="9">
        <f>IFERROR(SUMIF(CALCULO_LOTE!$B$10:$B$59,B59,CALCULO_LOTE!$C$10:$C$59),0)</f>
        <v>0</v>
      </c>
      <c r="M59" s="9">
        <f t="shared" si="3"/>
        <v>0</v>
      </c>
      <c r="N59" s="9">
        <f t="shared" si="4"/>
        <v>0</v>
      </c>
      <c r="P59" s="26" t="s">
        <v>3059</v>
      </c>
    </row>
    <row r="60" spans="1:16" ht="14.5" x14ac:dyDescent="0.35">
      <c r="A60" s="26" t="s">
        <v>3060</v>
      </c>
      <c r="B60" s="26" t="s">
        <v>3061</v>
      </c>
      <c r="C60" s="26" t="s">
        <v>3061</v>
      </c>
      <c r="D60" s="26" t="s">
        <v>3061</v>
      </c>
      <c r="E60">
        <v>1.2</v>
      </c>
      <c r="F60">
        <v>0.9</v>
      </c>
      <c r="G60" s="24">
        <v>18</v>
      </c>
      <c r="H60" s="24" t="s">
        <v>3003</v>
      </c>
      <c r="I60" t="s">
        <v>2979</v>
      </c>
      <c r="J60" s="9">
        <v>1</v>
      </c>
      <c r="K60" s="16">
        <f t="shared" si="2"/>
        <v>1.08</v>
      </c>
      <c r="L60" s="9">
        <f>IFERROR(SUMIF(CALCULO_LOTE!$B$10:$B$59,B60,CALCULO_LOTE!$C$10:$C$59),0)</f>
        <v>0</v>
      </c>
      <c r="M60" s="9">
        <f t="shared" si="3"/>
        <v>0</v>
      </c>
      <c r="N60" s="9">
        <f t="shared" si="4"/>
        <v>0</v>
      </c>
      <c r="P60" s="26" t="s">
        <v>3061</v>
      </c>
    </row>
    <row r="61" spans="1:16" ht="14.5" x14ac:dyDescent="0.35">
      <c r="A61" s="26" t="s">
        <v>3062</v>
      </c>
      <c r="B61" s="26" t="s">
        <v>3063</v>
      </c>
      <c r="C61" s="26" t="s">
        <v>3063</v>
      </c>
      <c r="D61" s="26" t="s">
        <v>3063</v>
      </c>
      <c r="E61">
        <v>1.36</v>
      </c>
      <c r="F61">
        <v>0.9</v>
      </c>
      <c r="G61" s="24">
        <v>18</v>
      </c>
      <c r="H61" s="24" t="s">
        <v>3003</v>
      </c>
      <c r="I61" t="s">
        <v>2979</v>
      </c>
      <c r="J61" s="9">
        <v>1</v>
      </c>
      <c r="K61" s="16">
        <f t="shared" si="2"/>
        <v>1.2240000000000002</v>
      </c>
      <c r="L61" s="9">
        <f>IFERROR(SUMIF(CALCULO_LOTE!$B$10:$B$59,B61,CALCULO_LOTE!$C$10:$C$59),0)</f>
        <v>0</v>
      </c>
      <c r="M61" s="9">
        <f t="shared" si="3"/>
        <v>0</v>
      </c>
      <c r="N61" s="9">
        <f t="shared" si="4"/>
        <v>0</v>
      </c>
      <c r="P61" s="26" t="s">
        <v>3063</v>
      </c>
    </row>
    <row r="62" spans="1:16" ht="14.5" x14ac:dyDescent="0.35">
      <c r="A62" s="26" t="s">
        <v>3064</v>
      </c>
      <c r="B62" s="26" t="s">
        <v>3065</v>
      </c>
      <c r="C62" s="26" t="s">
        <v>3065</v>
      </c>
      <c r="D62" s="26" t="s">
        <v>3065</v>
      </c>
      <c r="E62">
        <v>1.03</v>
      </c>
      <c r="F62">
        <v>1.03</v>
      </c>
      <c r="G62" s="24">
        <v>25</v>
      </c>
      <c r="H62" s="24" t="s">
        <v>3003</v>
      </c>
      <c r="I62" t="s">
        <v>2977</v>
      </c>
      <c r="J62" s="9">
        <v>1</v>
      </c>
      <c r="K62" s="16">
        <f t="shared" si="2"/>
        <v>1.0609</v>
      </c>
      <c r="L62" s="9">
        <f>IFERROR(SUMIF(CALCULO_LOTE!$B$10:$B$59,B62,CALCULO_LOTE!$C$10:$C$59),0)</f>
        <v>0</v>
      </c>
      <c r="M62" s="9">
        <f t="shared" si="3"/>
        <v>0</v>
      </c>
      <c r="N62" s="9">
        <f t="shared" si="4"/>
        <v>0</v>
      </c>
      <c r="P62" s="26" t="s">
        <v>3065</v>
      </c>
    </row>
    <row r="63" spans="1:16" ht="14.5" x14ac:dyDescent="0.35">
      <c r="A63" s="26" t="s">
        <v>3066</v>
      </c>
      <c r="B63" s="26" t="s">
        <v>3067</v>
      </c>
      <c r="C63" s="26" t="s">
        <v>3067</v>
      </c>
      <c r="D63" s="26" t="s">
        <v>3067</v>
      </c>
      <c r="E63">
        <v>1.2</v>
      </c>
      <c r="F63">
        <v>0.9</v>
      </c>
      <c r="G63" s="24">
        <v>25</v>
      </c>
      <c r="H63" s="24" t="s">
        <v>3003</v>
      </c>
      <c r="I63" t="s">
        <v>2977</v>
      </c>
      <c r="J63" s="9">
        <v>1</v>
      </c>
      <c r="K63" s="16">
        <f t="shared" si="2"/>
        <v>1.08</v>
      </c>
      <c r="L63" s="9">
        <f>IFERROR(SUMIF(CALCULO_LOTE!$B$10:$B$59,B63,CALCULO_LOTE!$C$10:$C$59),0)</f>
        <v>0</v>
      </c>
      <c r="M63" s="9">
        <f t="shared" si="3"/>
        <v>0</v>
      </c>
      <c r="N63" s="9">
        <f t="shared" si="4"/>
        <v>0</v>
      </c>
      <c r="P63" s="26" t="s">
        <v>3067</v>
      </c>
    </row>
    <row r="64" spans="1:16" ht="14.5" x14ac:dyDescent="0.35">
      <c r="A64" s="26" t="s">
        <v>3068</v>
      </c>
      <c r="B64" s="26" t="s">
        <v>3069</v>
      </c>
      <c r="C64" s="26" t="s">
        <v>3069</v>
      </c>
      <c r="D64" s="26" t="s">
        <v>3069</v>
      </c>
      <c r="E64">
        <v>1.36</v>
      </c>
      <c r="F64">
        <v>0.9</v>
      </c>
      <c r="G64" s="24">
        <v>25</v>
      </c>
      <c r="H64" s="24" t="s">
        <v>3003</v>
      </c>
      <c r="I64" t="s">
        <v>2977</v>
      </c>
      <c r="J64" s="9">
        <v>1</v>
      </c>
      <c r="K64" s="16">
        <f t="shared" si="2"/>
        <v>1.2240000000000002</v>
      </c>
      <c r="L64" s="9">
        <f>IFERROR(SUMIF(CALCULO_LOTE!$B$10:$B$59,B64,CALCULO_LOTE!$C$10:$C$59),0)</f>
        <v>0</v>
      </c>
      <c r="M64" s="9">
        <f t="shared" si="3"/>
        <v>0</v>
      </c>
      <c r="N64" s="9">
        <f t="shared" si="4"/>
        <v>0</v>
      </c>
      <c r="P64" s="26" t="s">
        <v>3069</v>
      </c>
    </row>
    <row r="65" spans="1:16" ht="14.5" x14ac:dyDescent="0.35">
      <c r="A65" s="26" t="s">
        <v>3070</v>
      </c>
      <c r="B65" s="26" t="s">
        <v>3071</v>
      </c>
      <c r="C65" s="26" t="s">
        <v>3071</v>
      </c>
      <c r="D65" s="26" t="s">
        <v>3071</v>
      </c>
      <c r="E65">
        <v>1.6</v>
      </c>
      <c r="F65">
        <v>0.9</v>
      </c>
      <c r="G65" s="24">
        <v>25</v>
      </c>
      <c r="H65" s="24" t="s">
        <v>3003</v>
      </c>
      <c r="I65" t="s">
        <v>2977</v>
      </c>
      <c r="J65" s="9">
        <v>1</v>
      </c>
      <c r="K65" s="16">
        <f t="shared" si="2"/>
        <v>1.4400000000000002</v>
      </c>
      <c r="L65" s="9">
        <f>IFERROR(SUMIF(CALCULO_LOTE!$B$10:$B$59,B65,CALCULO_LOTE!$C$10:$C$59),0)</f>
        <v>0</v>
      </c>
      <c r="M65" s="9">
        <f t="shared" si="3"/>
        <v>0</v>
      </c>
      <c r="N65" s="9">
        <f t="shared" si="4"/>
        <v>0</v>
      </c>
      <c r="P65" s="26" t="s">
        <v>3071</v>
      </c>
    </row>
    <row r="66" spans="1:16" ht="14.5" x14ac:dyDescent="0.35">
      <c r="A66" s="26" t="s">
        <v>3072</v>
      </c>
      <c r="B66" s="26" t="s">
        <v>3073</v>
      </c>
      <c r="C66" s="26" t="s">
        <v>3073</v>
      </c>
      <c r="D66" s="26" t="s">
        <v>3073</v>
      </c>
      <c r="E66">
        <v>1.8</v>
      </c>
      <c r="F66">
        <v>0.9</v>
      </c>
      <c r="G66" s="24">
        <v>25</v>
      </c>
      <c r="H66" s="24" t="s">
        <v>3003</v>
      </c>
      <c r="I66" t="s">
        <v>2977</v>
      </c>
      <c r="J66" s="9">
        <v>1</v>
      </c>
      <c r="K66" s="16">
        <f t="shared" si="2"/>
        <v>1.62</v>
      </c>
      <c r="L66" s="9">
        <f>IFERROR(SUMIF(CALCULO_LOTE!$B$10:$B$59,B66,CALCULO_LOTE!$C$10:$C$59),0)</f>
        <v>0</v>
      </c>
      <c r="M66" s="9">
        <f t="shared" si="3"/>
        <v>0</v>
      </c>
      <c r="N66" s="9">
        <f t="shared" si="4"/>
        <v>0</v>
      </c>
      <c r="P66" s="26" t="s">
        <v>3073</v>
      </c>
    </row>
    <row r="67" spans="1:16" ht="14.5" x14ac:dyDescent="0.35">
      <c r="A67" s="26" t="s">
        <v>3074</v>
      </c>
      <c r="B67" s="26" t="s">
        <v>3075</v>
      </c>
      <c r="C67" s="26" t="s">
        <v>3075</v>
      </c>
      <c r="D67" s="26" t="s">
        <v>3075</v>
      </c>
      <c r="E67">
        <v>1.36</v>
      </c>
      <c r="F67">
        <v>1.36</v>
      </c>
      <c r="G67" s="24">
        <v>25</v>
      </c>
      <c r="H67" s="24" t="s">
        <v>3003</v>
      </c>
      <c r="I67" t="s">
        <v>2977</v>
      </c>
      <c r="J67" s="9">
        <v>1</v>
      </c>
      <c r="K67" s="16">
        <f t="shared" si="2"/>
        <v>1.8496000000000004</v>
      </c>
      <c r="L67" s="9">
        <f>IFERROR(SUMIF(CALCULO_LOTE!$B$10:$B$59,B67,CALCULO_LOTE!$C$10:$C$59),0)</f>
        <v>0</v>
      </c>
      <c r="M67" s="9">
        <f t="shared" si="3"/>
        <v>0</v>
      </c>
      <c r="N67" s="9">
        <f t="shared" si="4"/>
        <v>0</v>
      </c>
      <c r="P67" s="26" t="s">
        <v>3075</v>
      </c>
    </row>
    <row r="68" spans="1:16" ht="14.5" x14ac:dyDescent="0.35">
      <c r="A68" s="26" t="s">
        <v>3076</v>
      </c>
      <c r="B68" s="26" t="s">
        <v>3077</v>
      </c>
      <c r="C68" s="26" t="s">
        <v>3077</v>
      </c>
      <c r="D68" s="26" t="s">
        <v>3077</v>
      </c>
      <c r="E68">
        <v>2</v>
      </c>
      <c r="F68">
        <v>0.9</v>
      </c>
      <c r="G68" s="24">
        <v>18</v>
      </c>
      <c r="H68" s="24" t="s">
        <v>3003</v>
      </c>
      <c r="I68" t="s">
        <v>2979</v>
      </c>
      <c r="J68" s="9">
        <v>1</v>
      </c>
      <c r="K68" s="16">
        <f t="shared" si="2"/>
        <v>1.8</v>
      </c>
      <c r="L68" s="9">
        <f>IFERROR(SUMIF(CALCULO_LOTE!$B$10:$B$59,B68,CALCULO_LOTE!$C$10:$C$59),0)</f>
        <v>0</v>
      </c>
      <c r="M68" s="9">
        <f t="shared" si="3"/>
        <v>0</v>
      </c>
      <c r="N68" s="9">
        <f t="shared" si="4"/>
        <v>0</v>
      </c>
      <c r="P68" s="26" t="s">
        <v>3077</v>
      </c>
    </row>
    <row r="69" spans="1:16" ht="14.5" x14ac:dyDescent="0.35">
      <c r="A69" s="26" t="s">
        <v>3078</v>
      </c>
      <c r="B69" s="26" t="s">
        <v>3079</v>
      </c>
      <c r="C69" s="26" t="s">
        <v>3079</v>
      </c>
      <c r="D69" s="26" t="s">
        <v>3079</v>
      </c>
      <c r="E69">
        <v>1.36</v>
      </c>
      <c r="F69">
        <v>0.9</v>
      </c>
      <c r="G69" s="24">
        <v>25</v>
      </c>
      <c r="H69" s="24" t="s">
        <v>3003</v>
      </c>
      <c r="I69" t="s">
        <v>2977</v>
      </c>
      <c r="J69" s="9">
        <v>1</v>
      </c>
      <c r="K69" s="16">
        <f t="shared" si="2"/>
        <v>1.2240000000000002</v>
      </c>
      <c r="L69" s="9">
        <f>IFERROR(SUMIF(CALCULO_LOTE!$B$10:$B$59,B69,CALCULO_LOTE!$C$10:$C$59),0)</f>
        <v>0</v>
      </c>
      <c r="M69" s="9">
        <f t="shared" si="3"/>
        <v>0</v>
      </c>
      <c r="N69" s="9">
        <f t="shared" si="4"/>
        <v>0</v>
      </c>
      <c r="P69" s="26" t="s">
        <v>3079</v>
      </c>
    </row>
    <row r="70" spans="1:16" ht="14.5" x14ac:dyDescent="0.35">
      <c r="A70" s="26" t="s">
        <v>3080</v>
      </c>
      <c r="B70" s="26" t="s">
        <v>3081</v>
      </c>
      <c r="C70" s="26" t="s">
        <v>3081</v>
      </c>
      <c r="D70" s="26" t="s">
        <v>3081</v>
      </c>
      <c r="E70">
        <v>1.36</v>
      </c>
      <c r="F70">
        <v>0.9</v>
      </c>
      <c r="G70" s="24">
        <v>25</v>
      </c>
      <c r="H70" s="24" t="s">
        <v>3003</v>
      </c>
      <c r="I70" t="s">
        <v>2977</v>
      </c>
      <c r="J70" s="9">
        <v>1</v>
      </c>
      <c r="K70" s="16">
        <f t="shared" si="2"/>
        <v>1.2240000000000002</v>
      </c>
      <c r="L70" s="9">
        <f>IFERROR(SUMIF(CALCULO_LOTE!$B$10:$B$59,B70,CALCULO_LOTE!$C$10:$C$59),0)</f>
        <v>0</v>
      </c>
      <c r="M70" s="9">
        <f t="shared" si="3"/>
        <v>0</v>
      </c>
      <c r="N70" s="9">
        <f t="shared" si="4"/>
        <v>0</v>
      </c>
      <c r="P70" s="26" t="s">
        <v>3081</v>
      </c>
    </row>
    <row r="71" spans="1:16" ht="14.5" x14ac:dyDescent="0.35">
      <c r="A71" s="26" t="s">
        <v>3082</v>
      </c>
      <c r="B71" s="26" t="s">
        <v>3083</v>
      </c>
      <c r="C71" s="26" t="s">
        <v>3083</v>
      </c>
      <c r="D71" s="26" t="s">
        <v>3083</v>
      </c>
      <c r="E71">
        <v>1.36</v>
      </c>
      <c r="F71">
        <v>0.9</v>
      </c>
      <c r="G71" s="24">
        <v>18</v>
      </c>
      <c r="H71" s="24" t="s">
        <v>3003</v>
      </c>
      <c r="I71" t="s">
        <v>2979</v>
      </c>
      <c r="J71" s="9">
        <v>1</v>
      </c>
      <c r="K71" s="16">
        <f t="shared" si="2"/>
        <v>1.2240000000000002</v>
      </c>
      <c r="L71" s="9">
        <f>IFERROR(SUMIF(CALCULO_LOTE!$B$10:$B$59,B71,CALCULO_LOTE!$C$10:$C$59),0)</f>
        <v>0</v>
      </c>
      <c r="M71" s="9">
        <f t="shared" si="3"/>
        <v>0</v>
      </c>
      <c r="N71" s="9">
        <f t="shared" si="4"/>
        <v>0</v>
      </c>
      <c r="P71" s="26" t="s">
        <v>3083</v>
      </c>
    </row>
    <row r="72" spans="1:16" ht="14.5" x14ac:dyDescent="0.35">
      <c r="A72" s="26" t="s">
        <v>3084</v>
      </c>
      <c r="B72" s="26" t="s">
        <v>3085</v>
      </c>
      <c r="C72" s="26" t="s">
        <v>3085</v>
      </c>
      <c r="D72" s="26" t="s">
        <v>3085</v>
      </c>
      <c r="E72">
        <v>1.6</v>
      </c>
      <c r="F72">
        <v>0.9</v>
      </c>
      <c r="G72" s="24">
        <v>25</v>
      </c>
      <c r="H72" s="24" t="s">
        <v>3003</v>
      </c>
      <c r="I72" t="s">
        <v>2977</v>
      </c>
      <c r="J72" s="9">
        <v>1</v>
      </c>
      <c r="K72" s="16">
        <f t="shared" si="2"/>
        <v>1.4400000000000002</v>
      </c>
      <c r="L72" s="9">
        <f>IFERROR(SUMIF(CALCULO_LOTE!$B$10:$B$59,B72,CALCULO_LOTE!$C$10:$C$59),0)</f>
        <v>0</v>
      </c>
      <c r="M72" s="9">
        <f t="shared" ref="M72:M102" si="5">IFERROR(L72*J72,0)</f>
        <v>0</v>
      </c>
      <c r="N72" s="9">
        <f t="shared" ref="N72:N102" si="6">IFERROR(M72*K72,0)</f>
        <v>0</v>
      </c>
      <c r="P72" s="26" t="s">
        <v>3085</v>
      </c>
    </row>
    <row r="73" spans="1:16" ht="14.5" x14ac:dyDescent="0.35">
      <c r="A73" s="26" t="s">
        <v>3086</v>
      </c>
      <c r="B73" s="26" t="s">
        <v>3087</v>
      </c>
      <c r="C73" s="26" t="s">
        <v>3087</v>
      </c>
      <c r="D73" s="26" t="s">
        <v>3087</v>
      </c>
      <c r="E73">
        <v>1.6</v>
      </c>
      <c r="F73">
        <v>0.9</v>
      </c>
      <c r="G73" s="24">
        <v>25</v>
      </c>
      <c r="H73" s="24" t="s">
        <v>3003</v>
      </c>
      <c r="I73" t="s">
        <v>2977</v>
      </c>
      <c r="J73" s="9">
        <v>1</v>
      </c>
      <c r="K73" s="16">
        <f t="shared" ref="K73:K154" si="7">IFERROR(E73*F73,0)*J73</f>
        <v>1.4400000000000002</v>
      </c>
      <c r="L73" s="9">
        <f>IFERROR(SUMIF(CALCULO_LOTE!$B$10:$B$59,B73,CALCULO_LOTE!$C$10:$C$59),0)</f>
        <v>0</v>
      </c>
      <c r="M73" s="9">
        <f t="shared" si="5"/>
        <v>0</v>
      </c>
      <c r="N73" s="9">
        <f t="shared" si="6"/>
        <v>0</v>
      </c>
      <c r="P73" s="26" t="s">
        <v>3087</v>
      </c>
    </row>
    <row r="74" spans="1:16" ht="14.5" x14ac:dyDescent="0.35">
      <c r="A74" s="26" t="s">
        <v>3088</v>
      </c>
      <c r="B74" s="26" t="s">
        <v>3089</v>
      </c>
      <c r="C74" s="26" t="s">
        <v>3089</v>
      </c>
      <c r="D74" s="26" t="s">
        <v>3089</v>
      </c>
      <c r="E74">
        <v>1.6</v>
      </c>
      <c r="F74">
        <v>0.9</v>
      </c>
      <c r="G74" s="24">
        <v>18</v>
      </c>
      <c r="H74" s="24" t="s">
        <v>3003</v>
      </c>
      <c r="I74" t="s">
        <v>2979</v>
      </c>
      <c r="J74" s="9">
        <v>1</v>
      </c>
      <c r="K74" s="16">
        <f t="shared" si="7"/>
        <v>1.4400000000000002</v>
      </c>
      <c r="L74" s="9">
        <f>IFERROR(SUMIF(CALCULO_LOTE!$B$10:$B$59,B74,CALCULO_LOTE!$C$10:$C$59),0)</f>
        <v>0</v>
      </c>
      <c r="M74" s="9">
        <f t="shared" si="5"/>
        <v>0</v>
      </c>
      <c r="N74" s="9">
        <f t="shared" si="6"/>
        <v>0</v>
      </c>
      <c r="P74" s="26" t="s">
        <v>3089</v>
      </c>
    </row>
    <row r="75" spans="1:16" ht="14.5" x14ac:dyDescent="0.35">
      <c r="A75" s="26" t="s">
        <v>3090</v>
      </c>
      <c r="B75" s="26" t="s">
        <v>3091</v>
      </c>
      <c r="C75" s="26" t="s">
        <v>3091</v>
      </c>
      <c r="D75" s="26" t="s">
        <v>3091</v>
      </c>
      <c r="E75">
        <v>1.8</v>
      </c>
      <c r="F75">
        <v>0.9</v>
      </c>
      <c r="G75" s="24">
        <v>25</v>
      </c>
      <c r="H75" s="24" t="s">
        <v>3003</v>
      </c>
      <c r="I75" t="s">
        <v>2977</v>
      </c>
      <c r="J75" s="9">
        <v>1</v>
      </c>
      <c r="K75" s="16">
        <f t="shared" si="7"/>
        <v>1.62</v>
      </c>
      <c r="L75" s="9">
        <f>IFERROR(SUMIF(CALCULO_LOTE!$B$10:$B$59,B75,CALCULO_LOTE!$C$10:$C$59),0)</f>
        <v>0</v>
      </c>
      <c r="M75" s="9">
        <f t="shared" si="5"/>
        <v>0</v>
      </c>
      <c r="N75" s="9">
        <f t="shared" si="6"/>
        <v>0</v>
      </c>
      <c r="P75" s="26" t="s">
        <v>3091</v>
      </c>
    </row>
    <row r="76" spans="1:16" ht="14.5" x14ac:dyDescent="0.35">
      <c r="A76" s="26" t="s">
        <v>3092</v>
      </c>
      <c r="B76" s="26" t="s">
        <v>3093</v>
      </c>
      <c r="C76" s="26" t="s">
        <v>3093</v>
      </c>
      <c r="D76" s="26" t="s">
        <v>3093</v>
      </c>
      <c r="E76">
        <v>1.8</v>
      </c>
      <c r="F76">
        <v>0.9</v>
      </c>
      <c r="G76" s="24">
        <v>25</v>
      </c>
      <c r="H76" s="24" t="s">
        <v>3003</v>
      </c>
      <c r="I76" t="s">
        <v>2977</v>
      </c>
      <c r="J76" s="9">
        <v>1</v>
      </c>
      <c r="K76" s="16">
        <f t="shared" si="7"/>
        <v>1.62</v>
      </c>
      <c r="L76" s="9">
        <f>IFERROR(SUMIF(CALCULO_LOTE!$B$10:$B$59,B76,CALCULO_LOTE!$C$10:$C$59),0)</f>
        <v>0</v>
      </c>
      <c r="M76" s="9">
        <f t="shared" si="5"/>
        <v>0</v>
      </c>
      <c r="N76" s="9">
        <f t="shared" si="6"/>
        <v>0</v>
      </c>
      <c r="P76" s="26" t="s">
        <v>3093</v>
      </c>
    </row>
    <row r="77" spans="1:16" ht="14.5" x14ac:dyDescent="0.35">
      <c r="A77" s="26" t="s">
        <v>3094</v>
      </c>
      <c r="B77" s="26" t="s">
        <v>3095</v>
      </c>
      <c r="C77" s="26" t="s">
        <v>3095</v>
      </c>
      <c r="D77" s="26" t="s">
        <v>3095</v>
      </c>
      <c r="E77">
        <v>1.8</v>
      </c>
      <c r="F77">
        <v>0.9</v>
      </c>
      <c r="G77" s="24">
        <v>18</v>
      </c>
      <c r="H77" s="24" t="s">
        <v>3003</v>
      </c>
      <c r="I77" t="s">
        <v>2979</v>
      </c>
      <c r="J77" s="9">
        <v>1</v>
      </c>
      <c r="K77" s="16">
        <f t="shared" si="7"/>
        <v>1.62</v>
      </c>
      <c r="L77" s="9">
        <f>IFERROR(SUMIF(CALCULO_LOTE!$B$10:$B$59,B77,CALCULO_LOTE!$C$10:$C$59),0)</f>
        <v>0</v>
      </c>
      <c r="M77" s="9">
        <f t="shared" si="5"/>
        <v>0</v>
      </c>
      <c r="N77" s="9">
        <f t="shared" si="6"/>
        <v>0</v>
      </c>
      <c r="P77" s="26" t="s">
        <v>3095</v>
      </c>
    </row>
    <row r="78" spans="1:16" ht="14.5" x14ac:dyDescent="0.35">
      <c r="A78" s="26" t="s">
        <v>3096</v>
      </c>
      <c r="B78" s="26" t="s">
        <v>3097</v>
      </c>
      <c r="C78" s="26" t="s">
        <v>3097</v>
      </c>
      <c r="D78" s="26" t="s">
        <v>3097</v>
      </c>
      <c r="E78">
        <v>1.36</v>
      </c>
      <c r="F78">
        <v>0.9</v>
      </c>
      <c r="G78" s="24">
        <v>18</v>
      </c>
      <c r="H78" s="24" t="s">
        <v>3003</v>
      </c>
      <c r="I78" t="s">
        <v>2979</v>
      </c>
      <c r="J78" s="9">
        <v>1</v>
      </c>
      <c r="K78" s="16">
        <f t="shared" si="7"/>
        <v>1.2240000000000002</v>
      </c>
      <c r="L78" s="9">
        <f>IFERROR(SUMIF(CALCULO_LOTE!$B$10:$B$59,B78,CALCULO_LOTE!$C$10:$C$59),0)</f>
        <v>0</v>
      </c>
      <c r="M78" s="9">
        <f t="shared" si="5"/>
        <v>0</v>
      </c>
      <c r="N78" s="9">
        <f t="shared" si="6"/>
        <v>0</v>
      </c>
      <c r="P78" s="26" t="s">
        <v>3097</v>
      </c>
    </row>
    <row r="79" spans="1:16" ht="14.5" x14ac:dyDescent="0.35">
      <c r="A79" s="26" t="s">
        <v>3098</v>
      </c>
      <c r="B79" s="26" t="s">
        <v>3099</v>
      </c>
      <c r="C79" s="26" t="s">
        <v>3099</v>
      </c>
      <c r="D79" s="26" t="s">
        <v>3099</v>
      </c>
      <c r="E79">
        <v>1.36</v>
      </c>
      <c r="F79">
        <v>0.9</v>
      </c>
      <c r="G79" s="24">
        <v>18</v>
      </c>
      <c r="H79" s="24" t="s">
        <v>3003</v>
      </c>
      <c r="I79" t="s">
        <v>2979</v>
      </c>
      <c r="J79" s="9">
        <v>1</v>
      </c>
      <c r="K79" s="16">
        <f t="shared" si="7"/>
        <v>1.2240000000000002</v>
      </c>
      <c r="L79" s="9">
        <f>IFERROR(SUMIF(CALCULO_LOTE!$B$10:$B$59,B79,CALCULO_LOTE!$C$10:$C$59),0)</f>
        <v>0</v>
      </c>
      <c r="M79" s="9">
        <f t="shared" si="5"/>
        <v>0</v>
      </c>
      <c r="N79" s="9">
        <f t="shared" si="6"/>
        <v>0</v>
      </c>
      <c r="P79" s="26" t="s">
        <v>3099</v>
      </c>
    </row>
    <row r="80" spans="1:16" ht="14.5" x14ac:dyDescent="0.35">
      <c r="A80" s="26" t="s">
        <v>3100</v>
      </c>
      <c r="B80" s="26" t="s">
        <v>3101</v>
      </c>
      <c r="C80" s="26" t="s">
        <v>3101</v>
      </c>
      <c r="D80" s="26" t="s">
        <v>3101</v>
      </c>
      <c r="E80">
        <v>1.6</v>
      </c>
      <c r="F80">
        <v>0.9</v>
      </c>
      <c r="G80" s="24">
        <v>18</v>
      </c>
      <c r="H80" s="24" t="s">
        <v>3003</v>
      </c>
      <c r="I80" t="s">
        <v>2979</v>
      </c>
      <c r="J80" s="9">
        <v>1</v>
      </c>
      <c r="K80" s="16">
        <f t="shared" si="7"/>
        <v>1.4400000000000002</v>
      </c>
      <c r="L80" s="9">
        <f>IFERROR(SUMIF(CALCULO_LOTE!$B$10:$B$59,B80,CALCULO_LOTE!$C$10:$C$59),0)</f>
        <v>0</v>
      </c>
      <c r="M80" s="9">
        <f t="shared" si="5"/>
        <v>0</v>
      </c>
      <c r="N80" s="9">
        <f t="shared" si="6"/>
        <v>0</v>
      </c>
      <c r="P80" s="26" t="s">
        <v>3101</v>
      </c>
    </row>
    <row r="81" spans="1:16" ht="14.5" x14ac:dyDescent="0.35">
      <c r="A81" s="26" t="s">
        <v>3102</v>
      </c>
      <c r="B81" s="26" t="s">
        <v>3103</v>
      </c>
      <c r="C81" s="26" t="s">
        <v>3103</v>
      </c>
      <c r="D81" s="26" t="s">
        <v>3103</v>
      </c>
      <c r="E81">
        <v>1.6</v>
      </c>
      <c r="F81">
        <v>0.9</v>
      </c>
      <c r="G81" s="24">
        <v>18</v>
      </c>
      <c r="H81" s="24" t="s">
        <v>3003</v>
      </c>
      <c r="I81" t="s">
        <v>2979</v>
      </c>
      <c r="J81" s="9">
        <v>1</v>
      </c>
      <c r="K81" s="16">
        <f t="shared" si="7"/>
        <v>1.4400000000000002</v>
      </c>
      <c r="L81" s="9">
        <f>IFERROR(SUMIF(CALCULO_LOTE!$B$10:$B$59,B81,CALCULO_LOTE!$C$10:$C$59),0)</f>
        <v>0</v>
      </c>
      <c r="M81" s="9">
        <f t="shared" si="5"/>
        <v>0</v>
      </c>
      <c r="N81" s="9">
        <f t="shared" si="6"/>
        <v>0</v>
      </c>
      <c r="P81" s="26" t="s">
        <v>3103</v>
      </c>
    </row>
    <row r="82" spans="1:16" ht="14.5" x14ac:dyDescent="0.35">
      <c r="A82" s="26" t="s">
        <v>3104</v>
      </c>
      <c r="B82" s="26" t="s">
        <v>3105</v>
      </c>
      <c r="C82" s="26" t="s">
        <v>3105</v>
      </c>
      <c r="D82" s="26" t="s">
        <v>3105</v>
      </c>
      <c r="E82">
        <v>1.8</v>
      </c>
      <c r="F82">
        <v>0.9</v>
      </c>
      <c r="G82" s="24">
        <v>18</v>
      </c>
      <c r="H82" s="24" t="s">
        <v>3003</v>
      </c>
      <c r="I82" t="s">
        <v>2979</v>
      </c>
      <c r="J82" s="9">
        <v>1</v>
      </c>
      <c r="K82" s="16">
        <f t="shared" si="7"/>
        <v>1.62</v>
      </c>
      <c r="L82" s="9">
        <f>IFERROR(SUMIF(CALCULO_LOTE!$B$10:$B$59,B82,CALCULO_LOTE!$C$10:$C$59),0)</f>
        <v>0</v>
      </c>
      <c r="M82" s="9">
        <f t="shared" si="5"/>
        <v>0</v>
      </c>
      <c r="N82" s="9">
        <f t="shared" si="6"/>
        <v>0</v>
      </c>
      <c r="P82" s="26" t="s">
        <v>3105</v>
      </c>
    </row>
    <row r="83" spans="1:16" ht="14.5" x14ac:dyDescent="0.35">
      <c r="A83" s="26" t="s">
        <v>3106</v>
      </c>
      <c r="B83" s="26" t="s">
        <v>3107</v>
      </c>
      <c r="C83" s="26" t="s">
        <v>3107</v>
      </c>
      <c r="D83" s="26" t="s">
        <v>3107</v>
      </c>
      <c r="E83">
        <v>1.8</v>
      </c>
      <c r="F83">
        <v>0.9</v>
      </c>
      <c r="G83" s="24">
        <v>18</v>
      </c>
      <c r="H83" s="24" t="s">
        <v>3003</v>
      </c>
      <c r="I83" t="s">
        <v>2979</v>
      </c>
      <c r="J83" s="9">
        <v>1</v>
      </c>
      <c r="K83" s="16">
        <f t="shared" si="7"/>
        <v>1.62</v>
      </c>
      <c r="L83" s="9">
        <f>IFERROR(SUMIF(CALCULO_LOTE!$B$10:$B$59,B83,CALCULO_LOTE!$C$10:$C$59),0)</f>
        <v>0</v>
      </c>
      <c r="M83" s="9">
        <f t="shared" si="5"/>
        <v>0</v>
      </c>
      <c r="N83" s="9">
        <f t="shared" si="6"/>
        <v>0</v>
      </c>
      <c r="P83" s="26" t="s">
        <v>3107</v>
      </c>
    </row>
    <row r="84" spans="1:16" ht="14.5" x14ac:dyDescent="0.35">
      <c r="A84" s="26" t="s">
        <v>3108</v>
      </c>
      <c r="B84" s="26" t="s">
        <v>3109</v>
      </c>
      <c r="C84" s="26" t="s">
        <v>3109</v>
      </c>
      <c r="D84" s="26" t="s">
        <v>3109</v>
      </c>
      <c r="E84">
        <v>1.8</v>
      </c>
      <c r="F84">
        <v>0.9</v>
      </c>
      <c r="G84" s="24">
        <v>25</v>
      </c>
      <c r="H84" s="24" t="s">
        <v>3003</v>
      </c>
      <c r="I84" t="s">
        <v>2977</v>
      </c>
      <c r="J84" s="9">
        <v>1</v>
      </c>
      <c r="K84" s="16">
        <f t="shared" si="7"/>
        <v>1.62</v>
      </c>
      <c r="L84" s="9">
        <f>IFERROR(SUMIF(CALCULO_LOTE!$B$10:$B$59,B84,CALCULO_LOTE!$C$10:$C$59),0)</f>
        <v>0</v>
      </c>
      <c r="M84" s="9">
        <f t="shared" si="5"/>
        <v>0</v>
      </c>
      <c r="N84" s="9">
        <f t="shared" si="6"/>
        <v>0</v>
      </c>
      <c r="P84" s="26" t="s">
        <v>3109</v>
      </c>
    </row>
    <row r="85" spans="1:16" ht="14.5" x14ac:dyDescent="0.35">
      <c r="A85" s="26" t="s">
        <v>3110</v>
      </c>
      <c r="B85" s="26" t="s">
        <v>3111</v>
      </c>
      <c r="C85" s="26" t="s">
        <v>3111</v>
      </c>
      <c r="D85" s="26" t="s">
        <v>3111</v>
      </c>
      <c r="E85">
        <v>1.2</v>
      </c>
      <c r="F85">
        <v>0.9</v>
      </c>
      <c r="G85" s="24">
        <v>25</v>
      </c>
      <c r="H85" s="24" t="s">
        <v>3003</v>
      </c>
      <c r="I85" t="s">
        <v>2977</v>
      </c>
      <c r="J85" s="9">
        <v>1</v>
      </c>
      <c r="K85" s="16">
        <f t="shared" si="7"/>
        <v>1.08</v>
      </c>
      <c r="L85" s="9">
        <f>IFERROR(SUMIF(CALCULO_LOTE!$B$10:$B$59,B85,CALCULO_LOTE!$C$10:$C$59),0)</f>
        <v>0</v>
      </c>
      <c r="M85" s="9">
        <f t="shared" si="5"/>
        <v>0</v>
      </c>
      <c r="N85" s="9">
        <f t="shared" si="6"/>
        <v>0</v>
      </c>
      <c r="P85" s="26" t="s">
        <v>3111</v>
      </c>
    </row>
    <row r="86" spans="1:16" ht="14.5" x14ac:dyDescent="0.35">
      <c r="A86" s="26" t="s">
        <v>3112</v>
      </c>
      <c r="B86" s="26" t="s">
        <v>3113</v>
      </c>
      <c r="C86" s="26" t="s">
        <v>3113</v>
      </c>
      <c r="D86" s="26" t="s">
        <v>3113</v>
      </c>
      <c r="E86">
        <v>1.36</v>
      </c>
      <c r="F86">
        <v>0.9</v>
      </c>
      <c r="G86" s="24">
        <v>25</v>
      </c>
      <c r="H86" s="24" t="s">
        <v>3003</v>
      </c>
      <c r="I86" t="s">
        <v>2977</v>
      </c>
      <c r="J86" s="9">
        <v>1</v>
      </c>
      <c r="K86" s="16">
        <f t="shared" si="7"/>
        <v>1.2240000000000002</v>
      </c>
      <c r="L86" s="9">
        <f>IFERROR(SUMIF(CALCULO_LOTE!$B$10:$B$59,B86,CALCULO_LOTE!$C$10:$C$59),0)</f>
        <v>0</v>
      </c>
      <c r="M86" s="9">
        <f t="shared" si="5"/>
        <v>0</v>
      </c>
      <c r="N86" s="9">
        <f t="shared" si="6"/>
        <v>0</v>
      </c>
      <c r="P86" s="26" t="s">
        <v>3113</v>
      </c>
    </row>
    <row r="87" spans="1:16" ht="14.5" x14ac:dyDescent="0.35">
      <c r="A87" s="26" t="s">
        <v>3114</v>
      </c>
      <c r="B87" s="26" t="s">
        <v>3115</v>
      </c>
      <c r="C87" s="26" t="s">
        <v>3115</v>
      </c>
      <c r="D87" s="26" t="s">
        <v>3115</v>
      </c>
      <c r="E87">
        <v>1.6</v>
      </c>
      <c r="F87">
        <v>0.9</v>
      </c>
      <c r="G87" s="24">
        <v>25</v>
      </c>
      <c r="H87" s="24" t="s">
        <v>3003</v>
      </c>
      <c r="I87" t="s">
        <v>2977</v>
      </c>
      <c r="J87" s="9">
        <v>1</v>
      </c>
      <c r="K87" s="16">
        <f t="shared" si="7"/>
        <v>1.4400000000000002</v>
      </c>
      <c r="L87" s="9">
        <f>IFERROR(SUMIF(CALCULO_LOTE!$B$10:$B$59,B87,CALCULO_LOTE!$C$10:$C$59),0)</f>
        <v>0</v>
      </c>
      <c r="M87" s="9">
        <f t="shared" si="5"/>
        <v>0</v>
      </c>
      <c r="N87" s="9">
        <f t="shared" si="6"/>
        <v>0</v>
      </c>
      <c r="P87" s="26" t="s">
        <v>3115</v>
      </c>
    </row>
    <row r="88" spans="1:16" ht="14.5" x14ac:dyDescent="0.35">
      <c r="A88" s="26" t="s">
        <v>3116</v>
      </c>
      <c r="B88" s="26" t="s">
        <v>3117</v>
      </c>
      <c r="C88" s="26" t="s">
        <v>3117</v>
      </c>
      <c r="D88" s="26" t="s">
        <v>3117</v>
      </c>
      <c r="E88">
        <v>1.36</v>
      </c>
      <c r="F88">
        <v>1.36</v>
      </c>
      <c r="G88" s="24">
        <v>25</v>
      </c>
      <c r="H88" s="24" t="s">
        <v>3003</v>
      </c>
      <c r="I88" t="s">
        <v>2977</v>
      </c>
      <c r="J88" s="9">
        <v>1</v>
      </c>
      <c r="K88" s="16">
        <f t="shared" si="7"/>
        <v>1.8496000000000004</v>
      </c>
      <c r="L88" s="9">
        <f>IFERROR(SUMIF(CALCULO_LOTE!$B$10:$B$59,B88,CALCULO_LOTE!$C$10:$C$59),0)</f>
        <v>0</v>
      </c>
      <c r="M88" s="9">
        <f t="shared" si="5"/>
        <v>0</v>
      </c>
      <c r="N88" s="9">
        <f t="shared" si="6"/>
        <v>0</v>
      </c>
      <c r="P88" s="26" t="s">
        <v>3117</v>
      </c>
    </row>
    <row r="89" spans="1:16" ht="14.5" x14ac:dyDescent="0.35">
      <c r="A89" s="26" t="s">
        <v>3118</v>
      </c>
      <c r="B89" s="26" t="s">
        <v>3119</v>
      </c>
      <c r="C89" s="26" t="s">
        <v>3119</v>
      </c>
      <c r="D89" s="26" t="s">
        <v>3119</v>
      </c>
      <c r="E89">
        <v>1.36</v>
      </c>
      <c r="F89">
        <v>0.9</v>
      </c>
      <c r="G89" s="24">
        <v>25</v>
      </c>
      <c r="H89" s="24" t="s">
        <v>3003</v>
      </c>
      <c r="I89" t="s">
        <v>2977</v>
      </c>
      <c r="J89" s="9">
        <v>1</v>
      </c>
      <c r="K89" s="16">
        <f t="shared" si="7"/>
        <v>1.2240000000000002</v>
      </c>
      <c r="L89" s="9">
        <f>IFERROR(SUMIF(CALCULO_LOTE!$B$10:$B$59,B89,CALCULO_LOTE!$C$10:$C$59),0)</f>
        <v>0</v>
      </c>
      <c r="M89" s="9">
        <f t="shared" si="5"/>
        <v>0</v>
      </c>
      <c r="N89" s="9">
        <f t="shared" si="6"/>
        <v>0</v>
      </c>
      <c r="P89" s="26" t="s">
        <v>3119</v>
      </c>
    </row>
    <row r="90" spans="1:16" ht="14.5" x14ac:dyDescent="0.35">
      <c r="A90" s="26" t="s">
        <v>3120</v>
      </c>
      <c r="B90" s="26" t="s">
        <v>3121</v>
      </c>
      <c r="C90" s="26" t="s">
        <v>3121</v>
      </c>
      <c r="D90" s="26" t="s">
        <v>3121</v>
      </c>
      <c r="E90">
        <v>1.36</v>
      </c>
      <c r="F90">
        <v>0.9</v>
      </c>
      <c r="G90" s="24">
        <v>25</v>
      </c>
      <c r="H90" s="24" t="s">
        <v>3003</v>
      </c>
      <c r="I90" t="s">
        <v>2977</v>
      </c>
      <c r="J90" s="9">
        <v>1</v>
      </c>
      <c r="K90" s="16">
        <f t="shared" si="7"/>
        <v>1.2240000000000002</v>
      </c>
      <c r="L90" s="9">
        <f>IFERROR(SUMIF(CALCULO_LOTE!$B$10:$B$59,B90,CALCULO_LOTE!$C$10:$C$59),0)</f>
        <v>0</v>
      </c>
      <c r="M90" s="9">
        <f t="shared" si="5"/>
        <v>0</v>
      </c>
      <c r="N90" s="9">
        <f t="shared" si="6"/>
        <v>0</v>
      </c>
      <c r="P90" s="26" t="s">
        <v>3121</v>
      </c>
    </row>
    <row r="91" spans="1:16" ht="14.5" x14ac:dyDescent="0.35">
      <c r="A91" s="26" t="s">
        <v>3122</v>
      </c>
      <c r="B91" s="26" t="s">
        <v>3123</v>
      </c>
      <c r="C91" s="26" t="s">
        <v>3123</v>
      </c>
      <c r="D91" s="26" t="s">
        <v>3123</v>
      </c>
      <c r="E91">
        <v>1.6</v>
      </c>
      <c r="F91">
        <v>0.9</v>
      </c>
      <c r="G91" s="24">
        <v>25</v>
      </c>
      <c r="H91" s="24" t="s">
        <v>3003</v>
      </c>
      <c r="I91" t="s">
        <v>2977</v>
      </c>
      <c r="J91" s="9">
        <v>1</v>
      </c>
      <c r="K91" s="16">
        <f t="shared" si="7"/>
        <v>1.4400000000000002</v>
      </c>
      <c r="L91" s="9">
        <f>IFERROR(SUMIF(CALCULO_LOTE!$B$10:$B$59,B91,CALCULO_LOTE!$C$10:$C$59),0)</f>
        <v>0</v>
      </c>
      <c r="M91" s="9">
        <f t="shared" si="5"/>
        <v>0</v>
      </c>
      <c r="N91" s="9">
        <f t="shared" si="6"/>
        <v>0</v>
      </c>
      <c r="P91" s="26" t="s">
        <v>3123</v>
      </c>
    </row>
    <row r="92" spans="1:16" ht="14.5" x14ac:dyDescent="0.35">
      <c r="A92" s="26" t="s">
        <v>3124</v>
      </c>
      <c r="B92" s="26" t="s">
        <v>3125</v>
      </c>
      <c r="C92" s="26" t="s">
        <v>3125</v>
      </c>
      <c r="D92" s="26" t="s">
        <v>3125</v>
      </c>
      <c r="E92">
        <v>1.6</v>
      </c>
      <c r="F92">
        <v>0.9</v>
      </c>
      <c r="G92" s="24">
        <v>25</v>
      </c>
      <c r="H92" s="24" t="s">
        <v>3003</v>
      </c>
      <c r="I92" t="s">
        <v>2977</v>
      </c>
      <c r="J92" s="9">
        <v>1</v>
      </c>
      <c r="K92" s="16">
        <f t="shared" si="7"/>
        <v>1.4400000000000002</v>
      </c>
      <c r="L92" s="9">
        <f>IFERROR(SUMIF(CALCULO_LOTE!$B$10:$B$59,B92,CALCULO_LOTE!$C$10:$C$59),0)</f>
        <v>0</v>
      </c>
      <c r="M92" s="9">
        <f t="shared" si="5"/>
        <v>0</v>
      </c>
      <c r="N92" s="9">
        <f t="shared" si="6"/>
        <v>0</v>
      </c>
      <c r="P92" s="26" t="s">
        <v>3125</v>
      </c>
    </row>
    <row r="93" spans="1:16" ht="14.5" x14ac:dyDescent="0.35">
      <c r="A93" s="26" t="s">
        <v>3126</v>
      </c>
      <c r="B93" s="26" t="s">
        <v>3127</v>
      </c>
      <c r="C93" s="26" t="s">
        <v>3127</v>
      </c>
      <c r="D93" s="26" t="s">
        <v>3127</v>
      </c>
      <c r="E93">
        <v>1.8</v>
      </c>
      <c r="F93">
        <v>0.9</v>
      </c>
      <c r="G93" s="24">
        <v>25</v>
      </c>
      <c r="H93" s="24" t="s">
        <v>3003</v>
      </c>
      <c r="I93" t="s">
        <v>2977</v>
      </c>
      <c r="J93" s="9">
        <v>1</v>
      </c>
      <c r="K93" s="16">
        <f t="shared" si="7"/>
        <v>1.62</v>
      </c>
      <c r="L93" s="9">
        <f>IFERROR(SUMIF(CALCULO_LOTE!$B$10:$B$59,B93,CALCULO_LOTE!$C$10:$C$59),0)</f>
        <v>0</v>
      </c>
      <c r="M93" s="9">
        <f t="shared" si="5"/>
        <v>0</v>
      </c>
      <c r="N93" s="9">
        <f t="shared" si="6"/>
        <v>0</v>
      </c>
      <c r="P93" s="26" t="s">
        <v>3127</v>
      </c>
    </row>
    <row r="94" spans="1:16" ht="14.5" x14ac:dyDescent="0.35">
      <c r="A94" s="26" t="s">
        <v>3128</v>
      </c>
      <c r="B94" s="26" t="s">
        <v>3129</v>
      </c>
      <c r="C94" s="26" t="s">
        <v>3129</v>
      </c>
      <c r="D94" s="26" t="s">
        <v>3129</v>
      </c>
      <c r="E94">
        <v>1.8</v>
      </c>
      <c r="F94">
        <v>0.9</v>
      </c>
      <c r="G94" s="24">
        <v>25</v>
      </c>
      <c r="H94" s="24" t="s">
        <v>3003</v>
      </c>
      <c r="I94" t="s">
        <v>2977</v>
      </c>
      <c r="J94" s="9">
        <v>1</v>
      </c>
      <c r="K94" s="16">
        <f t="shared" si="7"/>
        <v>1.62</v>
      </c>
      <c r="L94" s="9">
        <f>IFERROR(SUMIF(CALCULO_LOTE!$B$10:$B$59,B94,CALCULO_LOTE!$C$10:$C$59),0)</f>
        <v>0</v>
      </c>
      <c r="M94" s="9">
        <f t="shared" si="5"/>
        <v>0</v>
      </c>
      <c r="N94" s="9">
        <f t="shared" si="6"/>
        <v>0</v>
      </c>
      <c r="P94" s="26" t="s">
        <v>3129</v>
      </c>
    </row>
    <row r="95" spans="1:16" ht="14.25" customHeight="1" x14ac:dyDescent="0.35">
      <c r="A95" s="18">
        <v>30124003</v>
      </c>
      <c r="B95" s="20" t="s">
        <v>3130</v>
      </c>
      <c r="C95" s="20" t="s">
        <v>2269</v>
      </c>
      <c r="D95" s="20" t="s">
        <v>2269</v>
      </c>
      <c r="E95" s="26">
        <v>0.68</v>
      </c>
      <c r="F95" s="26">
        <v>0.45200000000000001</v>
      </c>
      <c r="G95" s="24">
        <v>12</v>
      </c>
      <c r="H95" s="24" t="s">
        <v>3009</v>
      </c>
      <c r="I95" t="s">
        <v>2983</v>
      </c>
      <c r="J95" s="9">
        <v>1</v>
      </c>
      <c r="K95" s="16">
        <f t="shared" si="7"/>
        <v>0.30736000000000002</v>
      </c>
      <c r="L95" s="9">
        <f>IFERROR(SUMIF(CALCULO_LOTE!$B$10:$B$59,B95,CALCULO_LOTE!$C$10:$C$59),0)</f>
        <v>0</v>
      </c>
      <c r="M95" s="9">
        <f t="shared" si="5"/>
        <v>0</v>
      </c>
      <c r="N95" s="9">
        <f t="shared" si="6"/>
        <v>0</v>
      </c>
      <c r="P95" s="20" t="s">
        <v>3130</v>
      </c>
    </row>
    <row r="96" spans="1:16" ht="14.5" x14ac:dyDescent="0.35">
      <c r="A96" s="18">
        <v>30124001</v>
      </c>
      <c r="B96" s="20" t="s">
        <v>3130</v>
      </c>
      <c r="C96" s="20" t="s">
        <v>2265</v>
      </c>
      <c r="D96" s="20" t="s">
        <v>2265</v>
      </c>
      <c r="E96" s="20">
        <v>0.83</v>
      </c>
      <c r="F96" s="26">
        <v>0.75</v>
      </c>
      <c r="G96" s="24">
        <v>25</v>
      </c>
      <c r="H96" s="24" t="s">
        <v>3003</v>
      </c>
      <c r="I96" t="s">
        <v>2977</v>
      </c>
      <c r="J96" s="9">
        <v>1</v>
      </c>
      <c r="K96" s="16">
        <f t="shared" si="7"/>
        <v>0.62249999999999994</v>
      </c>
      <c r="L96" s="9">
        <f>IFERROR(SUMIF(CALCULO_LOTE!$B$10:$B$59,B96,CALCULO_LOTE!$C$10:$C$59),0)</f>
        <v>0</v>
      </c>
      <c r="M96" s="9">
        <f t="shared" si="5"/>
        <v>0</v>
      </c>
      <c r="N96" s="9">
        <f t="shared" si="6"/>
        <v>0</v>
      </c>
      <c r="P96" s="20" t="s">
        <v>3130</v>
      </c>
    </row>
    <row r="97" spans="1:16" ht="14.5" x14ac:dyDescent="0.35">
      <c r="A97" s="18">
        <v>30124002</v>
      </c>
      <c r="B97" s="20" t="s">
        <v>3130</v>
      </c>
      <c r="C97" s="20" t="s">
        <v>2267</v>
      </c>
      <c r="D97" s="20" t="s">
        <v>2267</v>
      </c>
      <c r="E97" s="20">
        <v>0.75</v>
      </c>
      <c r="F97" s="26">
        <v>0.68</v>
      </c>
      <c r="G97" s="24">
        <v>25</v>
      </c>
      <c r="H97" s="24" t="s">
        <v>3003</v>
      </c>
      <c r="I97" t="s">
        <v>2977</v>
      </c>
      <c r="J97" s="9">
        <v>1</v>
      </c>
      <c r="K97" s="16">
        <f t="shared" si="7"/>
        <v>0.51</v>
      </c>
      <c r="L97" s="9">
        <f>IFERROR(SUMIF(CALCULO_LOTE!$B$10:$B$59,B97,CALCULO_LOTE!$C$10:$C$59),0)</f>
        <v>0</v>
      </c>
      <c r="M97" s="9">
        <f t="shared" si="5"/>
        <v>0</v>
      </c>
      <c r="N97" s="9">
        <f t="shared" si="6"/>
        <v>0</v>
      </c>
      <c r="P97" s="20" t="s">
        <v>3130</v>
      </c>
    </row>
    <row r="98" spans="1:16" ht="14.5" x14ac:dyDescent="0.35">
      <c r="A98" s="27">
        <v>30106004</v>
      </c>
      <c r="B98" s="24" t="s">
        <v>3131</v>
      </c>
      <c r="C98" s="22" t="s">
        <v>2235</v>
      </c>
      <c r="D98" s="22" t="s">
        <v>2235</v>
      </c>
      <c r="E98" s="22">
        <v>0.33600000000000002</v>
      </c>
      <c r="F98" s="22">
        <v>0.115</v>
      </c>
      <c r="G98" s="24">
        <v>12</v>
      </c>
      <c r="H98" s="24" t="s">
        <v>3009</v>
      </c>
      <c r="I98" t="s">
        <v>2983</v>
      </c>
      <c r="J98" s="9">
        <v>2</v>
      </c>
      <c r="K98" s="16">
        <f t="shared" si="7"/>
        <v>7.7280000000000001E-2</v>
      </c>
      <c r="L98" s="9">
        <f>IFERROR(SUMIF(CALCULO_LOTE!$B$10:$B$59,B98,CALCULO_LOTE!$C$10:$C$59),0)</f>
        <v>0</v>
      </c>
      <c r="M98" s="9">
        <f t="shared" si="5"/>
        <v>0</v>
      </c>
      <c r="N98" s="9">
        <f t="shared" si="6"/>
        <v>0</v>
      </c>
      <c r="P98" s="24" t="s">
        <v>3131</v>
      </c>
    </row>
    <row r="99" spans="1:16" ht="14.5" x14ac:dyDescent="0.35">
      <c r="A99" s="27">
        <v>30104001</v>
      </c>
      <c r="B99" s="24" t="s">
        <v>3131</v>
      </c>
      <c r="C99" s="22" t="s">
        <v>2219</v>
      </c>
      <c r="D99" s="22" t="s">
        <v>2219</v>
      </c>
      <c r="E99" s="22">
        <v>0.86199999999999999</v>
      </c>
      <c r="F99" s="26">
        <v>0.755</v>
      </c>
      <c r="G99" s="24">
        <v>15</v>
      </c>
      <c r="H99" s="24" t="s">
        <v>3003</v>
      </c>
      <c r="I99" t="s">
        <v>2981</v>
      </c>
      <c r="J99" s="9">
        <v>2</v>
      </c>
      <c r="K99" s="16">
        <f t="shared" si="7"/>
        <v>1.30162</v>
      </c>
      <c r="L99" s="9">
        <f>IFERROR(SUMIF(CALCULO_LOTE!$B$10:$B$59,B99,CALCULO_LOTE!$C$10:$C$59),0)</f>
        <v>0</v>
      </c>
      <c r="M99" s="9">
        <f t="shared" si="5"/>
        <v>0</v>
      </c>
      <c r="N99" s="9">
        <f t="shared" si="6"/>
        <v>0</v>
      </c>
      <c r="P99" s="24" t="s">
        <v>3131</v>
      </c>
    </row>
    <row r="100" spans="1:16" ht="14.5" x14ac:dyDescent="0.35">
      <c r="A100" s="27">
        <v>30104003</v>
      </c>
      <c r="B100" s="24" t="s">
        <v>3131</v>
      </c>
      <c r="C100" s="22" t="s">
        <v>2221</v>
      </c>
      <c r="D100" s="22" t="s">
        <v>2221</v>
      </c>
      <c r="E100" s="22">
        <v>0.33600000000000002</v>
      </c>
      <c r="F100" s="26">
        <v>0.3</v>
      </c>
      <c r="G100" s="24">
        <v>12</v>
      </c>
      <c r="H100" s="24" t="s">
        <v>3009</v>
      </c>
      <c r="I100" t="s">
        <v>2983</v>
      </c>
      <c r="J100" s="9">
        <v>1</v>
      </c>
      <c r="K100" s="16">
        <f t="shared" si="7"/>
        <v>0.1008</v>
      </c>
      <c r="L100" s="9">
        <f>IFERROR(SUMIF(CALCULO_LOTE!$B$10:$B$59,B100,CALCULO_LOTE!$C$10:$C$59),0)</f>
        <v>0</v>
      </c>
      <c r="M100" s="9">
        <f t="shared" si="5"/>
        <v>0</v>
      </c>
      <c r="N100" s="9">
        <f t="shared" si="6"/>
        <v>0</v>
      </c>
      <c r="P100" s="24" t="s">
        <v>3131</v>
      </c>
    </row>
    <row r="101" spans="1:16" ht="14.5" x14ac:dyDescent="0.35">
      <c r="A101" s="27">
        <v>30106002</v>
      </c>
      <c r="B101" s="24" t="s">
        <v>3131</v>
      </c>
      <c r="C101" s="22" t="s">
        <v>2231</v>
      </c>
      <c r="D101" s="22" t="s">
        <v>2231</v>
      </c>
      <c r="E101" s="22">
        <v>0.77800000000000002</v>
      </c>
      <c r="F101" s="26">
        <v>0.33600000000000002</v>
      </c>
      <c r="G101" s="24">
        <v>12</v>
      </c>
      <c r="H101" s="24" t="s">
        <v>3009</v>
      </c>
      <c r="I101" t="s">
        <v>2983</v>
      </c>
      <c r="J101" s="9">
        <v>2</v>
      </c>
      <c r="K101" s="16">
        <f t="shared" si="7"/>
        <v>0.52281600000000006</v>
      </c>
      <c r="L101" s="9">
        <f>IFERROR(SUMIF(CALCULO_LOTE!$B$10:$B$59,B101,CALCULO_LOTE!$C$10:$C$59),0)</f>
        <v>0</v>
      </c>
      <c r="M101" s="9">
        <f t="shared" si="5"/>
        <v>0</v>
      </c>
      <c r="N101" s="9">
        <f t="shared" si="6"/>
        <v>0</v>
      </c>
      <c r="P101" s="24" t="s">
        <v>3131</v>
      </c>
    </row>
    <row r="102" spans="1:16" ht="14.5" x14ac:dyDescent="0.35">
      <c r="A102" s="27">
        <v>30106005</v>
      </c>
      <c r="B102" s="24" t="s">
        <v>3131</v>
      </c>
      <c r="C102" s="22" t="s">
        <v>2237</v>
      </c>
      <c r="D102" s="22" t="s">
        <v>2237</v>
      </c>
      <c r="E102" s="22">
        <v>0.64</v>
      </c>
      <c r="F102" s="26">
        <v>0.34799999999999998</v>
      </c>
      <c r="G102" s="24">
        <v>3</v>
      </c>
      <c r="H102" s="24" t="s">
        <v>3003</v>
      </c>
      <c r="I102" t="s">
        <v>2988</v>
      </c>
      <c r="J102" s="9">
        <v>2</v>
      </c>
      <c r="K102" s="16">
        <f t="shared" si="7"/>
        <v>0.44544</v>
      </c>
      <c r="L102" s="9">
        <f>IFERROR(SUMIF(CALCULO_LOTE!$B$10:$B$59,B102,CALCULO_LOTE!$C$10:$C$59),0)</f>
        <v>0</v>
      </c>
      <c r="M102" s="9">
        <f t="shared" si="5"/>
        <v>0</v>
      </c>
      <c r="N102" s="9">
        <f t="shared" si="6"/>
        <v>0</v>
      </c>
      <c r="P102" s="24" t="s">
        <v>3131</v>
      </c>
    </row>
    <row r="103" spans="1:16" ht="14.5" x14ac:dyDescent="0.35">
      <c r="A103">
        <v>30126003</v>
      </c>
      <c r="B103" s="24" t="s">
        <v>3142</v>
      </c>
      <c r="C103" t="s">
        <v>2295</v>
      </c>
      <c r="D103" t="s">
        <v>2295</v>
      </c>
      <c r="E103" s="29">
        <v>0.90500000000000003</v>
      </c>
      <c r="F103" s="26">
        <v>0.45200000000000001</v>
      </c>
      <c r="G103" s="24">
        <v>12</v>
      </c>
      <c r="H103" s="24" t="s">
        <v>3009</v>
      </c>
      <c r="I103" t="s">
        <v>2983</v>
      </c>
      <c r="J103" s="9">
        <v>1</v>
      </c>
      <c r="K103" s="16">
        <f t="shared" si="7"/>
        <v>0.40906000000000003</v>
      </c>
      <c r="P103" s="24" t="s">
        <v>3142</v>
      </c>
    </row>
    <row r="104" spans="1:16" ht="14.5" x14ac:dyDescent="0.35">
      <c r="A104">
        <v>30124002</v>
      </c>
      <c r="B104" s="24" t="s">
        <v>3142</v>
      </c>
      <c r="C104" t="s">
        <v>2267</v>
      </c>
      <c r="D104" t="s">
        <v>2267</v>
      </c>
      <c r="E104" s="29">
        <v>0.75</v>
      </c>
      <c r="F104" s="26">
        <v>0.68</v>
      </c>
      <c r="G104" s="24">
        <v>25</v>
      </c>
      <c r="H104" s="24" t="s">
        <v>3003</v>
      </c>
      <c r="I104" t="s">
        <v>2977</v>
      </c>
      <c r="J104" s="9">
        <v>1</v>
      </c>
      <c r="K104" s="16">
        <f t="shared" si="7"/>
        <v>0.51</v>
      </c>
      <c r="P104" s="24" t="s">
        <v>3142</v>
      </c>
    </row>
    <row r="105" spans="1:16" ht="14.5" x14ac:dyDescent="0.35">
      <c r="A105">
        <v>30126001</v>
      </c>
      <c r="B105" s="24" t="s">
        <v>3142</v>
      </c>
      <c r="C105" t="s">
        <v>2293</v>
      </c>
      <c r="D105" t="s">
        <v>2293</v>
      </c>
      <c r="E105" s="29">
        <v>1</v>
      </c>
      <c r="F105" s="26">
        <v>0.75</v>
      </c>
      <c r="G105" s="24">
        <v>25</v>
      </c>
      <c r="H105" s="24" t="s">
        <v>3003</v>
      </c>
      <c r="I105" t="s">
        <v>2977</v>
      </c>
      <c r="J105" s="9">
        <v>1</v>
      </c>
      <c r="K105" s="16">
        <f t="shared" si="7"/>
        <v>0.75</v>
      </c>
      <c r="P105" s="24" t="s">
        <v>3142</v>
      </c>
    </row>
    <row r="106" spans="1:16" ht="14.5" x14ac:dyDescent="0.35">
      <c r="A106">
        <v>30124002</v>
      </c>
      <c r="B106" s="24" t="s">
        <v>3143</v>
      </c>
      <c r="C106" t="s">
        <v>2267</v>
      </c>
      <c r="D106" t="s">
        <v>2267</v>
      </c>
      <c r="E106" s="29">
        <v>0.75</v>
      </c>
      <c r="F106" s="26">
        <v>0.68</v>
      </c>
      <c r="G106" s="24">
        <v>25</v>
      </c>
      <c r="H106" s="24" t="s">
        <v>3003</v>
      </c>
      <c r="I106" t="s">
        <v>2977</v>
      </c>
      <c r="J106" s="9">
        <v>1</v>
      </c>
      <c r="K106" s="16">
        <f t="shared" si="7"/>
        <v>0.51</v>
      </c>
      <c r="P106" s="24" t="s">
        <v>3143</v>
      </c>
    </row>
    <row r="107" spans="1:16" ht="14.5" x14ac:dyDescent="0.35">
      <c r="A107">
        <v>30124602</v>
      </c>
      <c r="B107" s="24" t="s">
        <v>3143</v>
      </c>
      <c r="C107" t="s">
        <v>2279</v>
      </c>
      <c r="D107" t="s">
        <v>2279</v>
      </c>
      <c r="E107" s="29">
        <v>0.75</v>
      </c>
      <c r="F107" s="26">
        <v>0.68</v>
      </c>
      <c r="G107" s="24">
        <v>25</v>
      </c>
      <c r="H107" s="24" t="s">
        <v>3003</v>
      </c>
      <c r="I107" t="s">
        <v>2977</v>
      </c>
      <c r="J107" s="9">
        <v>1</v>
      </c>
      <c r="K107" s="16">
        <f t="shared" si="7"/>
        <v>0.51</v>
      </c>
      <c r="P107" s="24" t="s">
        <v>3143</v>
      </c>
    </row>
    <row r="108" spans="1:16" ht="14.5" x14ac:dyDescent="0.35">
      <c r="A108">
        <v>30106004</v>
      </c>
      <c r="B108" s="9" t="s">
        <v>3144</v>
      </c>
      <c r="C108" t="s">
        <v>3145</v>
      </c>
      <c r="D108" t="s">
        <v>3145</v>
      </c>
      <c r="E108" s="29">
        <v>0.33600000000000002</v>
      </c>
      <c r="F108" s="26">
        <v>0.115</v>
      </c>
      <c r="G108" s="24">
        <v>12</v>
      </c>
      <c r="H108" s="24" t="s">
        <v>3009</v>
      </c>
      <c r="I108" t="s">
        <v>2983</v>
      </c>
      <c r="J108" s="9">
        <v>2</v>
      </c>
      <c r="K108" s="16">
        <f t="shared" si="7"/>
        <v>7.7280000000000001E-2</v>
      </c>
      <c r="P108" s="9" t="s">
        <v>3144</v>
      </c>
    </row>
    <row r="109" spans="1:16" ht="14.5" x14ac:dyDescent="0.35">
      <c r="A109">
        <v>30106001</v>
      </c>
      <c r="B109" s="9" t="s">
        <v>3144</v>
      </c>
      <c r="C109" t="s">
        <v>3146</v>
      </c>
      <c r="D109" t="s">
        <v>3146</v>
      </c>
      <c r="E109" s="29">
        <v>0.96199999999999997</v>
      </c>
      <c r="F109" s="26">
        <v>0.755</v>
      </c>
      <c r="G109" s="24">
        <v>15</v>
      </c>
      <c r="H109" s="24" t="s">
        <v>3003</v>
      </c>
      <c r="I109" t="s">
        <v>2981</v>
      </c>
      <c r="J109" s="9">
        <v>2</v>
      </c>
      <c r="K109" s="16">
        <f t="shared" si="7"/>
        <v>1.45262</v>
      </c>
      <c r="P109" s="9" t="s">
        <v>3144</v>
      </c>
    </row>
    <row r="110" spans="1:16" ht="14.5" x14ac:dyDescent="0.35">
      <c r="A110">
        <v>30106002</v>
      </c>
      <c r="B110" s="9" t="s">
        <v>3144</v>
      </c>
      <c r="C110" t="s">
        <v>3147</v>
      </c>
      <c r="D110" t="s">
        <v>3147</v>
      </c>
      <c r="E110" s="29">
        <v>0.77800000000000002</v>
      </c>
      <c r="F110" s="26">
        <v>0.33600000000000002</v>
      </c>
      <c r="G110" s="24">
        <v>12</v>
      </c>
      <c r="H110" s="24" t="s">
        <v>3009</v>
      </c>
      <c r="I110" t="s">
        <v>2983</v>
      </c>
      <c r="J110" s="9">
        <v>2</v>
      </c>
      <c r="K110" s="16">
        <f t="shared" si="7"/>
        <v>0.52281600000000006</v>
      </c>
      <c r="P110" s="9" t="s">
        <v>3144</v>
      </c>
    </row>
    <row r="111" spans="1:16" ht="14.5" x14ac:dyDescent="0.35">
      <c r="A111">
        <v>30106003</v>
      </c>
      <c r="B111" s="9" t="s">
        <v>3144</v>
      </c>
      <c r="C111" t="s">
        <v>3148</v>
      </c>
      <c r="D111" t="s">
        <v>3148</v>
      </c>
      <c r="E111" s="29">
        <v>0.38600000000000001</v>
      </c>
      <c r="F111" s="26">
        <v>0.33600000000000002</v>
      </c>
      <c r="G111" s="24">
        <v>12</v>
      </c>
      <c r="H111" s="24" t="s">
        <v>3009</v>
      </c>
      <c r="I111" t="s">
        <v>2983</v>
      </c>
      <c r="J111" s="9">
        <v>1</v>
      </c>
      <c r="K111" s="16">
        <f t="shared" si="7"/>
        <v>0.12969600000000001</v>
      </c>
      <c r="P111" s="9" t="s">
        <v>3144</v>
      </c>
    </row>
    <row r="112" spans="1:16" ht="14.5" x14ac:dyDescent="0.35">
      <c r="A112">
        <v>30106005</v>
      </c>
      <c r="B112" s="9" t="s">
        <v>3144</v>
      </c>
      <c r="C112" t="s">
        <v>3149</v>
      </c>
      <c r="D112" t="s">
        <v>3149</v>
      </c>
      <c r="E112" s="29">
        <v>0.64</v>
      </c>
      <c r="F112" s="26">
        <v>0.34799999999999998</v>
      </c>
      <c r="G112" s="24">
        <v>3</v>
      </c>
      <c r="H112" s="24" t="s">
        <v>3003</v>
      </c>
      <c r="I112" t="s">
        <v>2988</v>
      </c>
      <c r="J112" s="9">
        <v>2</v>
      </c>
      <c r="K112" s="16">
        <f t="shared" si="7"/>
        <v>0.44544</v>
      </c>
      <c r="P112" s="9" t="s">
        <v>3144</v>
      </c>
    </row>
    <row r="113" spans="1:16" ht="14.5" x14ac:dyDescent="0.35">
      <c r="A113">
        <v>30080001</v>
      </c>
      <c r="B113" s="9" t="s">
        <v>3151</v>
      </c>
      <c r="C113" t="s">
        <v>3152</v>
      </c>
      <c r="D113" t="s">
        <v>3152</v>
      </c>
      <c r="E113" s="29">
        <v>0.62</v>
      </c>
      <c r="F113" s="26">
        <v>0.62</v>
      </c>
      <c r="G113" s="24">
        <v>12</v>
      </c>
      <c r="H113" s="24" t="s">
        <v>3009</v>
      </c>
      <c r="I113" t="s">
        <v>2983</v>
      </c>
      <c r="J113" s="9">
        <v>1</v>
      </c>
      <c r="K113" s="16">
        <f t="shared" si="7"/>
        <v>0.38440000000000002</v>
      </c>
      <c r="P113" s="9" t="s">
        <v>3151</v>
      </c>
    </row>
    <row r="114" spans="1:16" ht="14.25" customHeight="1" x14ac:dyDescent="0.35">
      <c r="A114">
        <v>30080002</v>
      </c>
      <c r="B114" s="9" t="s">
        <v>3151</v>
      </c>
      <c r="C114" t="s">
        <v>3153</v>
      </c>
      <c r="D114" t="s">
        <v>3153</v>
      </c>
      <c r="E114" s="29">
        <v>0.75</v>
      </c>
      <c r="F114" s="26">
        <v>0.56499999999999995</v>
      </c>
      <c r="G114" s="24">
        <v>12</v>
      </c>
      <c r="H114" s="24" t="s">
        <v>3009</v>
      </c>
      <c r="I114" t="s">
        <v>2983</v>
      </c>
      <c r="J114" s="9">
        <v>2</v>
      </c>
      <c r="K114" s="16">
        <f t="shared" si="7"/>
        <v>0.84749999999999992</v>
      </c>
      <c r="P114" s="9" t="s">
        <v>3151</v>
      </c>
    </row>
    <row r="115" spans="1:16" ht="14.25" customHeight="1" x14ac:dyDescent="0.35">
      <c r="A115">
        <v>30080006</v>
      </c>
      <c r="B115" s="9" t="s">
        <v>3151</v>
      </c>
      <c r="C115" t="s">
        <v>3155</v>
      </c>
      <c r="D115" t="s">
        <v>3155</v>
      </c>
      <c r="E115" s="29">
        <v>0.75</v>
      </c>
      <c r="F115" s="26">
        <v>0.59</v>
      </c>
      <c r="G115" s="24">
        <v>12</v>
      </c>
      <c r="H115" s="24" t="s">
        <v>3003</v>
      </c>
      <c r="I115" t="s">
        <v>3154</v>
      </c>
      <c r="J115" s="9">
        <v>2</v>
      </c>
      <c r="K115" s="16">
        <f t="shared" si="7"/>
        <v>0.88500000000000001</v>
      </c>
      <c r="P115" s="9" t="s">
        <v>3151</v>
      </c>
    </row>
    <row r="116" spans="1:16" ht="14.25" customHeight="1" x14ac:dyDescent="0.35">
      <c r="A116">
        <v>20020001</v>
      </c>
      <c r="B116" s="9" t="s">
        <v>3157</v>
      </c>
      <c r="C116" t="s">
        <v>3158</v>
      </c>
      <c r="D116" t="s">
        <v>3158</v>
      </c>
      <c r="E116" s="29">
        <v>1.18</v>
      </c>
      <c r="F116" s="26">
        <v>9.1999999999999998E-2</v>
      </c>
      <c r="G116" s="24">
        <v>15</v>
      </c>
      <c r="H116" s="24" t="s">
        <v>3003</v>
      </c>
      <c r="I116" t="s">
        <v>2981</v>
      </c>
      <c r="J116" s="9">
        <v>4</v>
      </c>
      <c r="K116" s="16">
        <f t="shared" si="7"/>
        <v>0.43423999999999996</v>
      </c>
      <c r="P116" s="9" t="s">
        <v>3157</v>
      </c>
    </row>
    <row r="117" spans="1:16" ht="14.25" customHeight="1" x14ac:dyDescent="0.35">
      <c r="A117">
        <v>20020002</v>
      </c>
      <c r="B117" s="9" t="s">
        <v>3157</v>
      </c>
      <c r="C117" t="s">
        <v>3159</v>
      </c>
      <c r="D117" t="s">
        <v>3159</v>
      </c>
      <c r="E117" s="29">
        <v>1.0900000000000001</v>
      </c>
      <c r="F117" s="26">
        <v>0.29499999999999998</v>
      </c>
      <c r="G117" s="24">
        <v>12</v>
      </c>
      <c r="H117" s="24" t="s">
        <v>3003</v>
      </c>
      <c r="I117" t="s">
        <v>3154</v>
      </c>
      <c r="J117" s="9">
        <v>1</v>
      </c>
      <c r="K117" s="16">
        <f t="shared" si="7"/>
        <v>0.32155</v>
      </c>
      <c r="P117" s="9" t="s">
        <v>3157</v>
      </c>
    </row>
    <row r="118" spans="1:16" ht="14.25" customHeight="1" x14ac:dyDescent="0.35">
      <c r="A118">
        <v>20020003</v>
      </c>
      <c r="B118" s="9" t="s">
        <v>3157</v>
      </c>
      <c r="C118" t="s">
        <v>3162</v>
      </c>
      <c r="D118" t="s">
        <v>3162</v>
      </c>
      <c r="E118" s="29">
        <v>0.6</v>
      </c>
      <c r="F118" s="26">
        <v>0.29499999999999998</v>
      </c>
      <c r="G118" s="24">
        <v>12</v>
      </c>
      <c r="H118" s="24" t="s">
        <v>3003</v>
      </c>
      <c r="I118" t="s">
        <v>3154</v>
      </c>
      <c r="J118" s="9">
        <v>1</v>
      </c>
      <c r="K118" s="16">
        <f t="shared" si="7"/>
        <v>0.17699999999999999</v>
      </c>
      <c r="P118" s="9" t="s">
        <v>3157</v>
      </c>
    </row>
    <row r="119" spans="1:16" ht="14.25" customHeight="1" x14ac:dyDescent="0.35">
      <c r="A119">
        <v>20020004</v>
      </c>
      <c r="B119" s="9" t="s">
        <v>3157</v>
      </c>
      <c r="C119" t="s">
        <v>3161</v>
      </c>
      <c r="D119" t="s">
        <v>3161</v>
      </c>
      <c r="E119" s="29">
        <v>0.54500000000000004</v>
      </c>
      <c r="F119" s="26">
        <v>0.32700000000000001</v>
      </c>
      <c r="G119" s="24">
        <v>12</v>
      </c>
      <c r="H119" s="24" t="s">
        <v>3003</v>
      </c>
      <c r="I119" t="s">
        <v>3154</v>
      </c>
      <c r="J119" s="9">
        <v>2</v>
      </c>
      <c r="K119" s="16">
        <f t="shared" si="7"/>
        <v>0.35643000000000002</v>
      </c>
      <c r="P119" s="9" t="s">
        <v>3157</v>
      </c>
    </row>
    <row r="120" spans="1:16" ht="14.25" customHeight="1" x14ac:dyDescent="0.35">
      <c r="A120">
        <v>20020005</v>
      </c>
      <c r="B120" s="9" t="s">
        <v>3157</v>
      </c>
      <c r="C120" t="s">
        <v>3160</v>
      </c>
      <c r="D120" t="s">
        <v>3160</v>
      </c>
      <c r="E120" s="29">
        <v>0.45300000000000001</v>
      </c>
      <c r="F120" s="26">
        <v>0.32700000000000001</v>
      </c>
      <c r="G120" s="24">
        <v>12</v>
      </c>
      <c r="H120" s="24" t="s">
        <v>3003</v>
      </c>
      <c r="I120" t="s">
        <v>3154</v>
      </c>
      <c r="J120" s="9">
        <v>1</v>
      </c>
      <c r="K120" s="16">
        <f t="shared" si="7"/>
        <v>0.14813100000000001</v>
      </c>
      <c r="P120" s="9" t="s">
        <v>3157</v>
      </c>
    </row>
    <row r="121" spans="1:16" ht="14.25" customHeight="1" x14ac:dyDescent="0.35">
      <c r="A121">
        <v>10050501</v>
      </c>
      <c r="B121" s="9" t="s">
        <v>3139</v>
      </c>
      <c r="C121" t="s">
        <v>246</v>
      </c>
      <c r="D121" t="s">
        <v>246</v>
      </c>
      <c r="E121" s="29">
        <v>0.9</v>
      </c>
      <c r="F121" s="26">
        <v>0.42</v>
      </c>
      <c r="G121" s="24">
        <v>15</v>
      </c>
      <c r="H121" s="24" t="s">
        <v>3003</v>
      </c>
      <c r="I121" t="s">
        <v>2981</v>
      </c>
      <c r="J121" s="9">
        <v>1</v>
      </c>
      <c r="K121" s="16">
        <f t="shared" si="7"/>
        <v>0.378</v>
      </c>
      <c r="P121" s="9" t="s">
        <v>3139</v>
      </c>
    </row>
    <row r="122" spans="1:16" ht="14.25" customHeight="1" x14ac:dyDescent="0.35">
      <c r="A122">
        <v>10050502</v>
      </c>
      <c r="B122" s="9" t="s">
        <v>3139</v>
      </c>
      <c r="C122" t="s">
        <v>248</v>
      </c>
      <c r="D122" t="s">
        <v>248</v>
      </c>
      <c r="E122" s="29">
        <v>0.46</v>
      </c>
      <c r="F122" s="26">
        <v>0.45</v>
      </c>
      <c r="G122" s="24">
        <v>18</v>
      </c>
      <c r="H122" s="24" t="s">
        <v>3003</v>
      </c>
      <c r="I122" t="s">
        <v>2979</v>
      </c>
      <c r="J122" s="9">
        <v>1</v>
      </c>
      <c r="K122" s="16">
        <f t="shared" si="7"/>
        <v>0.20700000000000002</v>
      </c>
      <c r="P122" s="9" t="s">
        <v>3139</v>
      </c>
    </row>
    <row r="123" spans="1:16" ht="14.25" customHeight="1" x14ac:dyDescent="0.35">
      <c r="A123">
        <v>10050503</v>
      </c>
      <c r="B123" s="9" t="s">
        <v>3139</v>
      </c>
      <c r="C123" t="s">
        <v>250</v>
      </c>
      <c r="D123" t="s">
        <v>250</v>
      </c>
      <c r="E123" s="29">
        <v>0.9</v>
      </c>
      <c r="F123" s="26">
        <v>0.26500000000000001</v>
      </c>
      <c r="G123" s="24">
        <v>15</v>
      </c>
      <c r="H123" s="24" t="s">
        <v>3003</v>
      </c>
      <c r="I123" t="s">
        <v>2981</v>
      </c>
      <c r="J123" s="9">
        <v>2</v>
      </c>
      <c r="K123" s="16">
        <f t="shared" si="7"/>
        <v>0.47700000000000004</v>
      </c>
      <c r="P123" s="9" t="s">
        <v>3139</v>
      </c>
    </row>
    <row r="124" spans="1:16" ht="14.25" customHeight="1" x14ac:dyDescent="0.35">
      <c r="A124">
        <v>10050504</v>
      </c>
      <c r="B124" s="9" t="s">
        <v>3139</v>
      </c>
      <c r="C124" t="s">
        <v>252</v>
      </c>
      <c r="D124" t="s">
        <v>252</v>
      </c>
      <c r="E124" s="29">
        <v>0.42</v>
      </c>
      <c r="F124" s="26">
        <v>0.25</v>
      </c>
      <c r="G124" s="24">
        <v>15</v>
      </c>
      <c r="H124" s="24" t="s">
        <v>3003</v>
      </c>
      <c r="I124" t="s">
        <v>2981</v>
      </c>
      <c r="J124" s="9">
        <v>3</v>
      </c>
      <c r="K124" s="16">
        <f t="shared" si="7"/>
        <v>0.315</v>
      </c>
      <c r="P124" s="9" t="s">
        <v>3139</v>
      </c>
    </row>
    <row r="125" spans="1:16" ht="14.25" customHeight="1" x14ac:dyDescent="0.35">
      <c r="A125">
        <v>10050505</v>
      </c>
      <c r="B125" s="9" t="s">
        <v>3139</v>
      </c>
      <c r="C125" t="s">
        <v>254</v>
      </c>
      <c r="D125" t="s">
        <v>254</v>
      </c>
      <c r="E125" s="29">
        <v>0.45</v>
      </c>
      <c r="F125" s="26">
        <v>0.22900000000000001</v>
      </c>
      <c r="G125" s="24">
        <v>18</v>
      </c>
      <c r="H125" s="24" t="s">
        <v>3003</v>
      </c>
      <c r="I125" t="s">
        <v>2979</v>
      </c>
      <c r="J125" s="9">
        <v>2</v>
      </c>
      <c r="K125" s="16">
        <f t="shared" si="7"/>
        <v>0.20610000000000001</v>
      </c>
      <c r="P125" s="9" t="s">
        <v>3139</v>
      </c>
    </row>
    <row r="126" spans="1:16" ht="14.25" customHeight="1" x14ac:dyDescent="0.35">
      <c r="A126">
        <v>10050506</v>
      </c>
      <c r="B126" s="9" t="s">
        <v>3139</v>
      </c>
      <c r="C126" t="s">
        <v>256</v>
      </c>
      <c r="D126" t="s">
        <v>256</v>
      </c>
      <c r="E126" s="29">
        <v>0.46</v>
      </c>
      <c r="F126" s="26">
        <v>0.45</v>
      </c>
      <c r="G126" s="24">
        <v>18</v>
      </c>
      <c r="H126" s="24" t="s">
        <v>3003</v>
      </c>
      <c r="I126" t="s">
        <v>2979</v>
      </c>
      <c r="J126" s="9">
        <v>1</v>
      </c>
      <c r="K126" s="16">
        <f t="shared" si="7"/>
        <v>0.20700000000000002</v>
      </c>
      <c r="P126" s="9" t="s">
        <v>3139</v>
      </c>
    </row>
    <row r="127" spans="1:16" ht="14.25" customHeight="1" x14ac:dyDescent="0.35">
      <c r="A127">
        <v>10050507</v>
      </c>
      <c r="B127" s="9" t="s">
        <v>3139</v>
      </c>
      <c r="C127" t="s">
        <v>258</v>
      </c>
      <c r="D127" t="s">
        <v>258</v>
      </c>
      <c r="E127" s="29">
        <v>0.36</v>
      </c>
      <c r="F127" s="26">
        <v>0.12</v>
      </c>
      <c r="G127" s="24">
        <v>25</v>
      </c>
      <c r="H127" s="24" t="s">
        <v>3003</v>
      </c>
      <c r="I127" t="s">
        <v>2977</v>
      </c>
      <c r="J127" s="9">
        <v>2</v>
      </c>
      <c r="K127" s="16">
        <f t="shared" si="7"/>
        <v>8.6399999999999991E-2</v>
      </c>
      <c r="P127" s="9" t="s">
        <v>3139</v>
      </c>
    </row>
    <row r="128" spans="1:16" ht="14.25" customHeight="1" x14ac:dyDescent="0.35">
      <c r="A128">
        <v>10050508</v>
      </c>
      <c r="B128" s="9" t="s">
        <v>3139</v>
      </c>
      <c r="C128" t="s">
        <v>260</v>
      </c>
      <c r="D128" t="s">
        <v>260</v>
      </c>
      <c r="E128" s="29">
        <v>0.6</v>
      </c>
      <c r="F128" s="26">
        <v>0.11799999999999999</v>
      </c>
      <c r="G128" s="24">
        <v>18</v>
      </c>
      <c r="H128" s="24" t="s">
        <v>3003</v>
      </c>
      <c r="I128" t="s">
        <v>2979</v>
      </c>
      <c r="J128" s="9">
        <v>2</v>
      </c>
      <c r="K128" s="16">
        <f t="shared" si="7"/>
        <v>0.14159999999999998</v>
      </c>
      <c r="P128" s="9" t="s">
        <v>3139</v>
      </c>
    </row>
    <row r="129" spans="1:16" ht="14.25" customHeight="1" x14ac:dyDescent="0.35">
      <c r="A129">
        <v>20050004</v>
      </c>
      <c r="B129" s="9" t="s">
        <v>3170</v>
      </c>
      <c r="C129" t="s">
        <v>728</v>
      </c>
      <c r="D129" t="s">
        <v>728</v>
      </c>
      <c r="E129" s="29">
        <v>0.51</v>
      </c>
      <c r="F129" s="26">
        <v>0.51</v>
      </c>
      <c r="G129" s="24">
        <v>12</v>
      </c>
      <c r="H129" s="24" t="s">
        <v>3003</v>
      </c>
      <c r="I129" t="s">
        <v>3154</v>
      </c>
      <c r="J129" s="9">
        <v>1</v>
      </c>
      <c r="K129" s="16">
        <f t="shared" si="7"/>
        <v>0.2601</v>
      </c>
      <c r="P129" s="9" t="s">
        <v>3170</v>
      </c>
    </row>
    <row r="130" spans="1:16" ht="14.25" customHeight="1" x14ac:dyDescent="0.35">
      <c r="A130">
        <v>20050001</v>
      </c>
      <c r="B130" s="9" t="s">
        <v>3171</v>
      </c>
      <c r="C130" t="s">
        <v>722</v>
      </c>
      <c r="D130" t="s">
        <v>722</v>
      </c>
      <c r="E130" s="29">
        <v>0.75</v>
      </c>
      <c r="F130" s="26">
        <v>0.154</v>
      </c>
      <c r="G130" s="24">
        <v>15</v>
      </c>
      <c r="H130" s="24" t="s">
        <v>3009</v>
      </c>
      <c r="I130" t="s">
        <v>2985</v>
      </c>
      <c r="J130" s="9">
        <v>4</v>
      </c>
      <c r="K130" s="16">
        <f t="shared" si="7"/>
        <v>0.46199999999999997</v>
      </c>
      <c r="P130" s="9" t="s">
        <v>3171</v>
      </c>
    </row>
    <row r="131" spans="1:16" ht="14.25" customHeight="1" x14ac:dyDescent="0.35">
      <c r="A131">
        <v>20050002</v>
      </c>
      <c r="B131" s="9" t="s">
        <v>3172</v>
      </c>
      <c r="C131" t="s">
        <v>724</v>
      </c>
      <c r="D131" t="s">
        <v>724</v>
      </c>
      <c r="E131" s="29">
        <v>0.51</v>
      </c>
      <c r="F131" s="26">
        <v>0.51</v>
      </c>
      <c r="G131" s="24">
        <v>12</v>
      </c>
      <c r="H131" s="24" t="s">
        <v>3003</v>
      </c>
      <c r="I131" t="s">
        <v>3154</v>
      </c>
      <c r="J131" s="9">
        <v>1</v>
      </c>
      <c r="K131" s="16">
        <f t="shared" si="7"/>
        <v>0.2601</v>
      </c>
      <c r="P131" s="9" t="s">
        <v>3172</v>
      </c>
    </row>
    <row r="132" spans="1:16" ht="14.25" customHeight="1" x14ac:dyDescent="0.35">
      <c r="A132">
        <v>20050008</v>
      </c>
      <c r="B132" s="9" t="s">
        <v>3173</v>
      </c>
      <c r="C132" t="s">
        <v>734</v>
      </c>
      <c r="D132" t="s">
        <v>734</v>
      </c>
      <c r="E132" s="29">
        <v>0.75</v>
      </c>
      <c r="F132" s="26">
        <v>0.152</v>
      </c>
      <c r="G132" s="24">
        <v>15</v>
      </c>
      <c r="H132" s="24" t="s">
        <v>3009</v>
      </c>
      <c r="I132" t="s">
        <v>2985</v>
      </c>
      <c r="J132" s="9">
        <v>4</v>
      </c>
      <c r="K132" s="16">
        <f t="shared" si="7"/>
        <v>0.45599999999999996</v>
      </c>
      <c r="P132" s="9" t="s">
        <v>3173</v>
      </c>
    </row>
    <row r="133" spans="1:16" ht="14.25" customHeight="1" x14ac:dyDescent="0.35">
      <c r="A133">
        <v>20050006</v>
      </c>
      <c r="B133" t="s">
        <v>3049</v>
      </c>
      <c r="C133" t="s">
        <v>732</v>
      </c>
      <c r="D133" t="s">
        <v>732</v>
      </c>
      <c r="E133" s="29">
        <v>1.0349999999999999</v>
      </c>
      <c r="F133" s="26">
        <v>1.0349999999999999</v>
      </c>
      <c r="G133" s="24">
        <v>25</v>
      </c>
      <c r="H133" s="24" t="s">
        <v>3003</v>
      </c>
      <c r="I133" t="s">
        <v>2977</v>
      </c>
      <c r="J133" s="9">
        <v>1</v>
      </c>
      <c r="K133" s="16">
        <f t="shared" si="7"/>
        <v>1.0712249999999999</v>
      </c>
      <c r="P133" t="s">
        <v>3049</v>
      </c>
    </row>
    <row r="134" spans="1:16" ht="14.25" customHeight="1" x14ac:dyDescent="0.35">
      <c r="A134">
        <v>30088001</v>
      </c>
      <c r="B134" s="9" t="s">
        <v>3175</v>
      </c>
      <c r="C134" t="s">
        <v>2165</v>
      </c>
      <c r="D134" t="s">
        <v>2165</v>
      </c>
      <c r="E134" s="29">
        <v>0.78</v>
      </c>
      <c r="F134" s="26">
        <v>0.45500000000000002</v>
      </c>
      <c r="G134" s="24">
        <v>15</v>
      </c>
      <c r="H134" s="24" t="s">
        <v>3009</v>
      </c>
      <c r="I134" t="s">
        <v>2985</v>
      </c>
      <c r="J134" s="9">
        <v>2</v>
      </c>
      <c r="K134" s="16">
        <f t="shared" si="7"/>
        <v>0.7098000000000001</v>
      </c>
      <c r="P134" s="9" t="s">
        <v>3175</v>
      </c>
    </row>
    <row r="135" spans="1:16" ht="14.25" customHeight="1" x14ac:dyDescent="0.35">
      <c r="A135">
        <v>30088202</v>
      </c>
      <c r="B135" s="9" t="s">
        <v>3175</v>
      </c>
      <c r="C135" t="s">
        <v>2173</v>
      </c>
      <c r="D135" t="s">
        <v>2173</v>
      </c>
      <c r="E135" s="29">
        <v>0.78</v>
      </c>
      <c r="F135" s="26">
        <v>0.45500000000000002</v>
      </c>
      <c r="G135" s="24">
        <v>12</v>
      </c>
      <c r="H135" s="24" t="s">
        <v>3009</v>
      </c>
      <c r="I135" t="s">
        <v>2983</v>
      </c>
      <c r="J135" s="9">
        <v>2</v>
      </c>
      <c r="K135" s="16">
        <f t="shared" si="7"/>
        <v>0.7098000000000001</v>
      </c>
      <c r="P135" s="9" t="s">
        <v>3175</v>
      </c>
    </row>
    <row r="136" spans="1:16" ht="14.25" customHeight="1" x14ac:dyDescent="0.35">
      <c r="A136">
        <v>30088201</v>
      </c>
      <c r="B136" s="9" t="s">
        <v>3176</v>
      </c>
      <c r="C136" t="s">
        <v>2171</v>
      </c>
      <c r="D136" t="s">
        <v>2171</v>
      </c>
      <c r="E136" s="29">
        <v>0.91</v>
      </c>
      <c r="F136" s="26">
        <v>0.77</v>
      </c>
      <c r="G136" s="24">
        <v>15</v>
      </c>
      <c r="H136" s="24" t="s">
        <v>3009</v>
      </c>
      <c r="I136" t="s">
        <v>2985</v>
      </c>
      <c r="J136" s="9">
        <v>2</v>
      </c>
      <c r="K136" s="16">
        <f t="shared" si="7"/>
        <v>1.4014</v>
      </c>
      <c r="P136" s="9" t="s">
        <v>3176</v>
      </c>
    </row>
    <row r="137" spans="1:16" ht="14.25" customHeight="1" x14ac:dyDescent="0.35">
      <c r="A137">
        <v>30088202</v>
      </c>
      <c r="B137" s="9" t="s">
        <v>3176</v>
      </c>
      <c r="C137" t="s">
        <v>2173</v>
      </c>
      <c r="D137" t="s">
        <v>2173</v>
      </c>
      <c r="E137" s="29">
        <v>0.78</v>
      </c>
      <c r="F137" s="26">
        <v>0.45500000000000002</v>
      </c>
      <c r="G137" s="24">
        <v>12</v>
      </c>
      <c r="H137" s="24" t="s">
        <v>3009</v>
      </c>
      <c r="I137" t="s">
        <v>2983</v>
      </c>
      <c r="J137" s="9">
        <v>2</v>
      </c>
      <c r="K137" s="16">
        <f t="shared" si="7"/>
        <v>0.7098000000000001</v>
      </c>
      <c r="P137" s="9" t="s">
        <v>3176</v>
      </c>
    </row>
    <row r="138" spans="1:16" ht="14.25" customHeight="1" x14ac:dyDescent="0.35">
      <c r="A138">
        <v>30088005</v>
      </c>
      <c r="B138" s="9" t="s">
        <v>3179</v>
      </c>
      <c r="C138" t="s">
        <v>2167</v>
      </c>
      <c r="D138" t="s">
        <v>2167</v>
      </c>
      <c r="E138" s="29">
        <v>1.6020000000000001</v>
      </c>
      <c r="F138" s="26">
        <v>0.90200000000000002</v>
      </c>
      <c r="G138" s="24">
        <v>15</v>
      </c>
      <c r="H138" s="24" t="s">
        <v>3009</v>
      </c>
      <c r="I138" t="s">
        <v>2985</v>
      </c>
      <c r="J138" s="9">
        <v>1</v>
      </c>
      <c r="K138" s="16">
        <f t="shared" si="7"/>
        <v>1.4450040000000002</v>
      </c>
      <c r="P138" s="9" t="s">
        <v>3179</v>
      </c>
    </row>
    <row r="139" spans="1:16" ht="14.25" customHeight="1" x14ac:dyDescent="0.35">
      <c r="A139">
        <v>30084006</v>
      </c>
      <c r="B139" s="9" t="s">
        <v>3179</v>
      </c>
      <c r="C139" t="s">
        <v>2132</v>
      </c>
      <c r="D139" t="s">
        <v>2132</v>
      </c>
      <c r="E139" s="29">
        <v>1.478</v>
      </c>
      <c r="F139" s="26">
        <v>0.06</v>
      </c>
      <c r="G139" s="24">
        <v>15</v>
      </c>
      <c r="H139" s="24" t="s">
        <v>3181</v>
      </c>
      <c r="I139" t="s">
        <v>2985</v>
      </c>
      <c r="J139" s="9">
        <v>2</v>
      </c>
      <c r="K139" s="16">
        <f t="shared" si="7"/>
        <v>0.17735999999999999</v>
      </c>
      <c r="P139" s="9" t="s">
        <v>3179</v>
      </c>
    </row>
    <row r="140" spans="1:16" ht="14.25" customHeight="1" x14ac:dyDescent="0.35">
      <c r="A140">
        <v>30084007</v>
      </c>
      <c r="B140" s="9" t="s">
        <v>3179</v>
      </c>
      <c r="C140" t="s">
        <v>2134</v>
      </c>
      <c r="D140" t="s">
        <v>2134</v>
      </c>
      <c r="E140" s="29">
        <v>0.90200000000000002</v>
      </c>
      <c r="F140" s="26">
        <v>0.06</v>
      </c>
      <c r="G140" s="24">
        <v>15</v>
      </c>
      <c r="H140" s="24" t="s">
        <v>3009</v>
      </c>
      <c r="I140" t="s">
        <v>2985</v>
      </c>
      <c r="J140" s="9">
        <v>2</v>
      </c>
      <c r="K140" s="16">
        <f t="shared" si="7"/>
        <v>0.10824</v>
      </c>
      <c r="P140" s="9" t="s">
        <v>3179</v>
      </c>
    </row>
    <row r="141" spans="1:16" ht="14.25" customHeight="1" x14ac:dyDescent="0.35">
      <c r="A141">
        <v>30084105</v>
      </c>
      <c r="B141" s="9" t="s">
        <v>3178</v>
      </c>
      <c r="C141" t="s">
        <v>2138</v>
      </c>
      <c r="D141" t="s">
        <v>2138</v>
      </c>
      <c r="E141" s="29">
        <v>1.3620000000000001</v>
      </c>
      <c r="F141" s="26">
        <v>0.90200000000000002</v>
      </c>
      <c r="G141" s="24">
        <v>15</v>
      </c>
      <c r="H141" s="24" t="s">
        <v>3009</v>
      </c>
      <c r="I141" t="s">
        <v>2985</v>
      </c>
      <c r="J141" s="9">
        <v>1</v>
      </c>
      <c r="K141" s="16">
        <f t="shared" si="7"/>
        <v>1.2285240000000002</v>
      </c>
      <c r="P141" s="9" t="s">
        <v>3178</v>
      </c>
    </row>
    <row r="142" spans="1:16" ht="14.25" customHeight="1" x14ac:dyDescent="0.35">
      <c r="A142">
        <v>30084106</v>
      </c>
      <c r="B142" s="9" t="s">
        <v>3178</v>
      </c>
      <c r="C142" t="s">
        <v>2140</v>
      </c>
      <c r="D142" t="s">
        <v>2140</v>
      </c>
      <c r="E142" s="29">
        <v>1.24</v>
      </c>
      <c r="F142" s="26">
        <v>0.06</v>
      </c>
      <c r="G142" s="24">
        <v>15</v>
      </c>
      <c r="H142" s="24" t="s">
        <v>3009</v>
      </c>
      <c r="I142" t="s">
        <v>2985</v>
      </c>
      <c r="J142" s="9">
        <v>2</v>
      </c>
      <c r="K142" s="16">
        <f t="shared" si="7"/>
        <v>0.14879999999999999</v>
      </c>
      <c r="P142" s="9" t="s">
        <v>3178</v>
      </c>
    </row>
    <row r="143" spans="1:16" ht="14.25" customHeight="1" x14ac:dyDescent="0.35">
      <c r="A143">
        <v>30084007</v>
      </c>
      <c r="B143" s="9" t="s">
        <v>3178</v>
      </c>
      <c r="C143" t="s">
        <v>2134</v>
      </c>
      <c r="D143" t="s">
        <v>2134</v>
      </c>
      <c r="E143" s="29">
        <v>0.90200000000000002</v>
      </c>
      <c r="F143" s="26">
        <v>0.06</v>
      </c>
      <c r="G143" s="24">
        <v>15</v>
      </c>
      <c r="H143" s="24" t="s">
        <v>3009</v>
      </c>
      <c r="I143" t="s">
        <v>2985</v>
      </c>
      <c r="J143" s="9">
        <v>2</v>
      </c>
      <c r="K143" s="16">
        <f t="shared" si="7"/>
        <v>0.10824</v>
      </c>
      <c r="P143" s="9" t="s">
        <v>3178</v>
      </c>
    </row>
    <row r="144" spans="1:16" ht="14.25" customHeight="1" x14ac:dyDescent="0.35">
      <c r="A144">
        <v>30088010</v>
      </c>
      <c r="B144" s="9" t="s">
        <v>3177</v>
      </c>
      <c r="C144" t="s">
        <v>2169</v>
      </c>
      <c r="D144" t="s">
        <v>2169</v>
      </c>
      <c r="E144" s="29">
        <v>0.90200000000000002</v>
      </c>
      <c r="F144" s="26">
        <v>0.90200000000000002</v>
      </c>
      <c r="G144" s="24">
        <v>15</v>
      </c>
      <c r="H144" s="24" t="s">
        <v>3009</v>
      </c>
      <c r="I144" t="s">
        <v>2985</v>
      </c>
      <c r="J144" s="9">
        <v>1</v>
      </c>
      <c r="K144" s="16">
        <f t="shared" si="7"/>
        <v>0.81360399999999999</v>
      </c>
      <c r="P144" s="9" t="s">
        <v>3177</v>
      </c>
    </row>
    <row r="145" spans="1:16" ht="14.25" customHeight="1" x14ac:dyDescent="0.35">
      <c r="A145">
        <v>30084306</v>
      </c>
      <c r="B145" s="9" t="s">
        <v>3177</v>
      </c>
      <c r="C145" t="s">
        <v>2152</v>
      </c>
      <c r="D145" t="s">
        <v>2152</v>
      </c>
      <c r="E145" s="29">
        <v>0.78</v>
      </c>
      <c r="F145" s="26">
        <v>0.06</v>
      </c>
      <c r="G145" s="24">
        <v>15</v>
      </c>
      <c r="H145" s="24" t="s">
        <v>3009</v>
      </c>
      <c r="I145" t="s">
        <v>2985</v>
      </c>
      <c r="J145" s="9">
        <v>2</v>
      </c>
      <c r="K145" s="16">
        <f t="shared" si="7"/>
        <v>9.3600000000000003E-2</v>
      </c>
      <c r="P145" s="9" t="s">
        <v>3177</v>
      </c>
    </row>
    <row r="146" spans="1:16" ht="14.25" customHeight="1" x14ac:dyDescent="0.35">
      <c r="A146">
        <v>30084007</v>
      </c>
      <c r="B146" s="9" t="s">
        <v>3177</v>
      </c>
      <c r="C146" t="s">
        <v>2134</v>
      </c>
      <c r="D146" t="s">
        <v>2134</v>
      </c>
      <c r="E146" s="29">
        <v>0.90200000000000002</v>
      </c>
      <c r="F146" s="26">
        <v>0.06</v>
      </c>
      <c r="G146" s="24">
        <v>15</v>
      </c>
      <c r="H146" s="24" t="s">
        <v>3009</v>
      </c>
      <c r="I146" t="s">
        <v>2985</v>
      </c>
      <c r="J146" s="9">
        <v>2</v>
      </c>
      <c r="K146" s="16">
        <f t="shared" si="7"/>
        <v>0.10824</v>
      </c>
      <c r="P146" s="9" t="s">
        <v>3177</v>
      </c>
    </row>
    <row r="147" spans="1:16" ht="14.25" customHeight="1" x14ac:dyDescent="0.35">
      <c r="A147">
        <v>200273101</v>
      </c>
      <c r="B147" s="9" t="s">
        <v>3182</v>
      </c>
      <c r="C147" t="s">
        <v>3184</v>
      </c>
      <c r="D147" t="s">
        <v>3184</v>
      </c>
      <c r="E147" s="29">
        <v>0.5</v>
      </c>
      <c r="F147" s="26">
        <v>0.5</v>
      </c>
      <c r="G147" s="24">
        <v>18</v>
      </c>
      <c r="H147" s="24" t="s">
        <v>3003</v>
      </c>
      <c r="I147" t="s">
        <v>2979</v>
      </c>
      <c r="J147" s="9">
        <v>1</v>
      </c>
      <c r="K147" s="16">
        <f t="shared" si="7"/>
        <v>0.25</v>
      </c>
      <c r="P147" s="9" t="s">
        <v>3182</v>
      </c>
    </row>
    <row r="148" spans="1:16" ht="14.25" customHeight="1" x14ac:dyDescent="0.35">
      <c r="A148">
        <v>200277101</v>
      </c>
      <c r="B148" s="9" t="s">
        <v>3182</v>
      </c>
      <c r="C148" t="s">
        <v>593</v>
      </c>
      <c r="D148" t="s">
        <v>593</v>
      </c>
      <c r="E148" s="29">
        <v>0.7</v>
      </c>
      <c r="F148" s="26">
        <v>0.16500000000000001</v>
      </c>
      <c r="G148" s="24">
        <v>18</v>
      </c>
      <c r="H148" s="24" t="s">
        <v>3003</v>
      </c>
      <c r="I148" t="s">
        <v>2979</v>
      </c>
      <c r="J148" s="9">
        <v>10</v>
      </c>
      <c r="K148" s="16">
        <f t="shared" si="7"/>
        <v>1.1549999999999998</v>
      </c>
      <c r="P148" s="9" t="s">
        <v>3182</v>
      </c>
    </row>
    <row r="149" spans="1:16" ht="14.25" customHeight="1" x14ac:dyDescent="0.35">
      <c r="A149">
        <v>200277101</v>
      </c>
      <c r="B149" s="9" t="s">
        <v>3183</v>
      </c>
      <c r="C149" t="s">
        <v>593</v>
      </c>
      <c r="D149" t="s">
        <v>593</v>
      </c>
      <c r="E149" s="29">
        <v>0.7</v>
      </c>
      <c r="F149" s="26">
        <v>0.16500000000000001</v>
      </c>
      <c r="G149" s="24">
        <v>18</v>
      </c>
      <c r="H149" s="24" t="s">
        <v>3003</v>
      </c>
      <c r="I149" t="s">
        <v>2979</v>
      </c>
      <c r="J149" s="9">
        <v>16</v>
      </c>
      <c r="K149" s="16">
        <f t="shared" si="7"/>
        <v>1.8479999999999999</v>
      </c>
      <c r="P149" s="9" t="s">
        <v>3183</v>
      </c>
    </row>
    <row r="150" spans="1:16" ht="14.25" customHeight="1" x14ac:dyDescent="0.35">
      <c r="A150">
        <v>200277102</v>
      </c>
      <c r="B150" s="9" t="s">
        <v>3183</v>
      </c>
      <c r="C150" t="s">
        <v>595</v>
      </c>
      <c r="D150" t="s">
        <v>595</v>
      </c>
      <c r="E150" s="29">
        <v>0.9</v>
      </c>
      <c r="F150" s="26">
        <v>0.45</v>
      </c>
      <c r="G150" s="24">
        <v>18</v>
      </c>
      <c r="H150" s="24" t="s">
        <v>3003</v>
      </c>
      <c r="I150" t="s">
        <v>2979</v>
      </c>
      <c r="J150" s="9">
        <v>1</v>
      </c>
      <c r="K150" s="16">
        <f t="shared" si="7"/>
        <v>0.40500000000000003</v>
      </c>
      <c r="P150" s="9" t="s">
        <v>3183</v>
      </c>
    </row>
    <row r="151" spans="1:16" ht="14.25" customHeight="1" x14ac:dyDescent="0.35">
      <c r="A151">
        <v>200303201</v>
      </c>
      <c r="B151" s="9" t="s">
        <v>3185</v>
      </c>
      <c r="C151" t="s">
        <v>601</v>
      </c>
      <c r="D151" t="s">
        <v>601</v>
      </c>
      <c r="E151" s="29">
        <v>1.36</v>
      </c>
      <c r="F151" s="26">
        <v>0.9</v>
      </c>
      <c r="G151" s="24">
        <v>15</v>
      </c>
      <c r="H151" s="24" t="s">
        <v>3003</v>
      </c>
      <c r="I151" t="s">
        <v>2981</v>
      </c>
      <c r="J151" s="9">
        <v>1</v>
      </c>
      <c r="K151" s="16">
        <f t="shared" si="7"/>
        <v>1.2240000000000002</v>
      </c>
      <c r="P151" s="9" t="s">
        <v>3185</v>
      </c>
    </row>
    <row r="152" spans="1:16" ht="14.25" customHeight="1" x14ac:dyDescent="0.35">
      <c r="A152">
        <v>200303202</v>
      </c>
      <c r="B152" s="9" t="s">
        <v>3185</v>
      </c>
      <c r="C152" t="s">
        <v>603</v>
      </c>
      <c r="D152" t="s">
        <v>603</v>
      </c>
      <c r="E152" s="29">
        <v>1.22</v>
      </c>
      <c r="F152" s="26">
        <v>0.1</v>
      </c>
      <c r="G152" s="24">
        <v>25</v>
      </c>
      <c r="H152" s="24" t="s">
        <v>3009</v>
      </c>
      <c r="I152" t="s">
        <v>2986</v>
      </c>
      <c r="J152" s="9">
        <v>2</v>
      </c>
      <c r="K152" s="16">
        <f t="shared" si="7"/>
        <v>0.24399999999999999</v>
      </c>
      <c r="P152" s="9" t="s">
        <v>3185</v>
      </c>
    </row>
    <row r="153" spans="1:16" ht="14.25" customHeight="1" x14ac:dyDescent="0.35">
      <c r="A153">
        <v>200306203</v>
      </c>
      <c r="B153" s="9" t="s">
        <v>3185</v>
      </c>
      <c r="C153" t="s">
        <v>625</v>
      </c>
      <c r="D153" t="s">
        <v>625</v>
      </c>
      <c r="E153" s="29">
        <v>0.9</v>
      </c>
      <c r="F153" s="26">
        <v>0.1</v>
      </c>
      <c r="G153" s="24">
        <v>25</v>
      </c>
      <c r="H153" s="24" t="s">
        <v>3009</v>
      </c>
      <c r="I153" t="s">
        <v>2986</v>
      </c>
      <c r="J153" s="9">
        <v>2</v>
      </c>
      <c r="K153" s="16">
        <f t="shared" si="7"/>
        <v>0.18000000000000002</v>
      </c>
      <c r="P153" s="9" t="s">
        <v>3185</v>
      </c>
    </row>
    <row r="154" spans="1:16" ht="14.25" customHeight="1" x14ac:dyDescent="0.35">
      <c r="A154">
        <v>200303201</v>
      </c>
      <c r="B154" s="9" t="s">
        <v>3186</v>
      </c>
      <c r="C154" t="s">
        <v>601</v>
      </c>
      <c r="D154" t="s">
        <v>601</v>
      </c>
      <c r="E154" s="29">
        <v>1.36</v>
      </c>
      <c r="F154" s="26">
        <v>0.9</v>
      </c>
      <c r="G154" s="24">
        <v>15</v>
      </c>
      <c r="H154" s="24" t="s">
        <v>3003</v>
      </c>
      <c r="I154" t="s">
        <v>2981</v>
      </c>
      <c r="J154" s="9">
        <v>1</v>
      </c>
      <c r="K154" s="16">
        <f t="shared" si="7"/>
        <v>1.2240000000000002</v>
      </c>
      <c r="P154" s="9" t="s">
        <v>3186</v>
      </c>
    </row>
    <row r="155" spans="1:16" ht="14.25" customHeight="1" x14ac:dyDescent="0.35">
      <c r="A155">
        <v>200303202</v>
      </c>
      <c r="B155" s="9" t="s">
        <v>3186</v>
      </c>
      <c r="C155" t="s">
        <v>603</v>
      </c>
      <c r="D155" t="s">
        <v>603</v>
      </c>
      <c r="E155" s="29">
        <v>1.22</v>
      </c>
      <c r="F155" s="26">
        <v>0.1</v>
      </c>
      <c r="G155" s="24">
        <v>25</v>
      </c>
      <c r="H155" s="24" t="s">
        <v>3009</v>
      </c>
      <c r="I155" t="s">
        <v>2986</v>
      </c>
      <c r="J155" s="9">
        <v>2</v>
      </c>
      <c r="K155" s="16">
        <f t="shared" ref="K155:K193" si="8">IFERROR(E155*F155,0)*J155</f>
        <v>0.24399999999999999</v>
      </c>
      <c r="P155" s="9" t="s">
        <v>3186</v>
      </c>
    </row>
    <row r="156" spans="1:16" ht="14.25" customHeight="1" x14ac:dyDescent="0.35">
      <c r="A156">
        <v>200306203</v>
      </c>
      <c r="B156" s="9" t="s">
        <v>3186</v>
      </c>
      <c r="C156" t="s">
        <v>625</v>
      </c>
      <c r="D156" t="s">
        <v>625</v>
      </c>
      <c r="E156" s="29">
        <v>0.9</v>
      </c>
      <c r="F156" s="26">
        <v>0.1</v>
      </c>
      <c r="G156" s="24">
        <v>25</v>
      </c>
      <c r="H156" s="24" t="s">
        <v>3009</v>
      </c>
      <c r="I156" t="s">
        <v>2986</v>
      </c>
      <c r="J156" s="9">
        <v>2</v>
      </c>
      <c r="K156" s="16">
        <f t="shared" si="8"/>
        <v>0.18000000000000002</v>
      </c>
      <c r="P156" s="9" t="s">
        <v>3186</v>
      </c>
    </row>
    <row r="157" spans="1:16" ht="14.25" customHeight="1" x14ac:dyDescent="0.35">
      <c r="A157">
        <v>200308201</v>
      </c>
      <c r="B157" s="9" t="s">
        <v>3190</v>
      </c>
      <c r="C157" t="s">
        <v>633</v>
      </c>
      <c r="D157" t="s">
        <v>633</v>
      </c>
      <c r="E157" s="29">
        <v>1.8</v>
      </c>
      <c r="F157" s="26">
        <v>0.9</v>
      </c>
      <c r="G157" s="24">
        <v>15</v>
      </c>
      <c r="H157" s="24" t="s">
        <v>3003</v>
      </c>
      <c r="I157" t="s">
        <v>2981</v>
      </c>
      <c r="J157" s="9">
        <v>1</v>
      </c>
      <c r="K157" s="16">
        <f t="shared" si="8"/>
        <v>1.62</v>
      </c>
      <c r="P157" s="9" t="s">
        <v>3190</v>
      </c>
    </row>
    <row r="158" spans="1:16" ht="14.25" customHeight="1" x14ac:dyDescent="0.35">
      <c r="A158">
        <v>200308202</v>
      </c>
      <c r="B158" s="9" t="s">
        <v>3190</v>
      </c>
      <c r="C158" t="s">
        <v>635</v>
      </c>
      <c r="D158" t="s">
        <v>635</v>
      </c>
      <c r="E158" s="29">
        <v>1.66</v>
      </c>
      <c r="F158" s="26">
        <v>0.1</v>
      </c>
      <c r="G158" s="24">
        <v>25</v>
      </c>
      <c r="H158" s="24" t="s">
        <v>3009</v>
      </c>
      <c r="I158" t="s">
        <v>2986</v>
      </c>
      <c r="J158" s="9">
        <v>2</v>
      </c>
      <c r="K158" s="16">
        <f t="shared" si="8"/>
        <v>0.33200000000000002</v>
      </c>
      <c r="P158" s="9" t="s">
        <v>3190</v>
      </c>
    </row>
    <row r="159" spans="1:16" ht="14.25" customHeight="1" x14ac:dyDescent="0.35">
      <c r="A159">
        <v>200306203</v>
      </c>
      <c r="B159" s="9" t="s">
        <v>3190</v>
      </c>
      <c r="C159" t="s">
        <v>625</v>
      </c>
      <c r="D159" t="s">
        <v>625</v>
      </c>
      <c r="E159" s="29">
        <v>0.9</v>
      </c>
      <c r="F159" s="26">
        <v>0.1</v>
      </c>
      <c r="G159" s="24">
        <v>25</v>
      </c>
      <c r="H159" s="24" t="s">
        <v>3009</v>
      </c>
      <c r="I159" t="s">
        <v>2986</v>
      </c>
      <c r="J159" s="9">
        <v>2</v>
      </c>
      <c r="K159" s="16">
        <f t="shared" si="8"/>
        <v>0.18000000000000002</v>
      </c>
      <c r="P159" s="9" t="s">
        <v>3190</v>
      </c>
    </row>
    <row r="160" spans="1:16" ht="14.25" customHeight="1" x14ac:dyDescent="0.35">
      <c r="A160">
        <v>200306101</v>
      </c>
      <c r="B160" s="9" t="s">
        <v>3193</v>
      </c>
      <c r="C160" t="s">
        <v>609</v>
      </c>
      <c r="D160" t="s">
        <v>609</v>
      </c>
      <c r="E160" s="29">
        <v>0.8</v>
      </c>
      <c r="F160" s="26">
        <v>0.1</v>
      </c>
      <c r="G160" s="24">
        <v>25</v>
      </c>
      <c r="H160" s="24" t="s">
        <v>3009</v>
      </c>
      <c r="I160" t="s">
        <v>2986</v>
      </c>
      <c r="J160" s="9">
        <v>8</v>
      </c>
      <c r="K160" s="16">
        <f t="shared" si="8"/>
        <v>0.64000000000000012</v>
      </c>
      <c r="P160" s="9" t="s">
        <v>3193</v>
      </c>
    </row>
    <row r="161" spans="1:16" ht="14.25" customHeight="1" x14ac:dyDescent="0.35">
      <c r="A161">
        <v>200306102</v>
      </c>
      <c r="B161" s="9" t="s">
        <v>3193</v>
      </c>
      <c r="C161" t="s">
        <v>611</v>
      </c>
      <c r="D161" t="s">
        <v>611</v>
      </c>
      <c r="E161" s="29">
        <v>0.65300000000000002</v>
      </c>
      <c r="F161" s="26">
        <v>9.5000000000000001E-2</v>
      </c>
      <c r="G161" s="24">
        <v>25</v>
      </c>
      <c r="H161" s="24" t="s">
        <v>3009</v>
      </c>
      <c r="I161" t="s">
        <v>2986</v>
      </c>
      <c r="J161" s="9">
        <v>4</v>
      </c>
      <c r="K161" s="16">
        <f t="shared" si="8"/>
        <v>0.24814</v>
      </c>
      <c r="P161" s="9" t="s">
        <v>3193</v>
      </c>
    </row>
    <row r="162" spans="1:16" ht="14.25" customHeight="1" x14ac:dyDescent="0.35">
      <c r="A162">
        <v>200306103</v>
      </c>
      <c r="B162" s="9" t="s">
        <v>3193</v>
      </c>
      <c r="C162" t="s">
        <v>613</v>
      </c>
      <c r="D162" t="s">
        <v>613</v>
      </c>
      <c r="E162" s="29">
        <v>0.39300000000000002</v>
      </c>
      <c r="F162" s="26">
        <v>0.12</v>
      </c>
      <c r="G162" s="24">
        <v>18</v>
      </c>
      <c r="H162" s="24" t="s">
        <v>3003</v>
      </c>
      <c r="I162" t="s">
        <v>2979</v>
      </c>
      <c r="J162" s="9">
        <v>2</v>
      </c>
      <c r="K162" s="16">
        <f t="shared" si="8"/>
        <v>9.4320000000000001E-2</v>
      </c>
      <c r="P162" s="9" t="s">
        <v>3193</v>
      </c>
    </row>
    <row r="163" spans="1:16" ht="14.25" customHeight="1" x14ac:dyDescent="0.35">
      <c r="A163">
        <v>200308101</v>
      </c>
      <c r="B163" s="9" t="s">
        <v>3193</v>
      </c>
      <c r="C163" t="s">
        <v>631</v>
      </c>
      <c r="D163" t="s">
        <v>631</v>
      </c>
      <c r="E163" s="29">
        <v>1.2</v>
      </c>
      <c r="F163" s="26">
        <v>0.12</v>
      </c>
      <c r="G163" s="24">
        <v>18</v>
      </c>
      <c r="H163" s="24" t="s">
        <v>3003</v>
      </c>
      <c r="I163" t="s">
        <v>2979</v>
      </c>
      <c r="J163" s="9">
        <v>2</v>
      </c>
      <c r="K163" s="16">
        <f t="shared" si="8"/>
        <v>0.28799999999999998</v>
      </c>
      <c r="P163" s="9" t="s">
        <v>3193</v>
      </c>
    </row>
    <row r="164" spans="1:16" ht="14.25" customHeight="1" x14ac:dyDescent="0.35">
      <c r="A164">
        <v>200306201</v>
      </c>
      <c r="B164" s="9" t="s">
        <v>3189</v>
      </c>
      <c r="C164" t="s">
        <v>3194</v>
      </c>
      <c r="D164" t="s">
        <v>3194</v>
      </c>
      <c r="E164" s="29">
        <v>1.6</v>
      </c>
      <c r="F164" s="26">
        <v>0.9</v>
      </c>
      <c r="G164" s="24">
        <v>15</v>
      </c>
      <c r="H164" s="24" t="s">
        <v>3003</v>
      </c>
      <c r="I164" t="s">
        <v>2981</v>
      </c>
      <c r="J164" s="9">
        <v>1</v>
      </c>
      <c r="K164" s="16">
        <f t="shared" si="8"/>
        <v>1.4400000000000002</v>
      </c>
      <c r="P164" s="9" t="s">
        <v>3189</v>
      </c>
    </row>
    <row r="165" spans="1:16" ht="14.25" customHeight="1" x14ac:dyDescent="0.35">
      <c r="A165">
        <v>200306202</v>
      </c>
      <c r="B165" s="9" t="s">
        <v>3189</v>
      </c>
      <c r="C165" t="s">
        <v>623</v>
      </c>
      <c r="D165" t="s">
        <v>623</v>
      </c>
      <c r="E165" s="29">
        <v>1.46</v>
      </c>
      <c r="F165" s="26">
        <v>7.0000000000000007E-2</v>
      </c>
      <c r="G165" s="24">
        <v>25</v>
      </c>
      <c r="H165" s="24" t="s">
        <v>3009</v>
      </c>
      <c r="I165" t="s">
        <v>2986</v>
      </c>
      <c r="J165" s="9">
        <v>2</v>
      </c>
      <c r="K165" s="16">
        <f t="shared" si="8"/>
        <v>0.20440000000000003</v>
      </c>
      <c r="P165" s="9" t="s">
        <v>3189</v>
      </c>
    </row>
    <row r="166" spans="1:16" ht="14.25" customHeight="1" x14ac:dyDescent="0.35">
      <c r="A166">
        <v>200306203</v>
      </c>
      <c r="B166" s="9" t="s">
        <v>3189</v>
      </c>
      <c r="C166" t="s">
        <v>625</v>
      </c>
      <c r="D166" t="s">
        <v>625</v>
      </c>
      <c r="E166" s="29">
        <v>0.9</v>
      </c>
      <c r="F166" s="26">
        <v>0.1</v>
      </c>
      <c r="G166" s="24">
        <v>25</v>
      </c>
      <c r="H166" s="24" t="s">
        <v>3009</v>
      </c>
      <c r="I166" t="s">
        <v>2986</v>
      </c>
      <c r="J166" s="9">
        <v>2</v>
      </c>
      <c r="K166" s="16">
        <f t="shared" si="8"/>
        <v>0.18000000000000002</v>
      </c>
      <c r="P166" s="9" t="s">
        <v>3189</v>
      </c>
    </row>
    <row r="167" spans="1:16" ht="14.25" customHeight="1" x14ac:dyDescent="0.35">
      <c r="A167">
        <v>200306201</v>
      </c>
      <c r="B167" s="9" t="s">
        <v>3188</v>
      </c>
      <c r="C167" t="s">
        <v>3194</v>
      </c>
      <c r="D167" t="s">
        <v>3194</v>
      </c>
      <c r="E167" s="29">
        <v>1.6</v>
      </c>
      <c r="F167" s="26">
        <v>0.9</v>
      </c>
      <c r="G167" s="24">
        <v>15</v>
      </c>
      <c r="H167" s="24" t="s">
        <v>3003</v>
      </c>
      <c r="I167" t="s">
        <v>2981</v>
      </c>
      <c r="J167" s="9">
        <v>1</v>
      </c>
      <c r="K167" s="16">
        <f t="shared" si="8"/>
        <v>1.4400000000000002</v>
      </c>
      <c r="P167" s="9" t="s">
        <v>3188</v>
      </c>
    </row>
    <row r="168" spans="1:16" ht="14.25" customHeight="1" x14ac:dyDescent="0.35">
      <c r="A168">
        <v>200306202</v>
      </c>
      <c r="B168" s="9" t="s">
        <v>3188</v>
      </c>
      <c r="C168" t="s">
        <v>623</v>
      </c>
      <c r="D168" t="s">
        <v>623</v>
      </c>
      <c r="E168" s="29">
        <v>1.46</v>
      </c>
      <c r="F168" s="26">
        <v>7.0000000000000007E-2</v>
      </c>
      <c r="G168" s="24">
        <v>25</v>
      </c>
      <c r="H168" s="24" t="s">
        <v>3009</v>
      </c>
      <c r="I168" t="s">
        <v>2986</v>
      </c>
      <c r="J168" s="9">
        <v>2</v>
      </c>
      <c r="K168" s="16">
        <f t="shared" si="8"/>
        <v>0.20440000000000003</v>
      </c>
      <c r="P168" s="9" t="s">
        <v>3188</v>
      </c>
    </row>
    <row r="169" spans="1:16" ht="14.25" customHeight="1" x14ac:dyDescent="0.35">
      <c r="A169">
        <v>200306203</v>
      </c>
      <c r="B169" s="9" t="s">
        <v>3188</v>
      </c>
      <c r="C169" t="s">
        <v>625</v>
      </c>
      <c r="D169" t="s">
        <v>625</v>
      </c>
      <c r="E169" s="29">
        <v>0.9</v>
      </c>
      <c r="F169" s="26">
        <v>0.1</v>
      </c>
      <c r="G169" s="24">
        <v>25</v>
      </c>
      <c r="H169" s="24" t="s">
        <v>3009</v>
      </c>
      <c r="I169" t="s">
        <v>2986</v>
      </c>
      <c r="J169" s="9">
        <v>2</v>
      </c>
      <c r="K169" s="16">
        <f t="shared" si="8"/>
        <v>0.18000000000000002</v>
      </c>
      <c r="P169" s="9" t="s">
        <v>3188</v>
      </c>
    </row>
    <row r="170" spans="1:16" ht="14.25" customHeight="1" x14ac:dyDescent="0.35">
      <c r="A170">
        <v>200306101</v>
      </c>
      <c r="B170" s="9" t="s">
        <v>3187</v>
      </c>
      <c r="C170" t="s">
        <v>609</v>
      </c>
      <c r="D170" t="s">
        <v>609</v>
      </c>
      <c r="E170" s="29">
        <v>0.8</v>
      </c>
      <c r="F170" s="26">
        <v>0.1</v>
      </c>
      <c r="G170" s="24">
        <v>25</v>
      </c>
      <c r="H170" s="24" t="s">
        <v>3009</v>
      </c>
      <c r="I170" t="s">
        <v>2986</v>
      </c>
      <c r="J170" s="9">
        <v>8</v>
      </c>
      <c r="K170" s="16">
        <f t="shared" si="8"/>
        <v>0.64000000000000012</v>
      </c>
      <c r="P170" s="9" t="s">
        <v>3187</v>
      </c>
    </row>
    <row r="171" spans="1:16" ht="14.25" customHeight="1" x14ac:dyDescent="0.35">
      <c r="A171">
        <v>200306102</v>
      </c>
      <c r="B171" s="9" t="s">
        <v>3187</v>
      </c>
      <c r="C171" t="s">
        <v>611</v>
      </c>
      <c r="D171" t="s">
        <v>611</v>
      </c>
      <c r="E171" s="29">
        <v>0.65300000000000002</v>
      </c>
      <c r="F171" s="26">
        <v>9.5000000000000001E-2</v>
      </c>
      <c r="G171" s="24">
        <v>25</v>
      </c>
      <c r="H171" s="24" t="s">
        <v>3009</v>
      </c>
      <c r="I171" t="s">
        <v>2986</v>
      </c>
      <c r="J171" s="9">
        <v>4</v>
      </c>
      <c r="K171" s="16">
        <f t="shared" si="8"/>
        <v>0.24814</v>
      </c>
      <c r="P171" s="9" t="s">
        <v>3187</v>
      </c>
    </row>
    <row r="172" spans="1:16" ht="14.25" customHeight="1" x14ac:dyDescent="0.35">
      <c r="A172">
        <v>200306103</v>
      </c>
      <c r="B172" s="9" t="s">
        <v>3187</v>
      </c>
      <c r="C172" t="s">
        <v>613</v>
      </c>
      <c r="D172" t="s">
        <v>613</v>
      </c>
      <c r="E172" s="29">
        <v>0.39300000000000002</v>
      </c>
      <c r="F172" s="26">
        <v>0.12</v>
      </c>
      <c r="G172" s="24">
        <v>18</v>
      </c>
      <c r="H172" s="24" t="s">
        <v>3003</v>
      </c>
      <c r="I172" t="s">
        <v>2979</v>
      </c>
      <c r="J172" s="9">
        <v>2</v>
      </c>
      <c r="K172" s="16">
        <f t="shared" si="8"/>
        <v>9.4320000000000001E-2</v>
      </c>
      <c r="P172" s="9" t="s">
        <v>3187</v>
      </c>
    </row>
    <row r="173" spans="1:16" ht="14.25" customHeight="1" x14ac:dyDescent="0.35">
      <c r="A173">
        <v>200306104</v>
      </c>
      <c r="B173" s="9" t="s">
        <v>3187</v>
      </c>
      <c r="C173" t="s">
        <v>615</v>
      </c>
      <c r="D173" t="s">
        <v>615</v>
      </c>
      <c r="E173" s="29">
        <v>1</v>
      </c>
      <c r="F173" s="26">
        <v>0.12</v>
      </c>
      <c r="G173" s="24">
        <v>18</v>
      </c>
      <c r="H173" s="24" t="s">
        <v>3003</v>
      </c>
      <c r="I173" t="s">
        <v>2979</v>
      </c>
      <c r="J173" s="9">
        <v>2</v>
      </c>
      <c r="K173" s="16">
        <f t="shared" si="8"/>
        <v>0.24</v>
      </c>
      <c r="P173" s="9" t="s">
        <v>3187</v>
      </c>
    </row>
    <row r="174" spans="1:16" ht="14.25" customHeight="1" x14ac:dyDescent="0.35">
      <c r="A174">
        <v>20031202</v>
      </c>
      <c r="B174" s="9" t="s">
        <v>3197</v>
      </c>
      <c r="C174" t="s">
        <v>3200</v>
      </c>
      <c r="D174" t="s">
        <v>3200</v>
      </c>
      <c r="E174" s="29">
        <v>0.81799999999999995</v>
      </c>
      <c r="F174" s="26">
        <v>0.16900000000000001</v>
      </c>
      <c r="G174" s="24">
        <v>15</v>
      </c>
      <c r="H174" s="24" t="s">
        <v>3003</v>
      </c>
      <c r="I174" t="s">
        <v>2981</v>
      </c>
      <c r="J174" s="9">
        <v>4</v>
      </c>
      <c r="K174" s="16">
        <f t="shared" si="8"/>
        <v>0.55296800000000002</v>
      </c>
      <c r="P174" s="9" t="s">
        <v>3197</v>
      </c>
    </row>
    <row r="175" spans="1:16" ht="14.25" customHeight="1" x14ac:dyDescent="0.35">
      <c r="A175">
        <v>20031203</v>
      </c>
      <c r="B175" s="9" t="s">
        <v>3197</v>
      </c>
      <c r="C175" t="s">
        <v>3201</v>
      </c>
      <c r="D175" t="s">
        <v>3201</v>
      </c>
      <c r="E175" s="29">
        <v>0.81799999999999995</v>
      </c>
      <c r="F175" s="26">
        <v>0.13800000000000001</v>
      </c>
      <c r="G175" s="24">
        <v>15</v>
      </c>
      <c r="H175" s="24" t="s">
        <v>3003</v>
      </c>
      <c r="I175" t="s">
        <v>2981</v>
      </c>
      <c r="J175" s="9">
        <v>4</v>
      </c>
      <c r="K175" s="16">
        <f t="shared" si="8"/>
        <v>0.45153599999999999</v>
      </c>
      <c r="P175" s="9" t="s">
        <v>3197</v>
      </c>
    </row>
    <row r="176" spans="1:16" ht="14.25" customHeight="1" x14ac:dyDescent="0.35">
      <c r="A176">
        <v>20031205</v>
      </c>
      <c r="B176" s="9" t="s">
        <v>3197</v>
      </c>
      <c r="C176" t="s">
        <v>3202</v>
      </c>
      <c r="D176" t="s">
        <v>3202</v>
      </c>
      <c r="E176" s="29">
        <v>0.95199999999999996</v>
      </c>
      <c r="F176" s="26">
        <v>0.1</v>
      </c>
      <c r="G176" s="24">
        <v>15</v>
      </c>
      <c r="H176" s="24" t="s">
        <v>3009</v>
      </c>
      <c r="I176" t="s">
        <v>2985</v>
      </c>
      <c r="J176" s="9">
        <v>2</v>
      </c>
      <c r="K176" s="16">
        <f t="shared" si="8"/>
        <v>0.19040000000000001</v>
      </c>
      <c r="P176" s="9" t="s">
        <v>3197</v>
      </c>
    </row>
    <row r="177" spans="1:16" ht="14.25" customHeight="1" x14ac:dyDescent="0.35">
      <c r="A177">
        <v>20031206</v>
      </c>
      <c r="B177" s="9" t="s">
        <v>3197</v>
      </c>
      <c r="C177" t="s">
        <v>3203</v>
      </c>
      <c r="D177" t="s">
        <v>3203</v>
      </c>
      <c r="E177" s="29">
        <v>0.624</v>
      </c>
      <c r="F177" s="26">
        <v>0.1</v>
      </c>
      <c r="G177" s="24">
        <v>15</v>
      </c>
      <c r="H177" s="24" t="s">
        <v>3009</v>
      </c>
      <c r="I177" t="s">
        <v>2985</v>
      </c>
      <c r="J177" s="9">
        <v>2</v>
      </c>
      <c r="K177" s="16">
        <f t="shared" si="8"/>
        <v>0.12480000000000001</v>
      </c>
      <c r="P177" s="9" t="s">
        <v>3197</v>
      </c>
    </row>
    <row r="178" spans="1:16" ht="14.25" customHeight="1" x14ac:dyDescent="0.35">
      <c r="A178">
        <v>20031202</v>
      </c>
      <c r="B178" s="9" t="s">
        <v>3198</v>
      </c>
      <c r="C178" t="s">
        <v>3200</v>
      </c>
      <c r="D178" t="s">
        <v>3200</v>
      </c>
      <c r="E178" s="29">
        <v>0.81799999999999995</v>
      </c>
      <c r="F178" s="26">
        <v>0.16900000000000001</v>
      </c>
      <c r="G178" s="24">
        <v>15</v>
      </c>
      <c r="H178" s="24" t="s">
        <v>3003</v>
      </c>
      <c r="I178" t="s">
        <v>2981</v>
      </c>
      <c r="J178" s="9">
        <v>4</v>
      </c>
      <c r="K178" s="16">
        <f t="shared" si="8"/>
        <v>0.55296800000000002</v>
      </c>
      <c r="P178" s="9" t="s">
        <v>3198</v>
      </c>
    </row>
    <row r="179" spans="1:16" ht="14.25" customHeight="1" x14ac:dyDescent="0.35">
      <c r="A179">
        <v>20031203</v>
      </c>
      <c r="B179" s="9" t="s">
        <v>3198</v>
      </c>
      <c r="C179" t="s">
        <v>3201</v>
      </c>
      <c r="D179" t="s">
        <v>3201</v>
      </c>
      <c r="E179" s="29">
        <v>0.81799999999999995</v>
      </c>
      <c r="F179" s="26">
        <v>0.13800000000000001</v>
      </c>
      <c r="G179" s="24">
        <v>15</v>
      </c>
      <c r="H179" s="24" t="s">
        <v>3003</v>
      </c>
      <c r="I179" t="s">
        <v>2981</v>
      </c>
      <c r="J179" s="9">
        <v>4</v>
      </c>
      <c r="K179" s="16">
        <f t="shared" si="8"/>
        <v>0.45153599999999999</v>
      </c>
      <c r="P179" s="9" t="s">
        <v>3198</v>
      </c>
    </row>
    <row r="180" spans="1:16" ht="14.25" customHeight="1" x14ac:dyDescent="0.35">
      <c r="A180">
        <v>20031206</v>
      </c>
      <c r="B180" s="9" t="s">
        <v>3198</v>
      </c>
      <c r="C180" t="s">
        <v>3205</v>
      </c>
      <c r="D180" t="s">
        <v>3205</v>
      </c>
      <c r="E180" s="29">
        <v>0.624</v>
      </c>
      <c r="F180" s="26">
        <v>0.1</v>
      </c>
      <c r="G180" s="24">
        <v>15</v>
      </c>
      <c r="H180" s="24" t="s">
        <v>3009</v>
      </c>
      <c r="I180" t="s">
        <v>2985</v>
      </c>
      <c r="J180" s="9">
        <v>2</v>
      </c>
      <c r="K180" s="16">
        <f t="shared" si="8"/>
        <v>0.12480000000000001</v>
      </c>
      <c r="P180" s="9" t="s">
        <v>3198</v>
      </c>
    </row>
    <row r="181" spans="1:16" ht="14.25" customHeight="1" x14ac:dyDescent="0.35">
      <c r="A181">
        <v>20031305</v>
      </c>
      <c r="B181" s="9" t="s">
        <v>3198</v>
      </c>
      <c r="C181" t="s">
        <v>3206</v>
      </c>
      <c r="D181" t="s">
        <v>3206</v>
      </c>
      <c r="E181" s="29">
        <v>1.1120000000000001</v>
      </c>
      <c r="F181" s="26">
        <v>0.1</v>
      </c>
      <c r="G181" s="24">
        <v>15</v>
      </c>
      <c r="H181" s="24" t="s">
        <v>3009</v>
      </c>
      <c r="I181" t="s">
        <v>2985</v>
      </c>
      <c r="J181" s="9">
        <v>2</v>
      </c>
      <c r="K181" s="16">
        <f t="shared" si="8"/>
        <v>0.22240000000000004</v>
      </c>
      <c r="P181" s="9" t="s">
        <v>3198</v>
      </c>
    </row>
    <row r="182" spans="1:16" ht="14.25" customHeight="1" x14ac:dyDescent="0.35">
      <c r="A182">
        <v>20031202</v>
      </c>
      <c r="B182" s="9" t="s">
        <v>3199</v>
      </c>
      <c r="C182" t="s">
        <v>3200</v>
      </c>
      <c r="D182" t="s">
        <v>3200</v>
      </c>
      <c r="E182" s="29">
        <v>0.81799999999999995</v>
      </c>
      <c r="F182" s="26">
        <v>0.16900000000000001</v>
      </c>
      <c r="G182" s="24">
        <v>15</v>
      </c>
      <c r="H182" s="24" t="s">
        <v>3003</v>
      </c>
      <c r="I182" t="s">
        <v>2981</v>
      </c>
      <c r="J182" s="9">
        <v>4</v>
      </c>
      <c r="K182" s="16">
        <f t="shared" si="8"/>
        <v>0.55296800000000002</v>
      </c>
      <c r="P182" s="9" t="s">
        <v>3199</v>
      </c>
    </row>
    <row r="183" spans="1:16" ht="14.25" customHeight="1" x14ac:dyDescent="0.35">
      <c r="A183">
        <v>20031203</v>
      </c>
      <c r="B183" s="9" t="s">
        <v>3199</v>
      </c>
      <c r="C183" t="s">
        <v>3201</v>
      </c>
      <c r="D183" t="s">
        <v>3201</v>
      </c>
      <c r="E183" s="29">
        <v>0.81799999999999995</v>
      </c>
      <c r="F183" s="26">
        <v>0.13800000000000001</v>
      </c>
      <c r="G183" s="24">
        <v>15</v>
      </c>
      <c r="H183" s="24" t="s">
        <v>3003</v>
      </c>
      <c r="I183" t="s">
        <v>2981</v>
      </c>
      <c r="J183" s="9">
        <v>4</v>
      </c>
      <c r="K183" s="16">
        <f t="shared" si="8"/>
        <v>0.45153599999999999</v>
      </c>
      <c r="P183" s="9" t="s">
        <v>3199</v>
      </c>
    </row>
    <row r="184" spans="1:16" ht="14.25" customHeight="1" x14ac:dyDescent="0.35">
      <c r="A184">
        <v>20031206</v>
      </c>
      <c r="B184" s="9" t="s">
        <v>3199</v>
      </c>
      <c r="C184" t="s">
        <v>3205</v>
      </c>
      <c r="D184" t="s">
        <v>3205</v>
      </c>
      <c r="E184" s="29">
        <v>0.624</v>
      </c>
      <c r="F184" s="26">
        <v>0.1</v>
      </c>
      <c r="G184" s="24">
        <v>15</v>
      </c>
      <c r="H184" s="24" t="s">
        <v>3009</v>
      </c>
      <c r="I184" t="s">
        <v>2985</v>
      </c>
      <c r="J184" s="9">
        <v>2</v>
      </c>
      <c r="K184" s="16">
        <f t="shared" si="8"/>
        <v>0.12480000000000001</v>
      </c>
      <c r="P184" s="9" t="s">
        <v>3199</v>
      </c>
    </row>
    <row r="185" spans="1:16" ht="14.25" customHeight="1" x14ac:dyDescent="0.35">
      <c r="A185">
        <v>20031605</v>
      </c>
      <c r="B185" s="9" t="s">
        <v>3199</v>
      </c>
      <c r="C185" t="s">
        <v>3207</v>
      </c>
      <c r="D185" t="s">
        <v>3207</v>
      </c>
      <c r="E185" s="29">
        <v>1.3520000000000001</v>
      </c>
      <c r="F185" s="26">
        <v>0.1</v>
      </c>
      <c r="G185" s="24">
        <v>15</v>
      </c>
      <c r="H185" s="24" t="s">
        <v>3009</v>
      </c>
      <c r="I185" t="s">
        <v>2985</v>
      </c>
      <c r="J185" s="9">
        <v>2</v>
      </c>
      <c r="K185" s="16">
        <f t="shared" si="8"/>
        <v>0.27040000000000003</v>
      </c>
      <c r="P185" s="9" t="s">
        <v>3199</v>
      </c>
    </row>
    <row r="186" spans="1:16" ht="14.25" customHeight="1" x14ac:dyDescent="0.35">
      <c r="A186">
        <v>20052204</v>
      </c>
      <c r="B186" s="9" t="s">
        <v>3208</v>
      </c>
      <c r="C186" t="s">
        <v>3210</v>
      </c>
      <c r="D186" t="s">
        <v>3210</v>
      </c>
      <c r="E186" s="29">
        <v>0.74</v>
      </c>
      <c r="F186" s="26">
        <v>0.44</v>
      </c>
      <c r="G186" s="24">
        <v>12</v>
      </c>
      <c r="H186" s="24" t="s">
        <v>3009</v>
      </c>
      <c r="I186" t="s">
        <v>2983</v>
      </c>
      <c r="J186" s="9">
        <v>1</v>
      </c>
      <c r="K186" s="16">
        <f t="shared" si="8"/>
        <v>0.3256</v>
      </c>
      <c r="P186" s="9" t="s">
        <v>3208</v>
      </c>
    </row>
    <row r="187" spans="1:16" ht="14.25" customHeight="1" x14ac:dyDescent="0.35">
      <c r="A187">
        <v>20052001</v>
      </c>
      <c r="B187" s="9" t="s">
        <v>3208</v>
      </c>
      <c r="C187" t="s">
        <v>766</v>
      </c>
      <c r="D187" t="s">
        <v>766</v>
      </c>
      <c r="E187" s="29">
        <v>0.74199999999999999</v>
      </c>
      <c r="F187" s="26">
        <v>0.122</v>
      </c>
      <c r="G187" s="24">
        <v>25</v>
      </c>
      <c r="H187" s="24" t="s">
        <v>3003</v>
      </c>
      <c r="I187" t="s">
        <v>2977</v>
      </c>
      <c r="J187" s="9">
        <v>4</v>
      </c>
      <c r="K187" s="16">
        <f t="shared" si="8"/>
        <v>0.36209599999999997</v>
      </c>
      <c r="P187" s="9" t="s">
        <v>3208</v>
      </c>
    </row>
    <row r="188" spans="1:16" ht="14.25" customHeight="1" x14ac:dyDescent="0.35">
      <c r="A188">
        <v>20052202</v>
      </c>
      <c r="B188" s="9" t="s">
        <v>3208</v>
      </c>
      <c r="C188" t="s">
        <v>3211</v>
      </c>
      <c r="D188" t="s">
        <v>3211</v>
      </c>
      <c r="E188" s="29">
        <v>0.74199999999999999</v>
      </c>
      <c r="F188" s="26">
        <v>0.124</v>
      </c>
      <c r="G188" s="24">
        <v>25</v>
      </c>
      <c r="H188" s="24" t="s">
        <v>3003</v>
      </c>
      <c r="I188" t="s">
        <v>2977</v>
      </c>
      <c r="J188" s="9">
        <v>1</v>
      </c>
      <c r="K188" s="16">
        <f t="shared" si="8"/>
        <v>9.2007999999999993E-2</v>
      </c>
      <c r="P188" s="9" t="s">
        <v>3208</v>
      </c>
    </row>
    <row r="189" spans="1:16" ht="14.25" customHeight="1" x14ac:dyDescent="0.35">
      <c r="A189">
        <v>20052203</v>
      </c>
      <c r="B189" s="9" t="s">
        <v>3208</v>
      </c>
      <c r="C189" t="s">
        <v>3212</v>
      </c>
      <c r="D189" t="s">
        <v>3212</v>
      </c>
      <c r="E189" s="29">
        <v>0.44600000000000001</v>
      </c>
      <c r="F189" s="26">
        <v>0.124</v>
      </c>
      <c r="G189" s="24">
        <v>25</v>
      </c>
      <c r="H189" s="24" t="s">
        <v>3003</v>
      </c>
      <c r="I189" t="s">
        <v>2977</v>
      </c>
      <c r="J189" s="9">
        <v>2</v>
      </c>
      <c r="K189" s="16">
        <f t="shared" si="8"/>
        <v>0.110608</v>
      </c>
      <c r="P189" s="9" t="s">
        <v>3208</v>
      </c>
    </row>
    <row r="190" spans="1:16" ht="14.25" customHeight="1" x14ac:dyDescent="0.35">
      <c r="A190">
        <v>20052004</v>
      </c>
      <c r="B190" s="9" t="s">
        <v>3209</v>
      </c>
      <c r="C190" t="s">
        <v>3213</v>
      </c>
      <c r="D190" t="s">
        <v>3213</v>
      </c>
      <c r="E190" s="29">
        <v>0.54</v>
      </c>
      <c r="F190" s="26">
        <v>0.38600000000000001</v>
      </c>
      <c r="G190" s="24">
        <v>12</v>
      </c>
      <c r="H190" s="24" t="s">
        <v>3009</v>
      </c>
      <c r="I190" t="s">
        <v>2983</v>
      </c>
      <c r="J190" s="9">
        <v>1</v>
      </c>
      <c r="K190" s="16">
        <f t="shared" si="8"/>
        <v>0.20844000000000001</v>
      </c>
      <c r="P190" s="9" t="s">
        <v>3209</v>
      </c>
    </row>
    <row r="191" spans="1:16" ht="14.25" customHeight="1" x14ac:dyDescent="0.35">
      <c r="A191">
        <v>20052001</v>
      </c>
      <c r="B191" s="9" t="s">
        <v>3209</v>
      </c>
      <c r="C191" t="s">
        <v>766</v>
      </c>
      <c r="D191" t="s">
        <v>766</v>
      </c>
      <c r="E191" s="29">
        <v>0.74199999999999999</v>
      </c>
      <c r="F191" s="26">
        <v>0.122</v>
      </c>
      <c r="G191" s="24">
        <v>25</v>
      </c>
      <c r="H191" s="24" t="s">
        <v>3003</v>
      </c>
      <c r="I191" t="s">
        <v>2977</v>
      </c>
      <c r="J191" s="9">
        <v>4</v>
      </c>
      <c r="K191" s="16">
        <f t="shared" si="8"/>
        <v>0.36209599999999997</v>
      </c>
      <c r="P191" s="9" t="s">
        <v>3209</v>
      </c>
    </row>
    <row r="192" spans="1:16" ht="14.25" customHeight="1" x14ac:dyDescent="0.35">
      <c r="A192">
        <v>20052002</v>
      </c>
      <c r="B192" s="9" t="s">
        <v>3209</v>
      </c>
      <c r="C192" t="s">
        <v>768</v>
      </c>
      <c r="D192" t="s">
        <v>768</v>
      </c>
      <c r="E192" s="29">
        <v>0.54200000000000004</v>
      </c>
      <c r="F192" s="26">
        <v>0.124</v>
      </c>
      <c r="G192" s="24">
        <v>25</v>
      </c>
      <c r="H192" s="24" t="s">
        <v>3003</v>
      </c>
      <c r="I192" t="s">
        <v>2977</v>
      </c>
      <c r="J192" s="9">
        <v>1</v>
      </c>
      <c r="K192" s="16">
        <f t="shared" si="8"/>
        <v>6.7208000000000004E-2</v>
      </c>
      <c r="P192" s="9" t="s">
        <v>3209</v>
      </c>
    </row>
    <row r="193" spans="1:16" ht="14.25" customHeight="1" x14ac:dyDescent="0.35">
      <c r="A193">
        <v>20052003</v>
      </c>
      <c r="B193" s="9" t="s">
        <v>3209</v>
      </c>
      <c r="C193" t="s">
        <v>3214</v>
      </c>
      <c r="D193" t="s">
        <v>3214</v>
      </c>
      <c r="E193" s="29">
        <v>0.38600000000000001</v>
      </c>
      <c r="F193" s="26">
        <v>0.124</v>
      </c>
      <c r="G193" s="24">
        <v>25</v>
      </c>
      <c r="H193" s="24" t="s">
        <v>3003</v>
      </c>
      <c r="I193" t="s">
        <v>2977</v>
      </c>
      <c r="J193" s="9">
        <v>2</v>
      </c>
      <c r="K193" s="16">
        <f t="shared" si="8"/>
        <v>9.5728000000000008E-2</v>
      </c>
      <c r="P193" s="9" t="s">
        <v>3209</v>
      </c>
    </row>
  </sheetData>
  <autoFilter ref="A1:P94" xr:uid="{00000000-0009-0000-0000-000002000000}"/>
  <phoneticPr fontId="17" type="noConversion"/>
  <pageMargins left="0.75" right="0.75" top="1" bottom="1" header="0.511811023622047" footer="0.511811023622047"/>
  <pageSetup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2"/>
  <sheetViews>
    <sheetView showGridLines="0" zoomScaleNormal="100" workbookViewId="0">
      <pane ySplit="1" topLeftCell="A5" activePane="bottomLeft" state="frozen"/>
      <selection pane="bottomLeft" activeCell="B29" sqref="B29"/>
    </sheetView>
  </sheetViews>
  <sheetFormatPr defaultColWidth="8.6328125" defaultRowHeight="14.25" customHeight="1" x14ac:dyDescent="0.35"/>
  <cols>
    <col min="1" max="1" width="32" customWidth="1"/>
    <col min="2" max="2" width="14" customWidth="1"/>
    <col min="3" max="3" width="16" style="34" customWidth="1"/>
    <col min="4" max="5" width="42" customWidth="1"/>
    <col min="7" max="7" width="18" customWidth="1"/>
    <col min="8" max="11" width="14" customWidth="1"/>
  </cols>
  <sheetData>
    <row r="1" spans="1:11" ht="39.75" customHeight="1" x14ac:dyDescent="0.35">
      <c r="A1" s="6" t="s">
        <v>3132</v>
      </c>
      <c r="B1" s="6" t="s">
        <v>3133</v>
      </c>
      <c r="C1" s="31" t="s">
        <v>3134</v>
      </c>
      <c r="D1" s="6" t="s">
        <v>3135</v>
      </c>
      <c r="E1" s="6" t="s">
        <v>3136</v>
      </c>
      <c r="G1" s="6"/>
      <c r="H1" s="6"/>
      <c r="I1" s="6"/>
      <c r="J1" s="6"/>
      <c r="K1" s="6"/>
    </row>
    <row r="2" spans="1:11" ht="18" customHeight="1" x14ac:dyDescent="0.35">
      <c r="A2" s="9" t="s">
        <v>3151</v>
      </c>
      <c r="B2" s="9">
        <v>5</v>
      </c>
      <c r="C2" s="32">
        <v>2.11</v>
      </c>
      <c r="D2" s="9" t="s">
        <v>3156</v>
      </c>
      <c r="E2" s="9" t="s">
        <v>3151</v>
      </c>
      <c r="G2" s="9"/>
      <c r="H2" s="9"/>
      <c r="I2" s="9"/>
      <c r="J2" s="9"/>
      <c r="K2" s="9"/>
    </row>
    <row r="3" spans="1:11" ht="18" customHeight="1" x14ac:dyDescent="0.35">
      <c r="A3" s="9" t="s">
        <v>3144</v>
      </c>
      <c r="B3" s="9">
        <v>9</v>
      </c>
      <c r="C3" s="32">
        <v>2.62</v>
      </c>
      <c r="D3" s="9" t="s">
        <v>3150</v>
      </c>
      <c r="E3" s="9" t="s">
        <v>3144</v>
      </c>
      <c r="G3" s="9"/>
      <c r="H3" s="9"/>
      <c r="I3" s="9"/>
      <c r="J3" s="9"/>
      <c r="K3" s="9"/>
    </row>
    <row r="4" spans="1:11" ht="18" customHeight="1" x14ac:dyDescent="0.35">
      <c r="A4" s="9" t="s">
        <v>3131</v>
      </c>
      <c r="B4" s="9">
        <v>9</v>
      </c>
      <c r="C4" s="32">
        <v>2.4479000000000002</v>
      </c>
      <c r="D4" s="9" t="s">
        <v>3150</v>
      </c>
      <c r="E4" s="9" t="s">
        <v>3137</v>
      </c>
      <c r="G4" s="9"/>
      <c r="H4" s="9"/>
      <c r="I4" s="9"/>
      <c r="J4" s="9"/>
      <c r="K4" s="9"/>
    </row>
    <row r="5" spans="1:11" ht="18" customHeight="1" x14ac:dyDescent="0.35">
      <c r="A5" s="9" t="s">
        <v>3157</v>
      </c>
      <c r="B5" s="9">
        <v>9</v>
      </c>
      <c r="C5" s="32">
        <v>1.43</v>
      </c>
      <c r="D5" s="9" t="s">
        <v>3163</v>
      </c>
      <c r="E5" s="9" t="s">
        <v>3157</v>
      </c>
      <c r="G5" s="9"/>
      <c r="H5" s="9"/>
      <c r="I5" s="9"/>
      <c r="J5" s="9"/>
      <c r="K5" s="9"/>
    </row>
    <row r="6" spans="1:11" ht="18" customHeight="1" x14ac:dyDescent="0.35">
      <c r="A6" s="9" t="s">
        <v>3143</v>
      </c>
      <c r="B6" s="9">
        <v>2</v>
      </c>
      <c r="C6" s="32">
        <v>1.02</v>
      </c>
      <c r="D6" s="9" t="s">
        <v>3138</v>
      </c>
      <c r="E6" s="9" t="s">
        <v>3143</v>
      </c>
      <c r="G6" s="9"/>
      <c r="H6" s="9"/>
      <c r="I6" s="9"/>
      <c r="J6" s="9"/>
      <c r="K6" s="9"/>
    </row>
    <row r="7" spans="1:11" ht="18" customHeight="1" x14ac:dyDescent="0.35">
      <c r="A7" s="9" t="s">
        <v>3142</v>
      </c>
      <c r="B7" s="9">
        <v>3</v>
      </c>
      <c r="C7" s="32">
        <v>1.669</v>
      </c>
      <c r="D7" s="9" t="s">
        <v>3138</v>
      </c>
      <c r="E7" s="9" t="s">
        <v>3142</v>
      </c>
      <c r="G7" s="9"/>
      <c r="H7" s="9"/>
      <c r="I7" s="9"/>
      <c r="J7" s="9"/>
      <c r="K7" s="9"/>
    </row>
    <row r="8" spans="1:11" ht="18" customHeight="1" x14ac:dyDescent="0.35">
      <c r="A8" s="9" t="s">
        <v>3130</v>
      </c>
      <c r="B8" s="9">
        <v>3</v>
      </c>
      <c r="C8" s="32">
        <v>1.4398</v>
      </c>
      <c r="D8" s="9" t="s">
        <v>3138</v>
      </c>
      <c r="E8" s="9" t="s">
        <v>2982</v>
      </c>
      <c r="G8" s="9"/>
      <c r="H8" s="9"/>
      <c r="I8" s="9"/>
      <c r="J8" s="9"/>
      <c r="K8" s="9"/>
    </row>
    <row r="9" spans="1:11" ht="18" customHeight="1" x14ac:dyDescent="0.35">
      <c r="A9" s="9" t="s">
        <v>3139</v>
      </c>
      <c r="B9" s="9">
        <v>14</v>
      </c>
      <c r="C9" s="32">
        <v>2.0099999999999998</v>
      </c>
      <c r="D9" s="9" t="s">
        <v>3164</v>
      </c>
      <c r="E9" s="9" t="s">
        <v>3139</v>
      </c>
      <c r="G9" s="9"/>
      <c r="H9" s="9"/>
      <c r="I9" s="9"/>
      <c r="J9" s="9"/>
      <c r="K9" s="9"/>
    </row>
    <row r="10" spans="1:11" ht="18" customHeight="1" x14ac:dyDescent="0.35">
      <c r="A10" s="9" t="s">
        <v>3208</v>
      </c>
      <c r="B10" s="9">
        <v>8</v>
      </c>
      <c r="C10" s="32">
        <v>0.89</v>
      </c>
      <c r="D10" s="9" t="s">
        <v>3215</v>
      </c>
      <c r="E10" s="9" t="s">
        <v>3208</v>
      </c>
      <c r="G10" s="9"/>
      <c r="H10" s="9"/>
      <c r="I10" s="9"/>
      <c r="J10" s="9"/>
      <c r="K10" s="9"/>
    </row>
    <row r="11" spans="1:11" ht="18" customHeight="1" x14ac:dyDescent="0.35">
      <c r="A11" s="9" t="s">
        <v>3209</v>
      </c>
      <c r="B11" s="9">
        <v>8</v>
      </c>
      <c r="C11" s="32">
        <v>0.73</v>
      </c>
      <c r="D11" s="9" t="s">
        <v>3215</v>
      </c>
      <c r="E11" s="9" t="s">
        <v>3209</v>
      </c>
    </row>
    <row r="12" spans="1:11" ht="18" customHeight="1" x14ac:dyDescent="0.35">
      <c r="A12" s="9" t="s">
        <v>3183</v>
      </c>
      <c r="B12" s="9">
        <v>17</v>
      </c>
      <c r="C12" s="32">
        <v>2.25</v>
      </c>
      <c r="D12" s="9" t="s">
        <v>2979</v>
      </c>
      <c r="E12" s="9" t="s">
        <v>3183</v>
      </c>
    </row>
    <row r="13" spans="1:11" ht="18" customHeight="1" x14ac:dyDescent="0.35">
      <c r="A13" s="9" t="s">
        <v>3182</v>
      </c>
      <c r="B13" s="9">
        <v>11</v>
      </c>
      <c r="C13" s="32">
        <v>1.4</v>
      </c>
      <c r="D13" s="9" t="s">
        <v>2979</v>
      </c>
      <c r="E13" s="9" t="s">
        <v>3182</v>
      </c>
    </row>
    <row r="14" spans="1:11" ht="18" customHeight="1" x14ac:dyDescent="0.35">
      <c r="A14" s="9" t="s">
        <v>3185</v>
      </c>
      <c r="B14" s="9">
        <v>5</v>
      </c>
      <c r="C14" s="32">
        <v>1.64</v>
      </c>
      <c r="D14" s="9" t="s">
        <v>3192</v>
      </c>
      <c r="E14" s="9" t="s">
        <v>3185</v>
      </c>
    </row>
    <row r="15" spans="1:11" ht="18" customHeight="1" x14ac:dyDescent="0.35">
      <c r="A15" s="9" t="s">
        <v>3186</v>
      </c>
      <c r="B15" s="9">
        <v>5</v>
      </c>
      <c r="C15" s="32">
        <v>1.64</v>
      </c>
      <c r="D15" s="9" t="s">
        <v>3192</v>
      </c>
      <c r="E15" s="9" t="s">
        <v>3186</v>
      </c>
    </row>
    <row r="16" spans="1:11" ht="18" customHeight="1" x14ac:dyDescent="0.35">
      <c r="A16" s="9" t="s">
        <v>3196</v>
      </c>
      <c r="B16" s="9">
        <v>16</v>
      </c>
      <c r="C16" s="32">
        <v>1.22</v>
      </c>
      <c r="D16" s="9" t="s">
        <v>3195</v>
      </c>
      <c r="E16" s="9" t="s">
        <v>3187</v>
      </c>
    </row>
    <row r="17" spans="1:5" ht="18" customHeight="1" x14ac:dyDescent="0.35">
      <c r="A17" s="9" t="s">
        <v>3188</v>
      </c>
      <c r="B17" s="9">
        <v>5</v>
      </c>
      <c r="C17" s="32">
        <v>1.82</v>
      </c>
      <c r="D17" s="9" t="s">
        <v>3192</v>
      </c>
      <c r="E17" s="9" t="s">
        <v>3188</v>
      </c>
    </row>
    <row r="18" spans="1:5" ht="18" customHeight="1" x14ac:dyDescent="0.35">
      <c r="A18" s="9" t="s">
        <v>3189</v>
      </c>
      <c r="B18" s="9">
        <v>5</v>
      </c>
      <c r="C18" s="32">
        <v>1.82</v>
      </c>
      <c r="D18" s="9" t="s">
        <v>3192</v>
      </c>
      <c r="E18" s="9" t="s">
        <v>3189</v>
      </c>
    </row>
    <row r="19" spans="1:5" ht="18" customHeight="1" x14ac:dyDescent="0.35">
      <c r="A19" s="9" t="s">
        <v>3193</v>
      </c>
      <c r="B19" s="9">
        <v>16</v>
      </c>
      <c r="C19" s="32">
        <v>1.27</v>
      </c>
      <c r="D19" s="9" t="s">
        <v>3195</v>
      </c>
      <c r="E19" s="9" t="s">
        <v>3193</v>
      </c>
    </row>
    <row r="20" spans="1:5" ht="18" customHeight="1" x14ac:dyDescent="0.35">
      <c r="A20" s="9" t="s">
        <v>3190</v>
      </c>
      <c r="B20" s="9">
        <v>5</v>
      </c>
      <c r="C20" s="32">
        <v>2.13</v>
      </c>
      <c r="D20" s="9" t="s">
        <v>3192</v>
      </c>
      <c r="E20" s="9" t="s">
        <v>3190</v>
      </c>
    </row>
    <row r="21" spans="1:5" ht="18" customHeight="1" x14ac:dyDescent="0.35">
      <c r="A21" s="9" t="s">
        <v>3191</v>
      </c>
      <c r="B21" s="9">
        <v>5</v>
      </c>
      <c r="C21" s="32">
        <v>2.13</v>
      </c>
      <c r="D21" s="9" t="s">
        <v>3192</v>
      </c>
      <c r="E21" s="9" t="s">
        <v>3191</v>
      </c>
    </row>
    <row r="22" spans="1:5" ht="18" customHeight="1" x14ac:dyDescent="0.35">
      <c r="A22" s="9" t="s">
        <v>3197</v>
      </c>
      <c r="B22" s="9">
        <v>8</v>
      </c>
      <c r="C22" s="32">
        <v>1.31</v>
      </c>
      <c r="D22" s="9" t="s">
        <v>3204</v>
      </c>
      <c r="E22" s="9" t="s">
        <v>3197</v>
      </c>
    </row>
    <row r="23" spans="1:5" ht="18" customHeight="1" x14ac:dyDescent="0.35">
      <c r="A23" s="9" t="s">
        <v>3198</v>
      </c>
      <c r="B23" s="9">
        <v>8</v>
      </c>
      <c r="C23" s="32">
        <v>1.35</v>
      </c>
      <c r="D23" s="9" t="s">
        <v>3204</v>
      </c>
      <c r="E23" s="9" t="s">
        <v>3198</v>
      </c>
    </row>
    <row r="24" spans="1:5" ht="18" customHeight="1" x14ac:dyDescent="0.35">
      <c r="A24" s="9" t="s">
        <v>3199</v>
      </c>
      <c r="B24" s="9">
        <v>8</v>
      </c>
      <c r="C24" s="32">
        <v>1.39</v>
      </c>
      <c r="D24" s="9" t="s">
        <v>3204</v>
      </c>
      <c r="E24" s="9" t="s">
        <v>3199</v>
      </c>
    </row>
    <row r="25" spans="1:5" ht="18" customHeight="1" x14ac:dyDescent="0.35">
      <c r="A25" s="9" t="s">
        <v>3175</v>
      </c>
      <c r="B25" s="9">
        <v>4</v>
      </c>
      <c r="C25" s="32">
        <v>1.41</v>
      </c>
      <c r="D25" s="9" t="s">
        <v>3180</v>
      </c>
      <c r="E25" s="9" t="s">
        <v>3175</v>
      </c>
    </row>
    <row r="26" spans="1:5" ht="18" customHeight="1" x14ac:dyDescent="0.35">
      <c r="A26" s="9" t="s">
        <v>3176</v>
      </c>
      <c r="B26" s="9">
        <v>4</v>
      </c>
      <c r="C26" s="32">
        <v>2.11</v>
      </c>
      <c r="D26" s="9" t="s">
        <v>3180</v>
      </c>
      <c r="E26" s="9" t="s">
        <v>3176</v>
      </c>
    </row>
    <row r="27" spans="1:5" ht="18" customHeight="1" x14ac:dyDescent="0.35">
      <c r="A27" s="9" t="s">
        <v>3177</v>
      </c>
      <c r="B27" s="9">
        <v>5</v>
      </c>
      <c r="C27" s="32">
        <v>1.0149999999999999</v>
      </c>
      <c r="D27" s="9" t="s">
        <v>2985</v>
      </c>
      <c r="E27" s="9" t="s">
        <v>3177</v>
      </c>
    </row>
    <row r="28" spans="1:5" ht="18" customHeight="1" x14ac:dyDescent="0.35">
      <c r="A28" s="9" t="s">
        <v>3178</v>
      </c>
      <c r="B28" s="9">
        <v>5</v>
      </c>
      <c r="C28" s="32">
        <v>1.48</v>
      </c>
      <c r="D28" s="9" t="s">
        <v>2985</v>
      </c>
      <c r="E28" s="9" t="s">
        <v>3178</v>
      </c>
    </row>
    <row r="29" spans="1:5" ht="18" customHeight="1" x14ac:dyDescent="0.35">
      <c r="A29" s="9" t="s">
        <v>3179</v>
      </c>
      <c r="B29" s="9">
        <v>5</v>
      </c>
      <c r="C29" s="32">
        <v>1.73</v>
      </c>
      <c r="D29" s="9" t="s">
        <v>2985</v>
      </c>
      <c r="E29" s="9" t="s">
        <v>3179</v>
      </c>
    </row>
    <row r="30" spans="1:5" ht="18" customHeight="1" x14ac:dyDescent="0.35">
      <c r="A30" t="s">
        <v>3049</v>
      </c>
      <c r="B30" s="9">
        <v>1</v>
      </c>
      <c r="C30" s="32">
        <v>1.07</v>
      </c>
      <c r="D30" s="9" t="s">
        <v>2977</v>
      </c>
      <c r="E30" t="s">
        <v>3049</v>
      </c>
    </row>
    <row r="31" spans="1:5" ht="18" customHeight="1" x14ac:dyDescent="0.35">
      <c r="A31" s="9" t="s">
        <v>3170</v>
      </c>
      <c r="B31" s="9">
        <v>10</v>
      </c>
      <c r="C31" s="32">
        <v>1.43</v>
      </c>
      <c r="D31" s="9" t="s">
        <v>3174</v>
      </c>
      <c r="E31" s="9" t="s">
        <v>3170</v>
      </c>
    </row>
    <row r="32" spans="1:5" ht="14.5" x14ac:dyDescent="0.35">
      <c r="A32" s="9" t="s">
        <v>2976</v>
      </c>
      <c r="B32" s="9">
        <v>11</v>
      </c>
      <c r="C32" s="32">
        <v>0.53405999999999998</v>
      </c>
      <c r="D32" s="9" t="s">
        <v>3140</v>
      </c>
      <c r="E32" s="9" t="s">
        <v>2976</v>
      </c>
    </row>
    <row r="33" spans="1:9" ht="14.5" x14ac:dyDescent="0.35">
      <c r="A33" s="9" t="s">
        <v>1403</v>
      </c>
      <c r="B33" s="9">
        <v>7</v>
      </c>
      <c r="C33" s="32">
        <v>0.51663000000000003</v>
      </c>
      <c r="D33" s="9" t="s">
        <v>3140</v>
      </c>
      <c r="E33" s="9" t="s">
        <v>1403</v>
      </c>
      <c r="I33" s="9"/>
    </row>
    <row r="34" spans="1:9" ht="14.5" x14ac:dyDescent="0.35">
      <c r="A34" s="19" t="s">
        <v>2978</v>
      </c>
      <c r="B34" s="9">
        <v>17</v>
      </c>
      <c r="C34" s="32">
        <v>5.1532999999999998</v>
      </c>
      <c r="D34" s="9" t="s">
        <v>3141</v>
      </c>
      <c r="E34" s="19" t="s">
        <v>2978</v>
      </c>
      <c r="I34" s="9"/>
    </row>
    <row r="35" spans="1:9" ht="14.5" x14ac:dyDescent="0.35">
      <c r="A35" s="19" t="s">
        <v>2980</v>
      </c>
      <c r="B35" s="9">
        <v>17</v>
      </c>
      <c r="C35" s="32">
        <v>4.4058000000000002</v>
      </c>
      <c r="D35" s="9" t="s">
        <v>3141</v>
      </c>
      <c r="E35" s="19" t="s">
        <v>2980</v>
      </c>
      <c r="I35" s="9"/>
    </row>
    <row r="36" spans="1:9" ht="14.5" x14ac:dyDescent="0.35">
      <c r="A36" s="26" t="s">
        <v>3018</v>
      </c>
      <c r="B36" s="9">
        <v>7</v>
      </c>
      <c r="C36" s="33">
        <v>2.35</v>
      </c>
      <c r="D36" t="s">
        <v>3165</v>
      </c>
      <c r="E36" s="26" t="s">
        <v>3018</v>
      </c>
      <c r="I36" s="9"/>
    </row>
    <row r="37" spans="1:9" ht="14.5" x14ac:dyDescent="0.35">
      <c r="A37" s="26" t="s">
        <v>3019</v>
      </c>
      <c r="B37" s="9">
        <v>7</v>
      </c>
      <c r="C37" s="33">
        <v>4.6100000000000003</v>
      </c>
      <c r="D37" t="s">
        <v>3165</v>
      </c>
      <c r="E37" s="26" t="s">
        <v>3019</v>
      </c>
      <c r="I37" s="9"/>
    </row>
    <row r="38" spans="1:9" ht="14.5" x14ac:dyDescent="0.35">
      <c r="A38" s="26" t="s">
        <v>3021</v>
      </c>
      <c r="B38" s="9">
        <v>1</v>
      </c>
      <c r="C38" s="33">
        <v>1.224</v>
      </c>
      <c r="D38" t="s">
        <v>2979</v>
      </c>
      <c r="E38" s="26" t="s">
        <v>3021</v>
      </c>
      <c r="I38" s="9"/>
    </row>
    <row r="39" spans="1:9" ht="14.5" x14ac:dyDescent="0.35">
      <c r="A39" s="26" t="s">
        <v>3023</v>
      </c>
      <c r="B39" s="9">
        <v>1</v>
      </c>
      <c r="C39" s="33">
        <v>1.44</v>
      </c>
      <c r="D39" t="s">
        <v>2979</v>
      </c>
      <c r="E39" s="26" t="s">
        <v>3023</v>
      </c>
      <c r="I39" s="9"/>
    </row>
    <row r="40" spans="1:9" ht="14.5" x14ac:dyDescent="0.35">
      <c r="A40" s="26" t="s">
        <v>3025</v>
      </c>
      <c r="B40" s="9">
        <v>1</v>
      </c>
      <c r="C40" s="33">
        <v>1.62</v>
      </c>
      <c r="D40" t="s">
        <v>2979</v>
      </c>
      <c r="E40" s="26" t="s">
        <v>3025</v>
      </c>
      <c r="I40" s="9"/>
    </row>
    <row r="41" spans="1:9" ht="14.5" x14ac:dyDescent="0.35">
      <c r="A41" s="26" t="s">
        <v>3027</v>
      </c>
      <c r="B41" s="9">
        <v>1</v>
      </c>
      <c r="C41" s="33">
        <v>1.224</v>
      </c>
      <c r="D41" t="s">
        <v>2981</v>
      </c>
      <c r="E41" s="26" t="s">
        <v>3027</v>
      </c>
      <c r="I41" s="9"/>
    </row>
    <row r="42" spans="1:9" ht="14.5" x14ac:dyDescent="0.35">
      <c r="A42" s="26" t="s">
        <v>3029</v>
      </c>
      <c r="B42" s="9">
        <v>1</v>
      </c>
      <c r="C42" s="33">
        <v>1.44</v>
      </c>
      <c r="D42" t="s">
        <v>2979</v>
      </c>
      <c r="E42" s="26" t="s">
        <v>3029</v>
      </c>
    </row>
    <row r="43" spans="1:9" ht="14.5" x14ac:dyDescent="0.35">
      <c r="A43" s="26" t="s">
        <v>3031</v>
      </c>
      <c r="B43" s="9">
        <v>1</v>
      </c>
      <c r="C43" s="33">
        <v>1.44</v>
      </c>
      <c r="D43" t="s">
        <v>2981</v>
      </c>
      <c r="E43" s="26" t="s">
        <v>3031</v>
      </c>
    </row>
    <row r="44" spans="1:9" ht="14.5" x14ac:dyDescent="0.35">
      <c r="A44" s="26" t="s">
        <v>3033</v>
      </c>
      <c r="B44" s="9">
        <v>1</v>
      </c>
      <c r="C44" s="33">
        <v>1.62</v>
      </c>
      <c r="D44" t="s">
        <v>2979</v>
      </c>
      <c r="E44" s="26" t="s">
        <v>3033</v>
      </c>
    </row>
    <row r="45" spans="1:9" ht="14.5" x14ac:dyDescent="0.35">
      <c r="A45" s="26" t="s">
        <v>3035</v>
      </c>
      <c r="B45" s="9">
        <v>1</v>
      </c>
      <c r="C45" s="33">
        <v>1.44</v>
      </c>
      <c r="D45" t="s">
        <v>2979</v>
      </c>
      <c r="E45" s="26" t="s">
        <v>3035</v>
      </c>
    </row>
    <row r="46" spans="1:9" ht="14.5" x14ac:dyDescent="0.35">
      <c r="A46" s="26" t="s">
        <v>3037</v>
      </c>
      <c r="B46" s="9">
        <v>1</v>
      </c>
      <c r="C46" s="33">
        <v>1.62</v>
      </c>
      <c r="D46" t="s">
        <v>2979</v>
      </c>
      <c r="E46" s="26" t="s">
        <v>3037</v>
      </c>
    </row>
    <row r="47" spans="1:9" ht="14.5" x14ac:dyDescent="0.35">
      <c r="A47" s="26" t="s">
        <v>3039</v>
      </c>
      <c r="B47" s="9">
        <v>1</v>
      </c>
      <c r="C47" s="33">
        <v>1.44</v>
      </c>
      <c r="D47" t="s">
        <v>2979</v>
      </c>
      <c r="E47" s="26" t="s">
        <v>3039</v>
      </c>
    </row>
    <row r="48" spans="1:9" ht="14.5" x14ac:dyDescent="0.35">
      <c r="A48" s="26" t="s">
        <v>3041</v>
      </c>
      <c r="B48" s="9">
        <v>1</v>
      </c>
      <c r="C48" s="33">
        <v>1.62</v>
      </c>
      <c r="D48" t="s">
        <v>2979</v>
      </c>
      <c r="E48" s="26" t="s">
        <v>3041</v>
      </c>
    </row>
    <row r="49" spans="1:5" ht="14.5" x14ac:dyDescent="0.35">
      <c r="A49" s="26" t="s">
        <v>3043</v>
      </c>
      <c r="B49" s="9">
        <v>1</v>
      </c>
      <c r="C49" s="33">
        <v>1.224</v>
      </c>
      <c r="D49" t="s">
        <v>2981</v>
      </c>
      <c r="E49" s="26" t="s">
        <v>3043</v>
      </c>
    </row>
    <row r="50" spans="1:5" ht="14.5" x14ac:dyDescent="0.35">
      <c r="A50" s="26" t="s">
        <v>3045</v>
      </c>
      <c r="B50" s="9">
        <v>1</v>
      </c>
      <c r="C50" s="33">
        <v>1.44</v>
      </c>
      <c r="D50" t="s">
        <v>2981</v>
      </c>
      <c r="E50" s="26" t="s">
        <v>3045</v>
      </c>
    </row>
    <row r="51" spans="1:5" ht="14.5" x14ac:dyDescent="0.35">
      <c r="A51" s="26" t="s">
        <v>3047</v>
      </c>
      <c r="B51" s="9">
        <v>1</v>
      </c>
      <c r="C51" s="33">
        <v>1.0609</v>
      </c>
      <c r="D51" t="s">
        <v>2977</v>
      </c>
      <c r="E51" s="26" t="s">
        <v>3047</v>
      </c>
    </row>
    <row r="52" spans="1:5" ht="14.5" x14ac:dyDescent="0.35">
      <c r="A52" s="26" t="s">
        <v>3049</v>
      </c>
      <c r="B52" s="9">
        <v>1</v>
      </c>
      <c r="C52" s="33">
        <v>1.0609</v>
      </c>
      <c r="D52" t="s">
        <v>2977</v>
      </c>
      <c r="E52" s="26" t="s">
        <v>3049</v>
      </c>
    </row>
    <row r="53" spans="1:5" ht="14.5" x14ac:dyDescent="0.35">
      <c r="A53" s="26" t="s">
        <v>3051</v>
      </c>
      <c r="B53" s="9">
        <v>1</v>
      </c>
      <c r="C53" s="33">
        <v>1.0609</v>
      </c>
      <c r="D53" t="s">
        <v>2979</v>
      </c>
      <c r="E53" s="26" t="s">
        <v>3051</v>
      </c>
    </row>
    <row r="54" spans="1:5" ht="14.5" x14ac:dyDescent="0.35">
      <c r="A54" s="26" t="s">
        <v>3053</v>
      </c>
      <c r="B54" s="9">
        <v>1</v>
      </c>
      <c r="C54" s="33">
        <v>0.81</v>
      </c>
      <c r="D54" t="s">
        <v>2979</v>
      </c>
      <c r="E54" s="26" t="s">
        <v>3053</v>
      </c>
    </row>
    <row r="55" spans="1:5" ht="14.5" x14ac:dyDescent="0.35">
      <c r="A55" s="26" t="s">
        <v>3055</v>
      </c>
      <c r="B55" s="9">
        <v>1</v>
      </c>
      <c r="C55" s="33">
        <v>1.08</v>
      </c>
      <c r="D55" t="s">
        <v>2979</v>
      </c>
      <c r="E55" s="26" t="s">
        <v>3055</v>
      </c>
    </row>
    <row r="56" spans="1:5" ht="14.5" x14ac:dyDescent="0.35">
      <c r="A56" s="26" t="s">
        <v>3057</v>
      </c>
      <c r="B56" s="9">
        <v>1</v>
      </c>
      <c r="C56" s="33">
        <v>1.0609</v>
      </c>
      <c r="D56" t="s">
        <v>2979</v>
      </c>
      <c r="E56" s="26" t="s">
        <v>3057</v>
      </c>
    </row>
    <row r="57" spans="1:5" ht="14.5" x14ac:dyDescent="0.35">
      <c r="A57" s="26" t="s">
        <v>3059</v>
      </c>
      <c r="B57" s="9">
        <v>1</v>
      </c>
      <c r="C57" s="33">
        <v>0.81</v>
      </c>
      <c r="D57" t="s">
        <v>2979</v>
      </c>
      <c r="E57" s="26" t="s">
        <v>3059</v>
      </c>
    </row>
    <row r="58" spans="1:5" ht="14.5" x14ac:dyDescent="0.35">
      <c r="A58" s="26" t="s">
        <v>3061</v>
      </c>
      <c r="B58" s="9">
        <v>1</v>
      </c>
      <c r="C58" s="33">
        <v>1.08</v>
      </c>
      <c r="D58" t="s">
        <v>2979</v>
      </c>
      <c r="E58" s="26" t="s">
        <v>3061</v>
      </c>
    </row>
    <row r="59" spans="1:5" ht="14.5" x14ac:dyDescent="0.35">
      <c r="A59" s="26" t="s">
        <v>3063</v>
      </c>
      <c r="B59" s="9">
        <v>1</v>
      </c>
      <c r="C59" s="33">
        <v>1.224</v>
      </c>
      <c r="D59" t="s">
        <v>2979</v>
      </c>
      <c r="E59" s="26" t="s">
        <v>3063</v>
      </c>
    </row>
    <row r="60" spans="1:5" ht="14.5" x14ac:dyDescent="0.35">
      <c r="A60" s="26" t="s">
        <v>3065</v>
      </c>
      <c r="B60" s="9">
        <v>1</v>
      </c>
      <c r="C60" s="33">
        <v>1.0609</v>
      </c>
      <c r="D60" t="s">
        <v>2977</v>
      </c>
      <c r="E60" s="26" t="s">
        <v>3065</v>
      </c>
    </row>
    <row r="61" spans="1:5" ht="14.5" x14ac:dyDescent="0.35">
      <c r="A61" s="26" t="s">
        <v>3067</v>
      </c>
      <c r="B61" s="9">
        <v>1</v>
      </c>
      <c r="C61" s="33">
        <v>1.08</v>
      </c>
      <c r="D61" t="s">
        <v>2977</v>
      </c>
      <c r="E61" s="26" t="s">
        <v>3067</v>
      </c>
    </row>
    <row r="62" spans="1:5" ht="14.5" x14ac:dyDescent="0.35">
      <c r="A62" s="26" t="s">
        <v>3069</v>
      </c>
      <c r="B62" s="9">
        <v>1</v>
      </c>
      <c r="C62" s="33">
        <v>1.224</v>
      </c>
      <c r="D62" t="s">
        <v>2977</v>
      </c>
      <c r="E62" s="26" t="s">
        <v>3069</v>
      </c>
    </row>
    <row r="63" spans="1:5" ht="14.5" x14ac:dyDescent="0.35">
      <c r="A63" s="26" t="s">
        <v>3071</v>
      </c>
      <c r="B63" s="9">
        <v>1</v>
      </c>
      <c r="C63" s="33">
        <v>1.44</v>
      </c>
      <c r="D63" t="s">
        <v>2977</v>
      </c>
      <c r="E63" s="26" t="s">
        <v>3071</v>
      </c>
    </row>
    <row r="64" spans="1:5" ht="14.5" x14ac:dyDescent="0.35">
      <c r="A64" s="26" t="s">
        <v>3073</v>
      </c>
      <c r="B64" s="9">
        <v>1</v>
      </c>
      <c r="C64" s="33">
        <v>1.62</v>
      </c>
      <c r="D64" t="s">
        <v>2977</v>
      </c>
      <c r="E64" s="26" t="s">
        <v>3073</v>
      </c>
    </row>
    <row r="65" spans="1:5" ht="14.5" x14ac:dyDescent="0.35">
      <c r="A65" s="26" t="s">
        <v>3075</v>
      </c>
      <c r="B65" s="9">
        <v>1</v>
      </c>
      <c r="C65" s="33">
        <v>1.8495999999999999</v>
      </c>
      <c r="D65" t="s">
        <v>2977</v>
      </c>
      <c r="E65" s="26" t="s">
        <v>3075</v>
      </c>
    </row>
    <row r="66" spans="1:5" ht="14.5" x14ac:dyDescent="0.35">
      <c r="A66" s="26" t="s">
        <v>3077</v>
      </c>
      <c r="B66" s="9">
        <v>1</v>
      </c>
      <c r="C66" s="33">
        <v>1.8</v>
      </c>
      <c r="D66" t="s">
        <v>2979</v>
      </c>
      <c r="E66" s="26" t="s">
        <v>3077</v>
      </c>
    </row>
    <row r="67" spans="1:5" ht="14.5" x14ac:dyDescent="0.35">
      <c r="A67" s="26" t="s">
        <v>3079</v>
      </c>
      <c r="B67" s="9">
        <v>1</v>
      </c>
      <c r="C67" s="33">
        <v>1.224</v>
      </c>
      <c r="D67" t="s">
        <v>2977</v>
      </c>
      <c r="E67" s="26" t="s">
        <v>3079</v>
      </c>
    </row>
    <row r="68" spans="1:5" ht="14.5" x14ac:dyDescent="0.35">
      <c r="A68" s="26" t="s">
        <v>3081</v>
      </c>
      <c r="B68" s="9">
        <v>1</v>
      </c>
      <c r="C68" s="33">
        <v>1.224</v>
      </c>
      <c r="D68" t="s">
        <v>2977</v>
      </c>
      <c r="E68" s="26" t="s">
        <v>3081</v>
      </c>
    </row>
    <row r="69" spans="1:5" ht="14.5" x14ac:dyDescent="0.35">
      <c r="A69" s="26" t="s">
        <v>3083</v>
      </c>
      <c r="B69" s="9">
        <v>1</v>
      </c>
      <c r="C69" s="33">
        <v>1.224</v>
      </c>
      <c r="D69" t="s">
        <v>2979</v>
      </c>
      <c r="E69" s="26" t="s">
        <v>3083</v>
      </c>
    </row>
    <row r="70" spans="1:5" ht="14.5" x14ac:dyDescent="0.35">
      <c r="A70" s="26" t="s">
        <v>3085</v>
      </c>
      <c r="B70" s="9">
        <v>1</v>
      </c>
      <c r="C70" s="33">
        <v>1.44</v>
      </c>
      <c r="D70" t="s">
        <v>2977</v>
      </c>
      <c r="E70" s="26" t="s">
        <v>3085</v>
      </c>
    </row>
    <row r="71" spans="1:5" ht="14.5" x14ac:dyDescent="0.35">
      <c r="A71" s="26" t="s">
        <v>3087</v>
      </c>
      <c r="B71" s="9">
        <v>1</v>
      </c>
      <c r="C71" s="33">
        <v>1.44</v>
      </c>
      <c r="D71" t="s">
        <v>2977</v>
      </c>
      <c r="E71" s="26" t="s">
        <v>3087</v>
      </c>
    </row>
    <row r="72" spans="1:5" ht="14.5" x14ac:dyDescent="0.35">
      <c r="A72" s="26" t="s">
        <v>3089</v>
      </c>
      <c r="B72" s="9">
        <v>1</v>
      </c>
      <c r="C72" s="33">
        <v>1.44</v>
      </c>
      <c r="D72" t="s">
        <v>2979</v>
      </c>
      <c r="E72" s="26" t="s">
        <v>3089</v>
      </c>
    </row>
    <row r="73" spans="1:5" ht="14.5" x14ac:dyDescent="0.35">
      <c r="A73" s="26" t="s">
        <v>3091</v>
      </c>
      <c r="B73" s="9">
        <v>1</v>
      </c>
      <c r="C73" s="33">
        <v>1.62</v>
      </c>
      <c r="D73" t="s">
        <v>2977</v>
      </c>
      <c r="E73" s="26" t="s">
        <v>3091</v>
      </c>
    </row>
    <row r="74" spans="1:5" ht="14.5" x14ac:dyDescent="0.35">
      <c r="A74" s="26" t="s">
        <v>3093</v>
      </c>
      <c r="B74" s="9">
        <v>1</v>
      </c>
      <c r="C74" s="33">
        <v>1.62</v>
      </c>
      <c r="D74" t="s">
        <v>2977</v>
      </c>
      <c r="E74" s="26" t="s">
        <v>3093</v>
      </c>
    </row>
    <row r="75" spans="1:5" ht="14.5" x14ac:dyDescent="0.35">
      <c r="A75" s="26" t="s">
        <v>3095</v>
      </c>
      <c r="B75" s="9">
        <v>1</v>
      </c>
      <c r="C75" s="33">
        <v>1.62</v>
      </c>
      <c r="D75" t="s">
        <v>2979</v>
      </c>
      <c r="E75" s="26" t="s">
        <v>3095</v>
      </c>
    </row>
    <row r="76" spans="1:5" ht="14.5" x14ac:dyDescent="0.35">
      <c r="A76" s="26" t="s">
        <v>3097</v>
      </c>
      <c r="B76" s="9">
        <v>1</v>
      </c>
      <c r="C76" s="33">
        <v>1.224</v>
      </c>
      <c r="D76" t="s">
        <v>2979</v>
      </c>
      <c r="E76" s="26" t="s">
        <v>3097</v>
      </c>
    </row>
    <row r="77" spans="1:5" ht="14.5" x14ac:dyDescent="0.35">
      <c r="A77" s="26" t="s">
        <v>3099</v>
      </c>
      <c r="B77" s="9">
        <v>1</v>
      </c>
      <c r="C77" s="33">
        <v>1.224</v>
      </c>
      <c r="D77" t="s">
        <v>2979</v>
      </c>
      <c r="E77" s="26" t="s">
        <v>3099</v>
      </c>
    </row>
    <row r="78" spans="1:5" ht="14.5" x14ac:dyDescent="0.35">
      <c r="A78" s="26" t="s">
        <v>3101</v>
      </c>
      <c r="B78" s="9">
        <v>1</v>
      </c>
      <c r="C78" s="33">
        <v>1.44</v>
      </c>
      <c r="D78" t="s">
        <v>2979</v>
      </c>
      <c r="E78" s="26" t="s">
        <v>3101</v>
      </c>
    </row>
    <row r="79" spans="1:5" ht="14.5" x14ac:dyDescent="0.35">
      <c r="A79" s="26" t="s">
        <v>3103</v>
      </c>
      <c r="B79" s="9">
        <v>1</v>
      </c>
      <c r="C79" s="33">
        <v>1.44</v>
      </c>
      <c r="D79" t="s">
        <v>2979</v>
      </c>
      <c r="E79" s="26" t="s">
        <v>3103</v>
      </c>
    </row>
    <row r="80" spans="1:5" ht="14.5" x14ac:dyDescent="0.35">
      <c r="A80" s="26" t="s">
        <v>3105</v>
      </c>
      <c r="B80" s="9">
        <v>1</v>
      </c>
      <c r="C80" s="33">
        <v>1.62</v>
      </c>
      <c r="D80" t="s">
        <v>2979</v>
      </c>
      <c r="E80" s="26" t="s">
        <v>3105</v>
      </c>
    </row>
    <row r="81" spans="1:5" ht="14.5" x14ac:dyDescent="0.35">
      <c r="A81" s="26" t="s">
        <v>3107</v>
      </c>
      <c r="B81" s="9">
        <v>1</v>
      </c>
      <c r="C81" s="33">
        <v>1.62</v>
      </c>
      <c r="D81" t="s">
        <v>2979</v>
      </c>
      <c r="E81" s="26" t="s">
        <v>3107</v>
      </c>
    </row>
    <row r="82" spans="1:5" ht="14.5" x14ac:dyDescent="0.35">
      <c r="A82" s="26" t="s">
        <v>3109</v>
      </c>
      <c r="B82" s="9">
        <v>1</v>
      </c>
      <c r="C82" s="33">
        <v>1.62</v>
      </c>
      <c r="D82" t="s">
        <v>2977</v>
      </c>
      <c r="E82" s="26" t="s">
        <v>3109</v>
      </c>
    </row>
    <row r="83" spans="1:5" ht="14.5" x14ac:dyDescent="0.35">
      <c r="A83" s="26" t="s">
        <v>3111</v>
      </c>
      <c r="B83" s="9">
        <v>1</v>
      </c>
      <c r="C83" s="33">
        <v>1.08</v>
      </c>
      <c r="D83" t="s">
        <v>2977</v>
      </c>
      <c r="E83" s="26" t="s">
        <v>3111</v>
      </c>
    </row>
    <row r="84" spans="1:5" ht="14.5" x14ac:dyDescent="0.35">
      <c r="A84" s="26" t="s">
        <v>3113</v>
      </c>
      <c r="B84" s="9">
        <v>1</v>
      </c>
      <c r="C84" s="33">
        <v>1.224</v>
      </c>
      <c r="D84" t="s">
        <v>2977</v>
      </c>
      <c r="E84" s="26" t="s">
        <v>3113</v>
      </c>
    </row>
    <row r="85" spans="1:5" ht="14.5" x14ac:dyDescent="0.35">
      <c r="A85" s="26" t="s">
        <v>3115</v>
      </c>
      <c r="B85" s="9">
        <v>1</v>
      </c>
      <c r="C85" s="33">
        <v>1.44</v>
      </c>
      <c r="D85" t="s">
        <v>2977</v>
      </c>
      <c r="E85" s="26" t="s">
        <v>3115</v>
      </c>
    </row>
    <row r="86" spans="1:5" ht="14.5" x14ac:dyDescent="0.35">
      <c r="A86" s="26" t="s">
        <v>3117</v>
      </c>
      <c r="B86" s="9">
        <v>1</v>
      </c>
      <c r="C86" s="33">
        <v>1.8495999999999999</v>
      </c>
      <c r="D86" t="s">
        <v>2977</v>
      </c>
      <c r="E86" s="26" t="s">
        <v>3117</v>
      </c>
    </row>
    <row r="87" spans="1:5" ht="14.5" x14ac:dyDescent="0.35">
      <c r="A87" s="26" t="s">
        <v>3119</v>
      </c>
      <c r="B87" s="9">
        <v>1</v>
      </c>
      <c r="C87" s="33">
        <v>1.224</v>
      </c>
      <c r="D87" t="s">
        <v>2977</v>
      </c>
      <c r="E87" s="26" t="s">
        <v>3119</v>
      </c>
    </row>
    <row r="88" spans="1:5" ht="14.5" x14ac:dyDescent="0.35">
      <c r="A88" s="26" t="s">
        <v>3121</v>
      </c>
      <c r="B88" s="9">
        <v>1</v>
      </c>
      <c r="C88" s="33">
        <v>1.224</v>
      </c>
      <c r="D88" t="s">
        <v>2977</v>
      </c>
      <c r="E88" s="26" t="s">
        <v>3121</v>
      </c>
    </row>
    <row r="89" spans="1:5" ht="14.5" x14ac:dyDescent="0.35">
      <c r="A89" s="26" t="s">
        <v>3123</v>
      </c>
      <c r="B89" s="9">
        <v>1</v>
      </c>
      <c r="C89" s="33">
        <v>1.44</v>
      </c>
      <c r="D89" t="s">
        <v>2977</v>
      </c>
      <c r="E89" s="26" t="s">
        <v>3123</v>
      </c>
    </row>
    <row r="90" spans="1:5" ht="14.5" x14ac:dyDescent="0.35">
      <c r="A90" s="26" t="s">
        <v>3125</v>
      </c>
      <c r="B90" s="9">
        <v>1</v>
      </c>
      <c r="C90" s="33">
        <v>1.44</v>
      </c>
      <c r="D90" t="s">
        <v>2977</v>
      </c>
      <c r="E90" s="26" t="s">
        <v>3125</v>
      </c>
    </row>
    <row r="91" spans="1:5" ht="14.5" x14ac:dyDescent="0.35">
      <c r="A91" s="26" t="s">
        <v>3127</v>
      </c>
      <c r="B91" s="9">
        <v>1</v>
      </c>
      <c r="C91" s="33">
        <v>1.62</v>
      </c>
      <c r="D91" t="s">
        <v>2977</v>
      </c>
      <c r="E91" s="26" t="s">
        <v>3127</v>
      </c>
    </row>
    <row r="92" spans="1:5" ht="14.5" x14ac:dyDescent="0.35">
      <c r="A92" s="26" t="s">
        <v>3129</v>
      </c>
      <c r="B92" s="9">
        <v>1</v>
      </c>
      <c r="C92" s="33">
        <v>1.62</v>
      </c>
      <c r="D92" t="s">
        <v>2977</v>
      </c>
      <c r="E92" s="26" t="s">
        <v>3129</v>
      </c>
    </row>
  </sheetData>
  <autoFilter ref="A1:E92" xr:uid="{00000000-0009-0000-0000-000003000000}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DADOS</vt:lpstr>
      <vt:lpstr>CALCULO_LOTE</vt:lpstr>
      <vt:lpstr>BASE_PRODUTOS</vt:lpstr>
      <vt:lpstr>LISTAS</vt:lpstr>
      <vt:lpstr>ListaProdutos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Fornel dos Santos</cp:lastModifiedBy>
  <dcterms:modified xsi:type="dcterms:W3CDTF">2026-04-26T19:58:00Z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2026-04-25T02:44:14Z</dcterms:created>
  <dc:creator>Apache POI</dc:creator>
  <dc:description/>
  <dc:language>en-US</dc:language>
  <cp:lastModifiedBy>Alan Fornel dos Santos</cp:lastModifiedBy>
  <dcterms:modified xsi:type="dcterms:W3CDTF">2026-04-26T03:13:45Z</dcterms:modified>
  <cp:revision>0</cp:revision>
  <dc:subject/>
  <dc:title/>
</cp:coreProperties>
</file>